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구역1" sheetId="1" state="visible" r:id="rId1"/>
    <sheet xmlns:r="http://schemas.openxmlformats.org/officeDocument/2006/relationships" name="구역2" sheetId="2" state="visible" r:id="rId2"/>
    <sheet xmlns:r="http://schemas.openxmlformats.org/officeDocument/2006/relationships" name="구역3" sheetId="3" state="visible" r:id="rId3"/>
    <sheet xmlns:r="http://schemas.openxmlformats.org/officeDocument/2006/relationships" name="구역4" sheetId="4" state="visible" r:id="rId4"/>
    <sheet xmlns:r="http://schemas.openxmlformats.org/officeDocument/2006/relationships" name="구역5" sheetId="5" state="visible" r:id="rId5"/>
    <sheet xmlns:r="http://schemas.openxmlformats.org/officeDocument/2006/relationships" name="구역6" sheetId="6" state="visible" r:id="rId6"/>
    <sheet xmlns:r="http://schemas.openxmlformats.org/officeDocument/2006/relationships" name="구역7" sheetId="7" state="visible" r:id="rId7"/>
    <sheet xmlns:r="http://schemas.openxmlformats.org/officeDocument/2006/relationships" name="구역8" sheetId="8" state="visible" r:id="rId8"/>
    <sheet xmlns:r="http://schemas.openxmlformats.org/officeDocument/2006/relationships" name="구역9" sheetId="9" state="visible" r:id="rId9"/>
    <sheet xmlns:r="http://schemas.openxmlformats.org/officeDocument/2006/relationships" name="구역10" sheetId="10" state="visible" r:id="rId10"/>
    <sheet xmlns:r="http://schemas.openxmlformats.org/officeDocument/2006/relationships" name="구역11" sheetId="11" state="visible" r:id="rId11"/>
    <sheet xmlns:r="http://schemas.openxmlformats.org/officeDocument/2006/relationships" name="구역12" sheetId="12" state="visible" r:id="rId12"/>
    <sheet xmlns:r="http://schemas.openxmlformats.org/officeDocument/2006/relationships" name="구역13" sheetId="13" state="visible" r:id="rId13"/>
    <sheet xmlns:r="http://schemas.openxmlformats.org/officeDocument/2006/relationships" name="구역14" sheetId="14" state="visible" r:id="rId14"/>
    <sheet xmlns:r="http://schemas.openxmlformats.org/officeDocument/2006/relationships" name="구역15" sheetId="15" state="visible" r:id="rId15"/>
    <sheet xmlns:r="http://schemas.openxmlformats.org/officeDocument/2006/relationships" name="구역16" sheetId="16" state="visible" r:id="rId16"/>
    <sheet xmlns:r="http://schemas.openxmlformats.org/officeDocument/2006/relationships" name="구역17" sheetId="17" state="visible" r:id="rId17"/>
    <sheet xmlns:r="http://schemas.openxmlformats.org/officeDocument/2006/relationships" name="구역18" sheetId="18" state="visible" r:id="rId18"/>
    <sheet xmlns:r="http://schemas.openxmlformats.org/officeDocument/2006/relationships" name="구역19" sheetId="19" state="visible" r:id="rId19"/>
    <sheet xmlns:r="http://schemas.openxmlformats.org/officeDocument/2006/relationships" name="구역20" sheetId="20" state="visible" r:id="rId20"/>
    <sheet xmlns:r="http://schemas.openxmlformats.org/officeDocument/2006/relationships" name="전도대상자" sheetId="21" state="visible" r:id="rId21"/>
    <sheet xmlns:r="http://schemas.openxmlformats.org/officeDocument/2006/relationships" name="전도현황" sheetId="22" state="visible" r:id="rId22"/>
    <sheet xmlns:r="http://schemas.openxmlformats.org/officeDocument/2006/relationships" name="회비지원" sheetId="23" state="visible" r:id="rId23"/>
    <sheet xmlns:r="http://schemas.openxmlformats.org/officeDocument/2006/relationships" name="통계" sheetId="24" state="visible" r:id="rId24"/>
    <sheet xmlns:r="http://schemas.openxmlformats.org/officeDocument/2006/relationships" name="1호차" sheetId="25" state="visible" r:id="rId25"/>
    <sheet xmlns:r="http://schemas.openxmlformats.org/officeDocument/2006/relationships" name="2호차" sheetId="26" state="visible" r:id="rId26"/>
    <sheet xmlns:r="http://schemas.openxmlformats.org/officeDocument/2006/relationships" name="3호차" sheetId="27" state="visible" r:id="rId27"/>
    <sheet xmlns:r="http://schemas.openxmlformats.org/officeDocument/2006/relationships" name="4호차" sheetId="28" state="visible" r:id="rId28"/>
    <sheet xmlns:r="http://schemas.openxmlformats.org/officeDocument/2006/relationships" name="5호차" sheetId="29" state="visible" r:id="rId29"/>
    <sheet xmlns:r="http://schemas.openxmlformats.org/officeDocument/2006/relationships" name="6호차" sheetId="30" state="visible" r:id="rId30"/>
    <sheet xmlns:r="http://schemas.openxmlformats.org/officeDocument/2006/relationships" name="7호차" sheetId="31" state="visible" r:id="rId31"/>
    <sheet xmlns:r="http://schemas.openxmlformats.org/officeDocument/2006/relationships" name="8호차" sheetId="32" state="visible" r:id="rId32"/>
    <sheet xmlns:r="http://schemas.openxmlformats.org/officeDocument/2006/relationships" name="9호차" sheetId="33" state="visible" r:id="rId33"/>
    <sheet xmlns:r="http://schemas.openxmlformats.org/officeDocument/2006/relationships" name="10호차" sheetId="34" state="visible" r:id="rId34"/>
    <sheet xmlns:r="http://schemas.openxmlformats.org/officeDocument/2006/relationships" name="교회차" sheetId="35" state="visible" r:id="rId35"/>
    <sheet xmlns:r="http://schemas.openxmlformats.org/officeDocument/2006/relationships" name="개인차" sheetId="36" state="visible" r:id="rId36"/>
    <sheet xmlns:r="http://schemas.openxmlformats.org/officeDocument/2006/relationships" name="타교회_대중교통" sheetId="37" state="visible" r:id="rId3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algun Gothic"/>
      <charset val="1"/>
      <family val="0"/>
      <b val="1"/>
      <color rgb="FFFFFFFF"/>
      <sz val="16"/>
    </font>
    <font>
      <name val="Noto Sans CJK SC"/>
      <family val="2"/>
      <b val="1"/>
      <color rgb="FFFFFFFF"/>
      <sz val="16"/>
    </font>
    <font>
      <name val="Malgun Gothic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family val="2"/>
      <b val="1"/>
      <color rgb="FF2C3E50"/>
      <sz val="9"/>
    </font>
    <font>
      <name val="Malgun Gothic"/>
      <charset val="1"/>
      <family val="0"/>
      <color rgb="FF7F8C8D"/>
      <sz val="8"/>
    </font>
    <font>
      <name val="Malgun Gothic"/>
      <charset val="1"/>
      <family val="0"/>
      <color rgb="FF000000"/>
      <sz val="10"/>
    </font>
    <font>
      <name val="Noto Sans CJK SC"/>
      <family val="2"/>
      <b val="1"/>
      <color rgb="FF000000"/>
      <sz val="10"/>
    </font>
    <font>
      <name val="Malgun Gothic"/>
      <charset val="1"/>
      <family val="0"/>
      <b val="1"/>
      <color rgb="FF000000"/>
      <sz val="10"/>
    </font>
    <font>
      <name val="Noto Sans CJK SC"/>
      <family val="2"/>
      <b val="1"/>
      <color rgb="FF2C3E50"/>
      <sz val="16"/>
    </font>
    <font>
      <name val="Malgun Gothic"/>
      <charset val="1"/>
      <family val="0"/>
      <b val="1"/>
      <color rgb="FF2C3E50"/>
      <sz val="9"/>
    </font>
    <font>
      <name val="Noto Sans CJK SC"/>
      <family val="2"/>
      <sz val="11"/>
    </font>
    <font>
      <name val="Malgun Gothic"/>
      <charset val="1"/>
      <family val="0"/>
      <sz val="11"/>
    </font>
    <font>
      <name val="Noto Sans CJK SC"/>
      <family val="2"/>
      <b val="1"/>
      <color rgb="FF1B3A5C"/>
      <sz val="9"/>
    </font>
    <font>
      <name val="Malgun Gothic"/>
      <charset val="1"/>
      <family val="0"/>
      <b val="1"/>
      <color rgb="FF1B3A5C"/>
      <sz val="9"/>
    </font>
    <font>
      <name val="Noto Sans CJK SC"/>
      <family val="2"/>
      <color rgb="FF000000"/>
      <sz val="10"/>
    </font>
    <font>
      <name val="Noto Sans CJK SC"/>
      <family val="2"/>
      <b val="1"/>
      <color rgb="FFFFFFFF"/>
      <sz val="12"/>
    </font>
    <font>
      <name val="Noto Sans CJK SC"/>
      <family val="2"/>
      <i val="1"/>
      <color rgb="FF7F8C8D"/>
      <sz val="11"/>
    </font>
    <font>
      <name val="Malgun Gothic"/>
      <charset val="1"/>
      <family val="0"/>
      <sz val="10"/>
    </font>
    <font>
      <name val="Noto Sans CJK SC"/>
      <b val="1"/>
      <color rgb="FFFFFFFF"/>
      <sz val="11"/>
    </font>
    <font>
      <name val="Noto Sans CJK SC"/>
      <sz val="10"/>
    </font>
    <font>
      <name val="Noto Sans CJK SC"/>
      <b val="1"/>
      <color rgb="FF1F4E79"/>
      <sz val="11"/>
    </font>
    <font>
      <name val="Noto Sans CJK SC"/>
      <b val="1"/>
      <color rgb="FF1F4E79"/>
      <sz val="10"/>
    </font>
  </fonts>
  <fills count="10">
    <fill>
      <patternFill/>
    </fill>
    <fill>
      <patternFill patternType="gray125"/>
    </fill>
    <fill>
      <patternFill patternType="solid">
        <fgColor rgb="FF1B3A5C"/>
        <bgColor rgb="FF2C3E50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DF2F9"/>
      </patternFill>
    </fill>
    <fill>
      <patternFill patternType="solid">
        <fgColor rgb="FFEDF2F9"/>
        <bgColor rgb="FFFFF8E1"/>
      </patternFill>
    </fill>
    <fill>
      <patternFill patternType="solid">
        <fgColor rgb="FFFFFFFF"/>
        <bgColor rgb="FFFFF8E1"/>
      </patternFill>
    </fill>
    <fill>
      <patternFill patternType="solid">
        <fgColor rgb="FFFFF8E1"/>
        <bgColor rgb="FFFFFFFF"/>
      </patternFill>
    </fill>
    <fill>
      <patternFill patternType="solid">
        <fgColor rgb="FFF2C94C"/>
        <bgColor rgb="FFFFCC99"/>
      </patternFill>
    </fill>
    <fill>
      <patternFill patternType="solid">
        <fgColor rgb="FFFFF2CC"/>
      </patternFill>
    </fill>
  </fills>
  <borders count="16">
    <border>
      <left/>
      <right/>
      <top/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 style="thin">
        <color rgb="FFBDC3C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3" fontId="10" fillId="5" borderId="3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3" fontId="16" fillId="0" borderId="0" applyAlignment="1" pivotButton="0" quotePrefix="0" xfId="0">
      <alignment horizontal="center" vertical="center"/>
    </xf>
    <xf numFmtId="3" fontId="10" fillId="6" borderId="3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3" fontId="18" fillId="7" borderId="3" applyAlignment="1" pivotButton="0" quotePrefix="0" xfId="0">
      <alignment horizontal="center" vertical="center" wrapText="1"/>
    </xf>
    <xf numFmtId="0" fontId="18" fillId="7" borderId="3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4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3" fontId="10" fillId="5" borderId="3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3" fontId="16" fillId="0" borderId="0" applyAlignment="1" pivotButton="0" quotePrefix="0" xfId="0">
      <alignment horizontal="center" vertical="center"/>
    </xf>
    <xf numFmtId="3" fontId="10" fillId="6" borderId="3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3" fontId="18" fillId="7" borderId="3" applyAlignment="1" pivotButton="0" quotePrefix="0" xfId="0">
      <alignment horizontal="center" vertical="center" wrapText="1"/>
    </xf>
    <xf numFmtId="0" fontId="18" fillId="7" borderId="3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8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23" fillId="3" borderId="0" applyAlignment="1" pivotButton="0" quotePrefix="0" xfId="0">
      <alignment horizontal="center" vertical="center"/>
    </xf>
    <xf numFmtId="0" fontId="8" fillId="4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3" fillId="3" borderId="11" applyAlignment="1" pivotButton="0" quotePrefix="0" xfId="0">
      <alignment horizontal="center" vertical="center"/>
    </xf>
    <xf numFmtId="0" fontId="25" fillId="9" borderId="11" applyAlignment="1" pivotButton="0" quotePrefix="0" xfId="0">
      <alignment horizontal="center" vertical="center"/>
    </xf>
    <xf numFmtId="0" fontId="0" fillId="9" borderId="11" pivotButton="0" quotePrefix="0" xfId="0"/>
    <xf numFmtId="0" fontId="0" fillId="0" borderId="14" pivotButton="0" quotePrefix="0" xfId="0"/>
    <xf numFmtId="0" fontId="8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0" fillId="0" borderId="15" pivotButton="0" quotePrefix="0" xfId="0"/>
    <xf numFmtId="0" fontId="8" fillId="0" borderId="15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general" vertical="bottom"/>
    </xf>
    <xf numFmtId="0" fontId="26" fillId="4" borderId="1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FF8E1"/>
      <rgbColor rgb="FFEDF2F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2C94C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7" customWidth="1" style="32" min="2" max="2"/>
    <col width="9" customWidth="1" style="32" min="3" max="3"/>
    <col width="8" customWidth="1" style="32" min="4" max="4"/>
    <col width="8.5" customWidth="1" style="32" min="5" max="5"/>
    <col width="8" customWidth="1" style="32" min="6" max="6"/>
    <col width="8" customWidth="1" style="32" min="7" max="9"/>
    <col width="8" customWidth="1" style="33" min="8" max="8"/>
    <col width="9" customWidth="1" style="33" min="9" max="9"/>
    <col width="8" customWidth="1" style="32" min="10" max="10"/>
    <col width="9" customWidth="1" style="32" min="11" max="11"/>
    <col width="8" customWidth="1" style="32" min="12" max="12"/>
    <col width="6" customWidth="1" style="32" min="13" max="13"/>
    <col width="13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본대</t>
        </is>
      </c>
      <c r="G2" s="35" t="n"/>
      <c r="H2" s="38" t="inlineStr">
        <is>
          <t>기타</t>
        </is>
      </c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참석 시점</t>
        </is>
      </c>
      <c r="J3" s="40" t="inlineStr">
        <is>
          <t>하행</t>
        </is>
      </c>
      <c r="K3" s="40" t="inlineStr">
        <is>
          <t>귀가 시점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9.5" customHeight="1" s="33">
      <c r="A44" s="43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</row>
    <row r="45" ht="19.5" customHeight="1" s="33">
      <c r="A45" s="43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</row>
    <row r="46" ht="19.5" customHeight="1" s="33">
      <c r="A46" s="43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</row>
    <row r="47" ht="19.5" customHeight="1" s="33">
      <c r="A47" s="43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</row>
    <row r="48" ht="19.5" customHeight="1" s="33">
      <c r="A48" s="43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</row>
    <row r="49" ht="19.5" customHeight="1" s="33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</row>
    <row r="50" ht="19.5" customHeight="1" s="33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</row>
    <row r="51" ht="19.5" customHeight="1" s="33">
      <c r="A51" s="43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</row>
    <row r="52" ht="19.5" customHeight="1" s="33">
      <c r="A52" s="43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</row>
    <row r="53" ht="19.5" customHeight="1" s="33">
      <c r="A53" s="43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</row>
    <row r="54" ht="19.5" customHeight="1" s="33">
      <c r="A54" s="43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</row>
    <row r="55" ht="19.5" customHeight="1" s="33">
      <c r="A55" s="43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</row>
    <row r="56" ht="19.5" customHeight="1" s="33">
      <c r="A56" s="43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9.5" customHeight="1" s="33">
      <c r="A57" s="43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</row>
    <row r="58" ht="19.5" customHeight="1" s="33">
      <c r="A58" s="43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19.5" customHeight="1" s="33">
      <c r="A59" s="43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19.5" customHeight="1" s="33">
      <c r="A60" s="43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19.5" customHeight="1" s="33">
      <c r="A61" s="43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19.5" customHeight="1" s="33">
      <c r="A62" s="43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19.5" customHeight="1" s="33">
      <c r="A63" s="43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19.5" customHeight="1" s="33">
      <c r="A64" s="43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19.5" customHeight="1" s="33">
      <c r="A65" s="43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19.5" customHeight="1" s="33">
      <c r="A66" s="43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19.5" customHeight="1" s="33">
      <c r="A67" s="43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19.5" customHeight="1" s="33">
      <c r="A68" s="43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19.5" customHeight="1" s="33">
      <c r="A69" s="43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19.5" customHeight="1" s="33">
      <c r="A70" s="43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19.5" customHeight="1" s="33">
      <c r="A71" s="43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19.5" customHeight="1" s="33">
      <c r="A72" s="43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19.5" customHeight="1" s="33">
      <c r="A73" s="43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15" customHeight="1" s="33">
      <c r="A74" s="45" t="inlineStr">
        <is>
          <t>합  계</t>
        </is>
      </c>
      <c r="B74" s="35" t="n"/>
      <c r="C74" s="35" t="n"/>
      <c r="D74" s="35" t="n"/>
      <c r="E74" s="46">
        <f>IF(COUNTA(E4:E73)=0,"",COUNTA(E4:E73))</f>
        <v/>
      </c>
      <c r="F74" s="46">
        <f>IF(COUNTA(F4:F73)=0,"",COUNTA(F4:F73))</f>
        <v/>
      </c>
      <c r="G74" s="46">
        <f>IF(COUNTA(G4:G73)=0,"",COUNTA(G4:G73))</f>
        <v/>
      </c>
      <c r="H74" s="46">
        <f>IF(COUNTA(H4:H73)=0,"",COUNTA(H4:H73))</f>
        <v/>
      </c>
      <c r="I74" s="46">
        <f>IF(COUNTA(I4:I73)=0,"",COUNTA(I4:I73))</f>
        <v/>
      </c>
      <c r="J74" s="46">
        <f>IF(COUNTA(J4:J73)=0,"",COUNTA(J4:J73))</f>
        <v/>
      </c>
      <c r="K74" s="46">
        <f>IF(COUNTA(K4:K73)=0,"",COUNTA(K4:K73))</f>
        <v/>
      </c>
      <c r="L74" s="46">
        <f>IF(COUNTA(L4:L73)=0,"",COUNTA(L4:L73))</f>
        <v/>
      </c>
      <c r="M74" s="46" t="n"/>
      <c r="N74" s="46" t="n"/>
    </row>
  </sheetData>
  <mergeCells count="11">
    <mergeCell ref="L2:M2"/>
    <mergeCell ref="A1:N1"/>
    <mergeCell ref="F2:G2"/>
    <mergeCell ref="C2:C3"/>
    <mergeCell ref="H2:K2"/>
    <mergeCell ref="A2:A3"/>
    <mergeCell ref="B2:B3"/>
    <mergeCell ref="N2:N3"/>
    <mergeCell ref="D2:D3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I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5.51" customWidth="1" style="32" min="2" max="2"/>
    <col width="9.800000000000001" customWidth="1" style="32" min="3" max="3"/>
    <col width="8" customWidth="1" style="32" min="4" max="4"/>
    <col width="7.8" customWidth="1" style="32" min="5" max="5"/>
    <col width="8" customWidth="1" style="32" min="6" max="6"/>
    <col width="7" customWidth="1" style="32" min="7" max="7"/>
    <col width="13" customWidth="1" style="32" min="8" max="8"/>
    <col width="9" customWidth="1" style="32" min="9" max="9"/>
  </cols>
  <sheetData>
    <row r="1" ht="36" customHeight="1" s="33">
      <c r="A1" s="47" t="inlineStr">
        <is>
          <t>전도 대상자 명단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</row>
    <row r="2" ht="24" customHeight="1" s="33">
      <c r="A2" s="48" t="inlineStr">
        <is>
          <t>NO</t>
        </is>
      </c>
      <c r="B2" s="49" t="inlineStr">
        <is>
          <t>구역</t>
        </is>
      </c>
      <c r="C2" s="49" t="inlineStr">
        <is>
          <t>회(부서)</t>
        </is>
      </c>
      <c r="D2" s="49" t="inlineStr">
        <is>
          <t>성  명</t>
        </is>
      </c>
      <c r="E2" s="49" t="inlineStr">
        <is>
          <t>관계</t>
        </is>
      </c>
      <c r="F2" s="49" t="inlineStr">
        <is>
          <t>인도자</t>
        </is>
      </c>
      <c r="G2" s="38" t="inlineStr">
        <is>
          <t>숙소</t>
        </is>
      </c>
      <c r="H2" s="35" t="n"/>
      <c r="I2" s="49" t="inlineStr">
        <is>
          <t>비고</t>
        </is>
      </c>
    </row>
    <row r="3" ht="19.5" customHeight="1" s="33">
      <c r="A3" s="41" t="n">
        <v>1</v>
      </c>
      <c r="B3" s="42" t="n"/>
      <c r="C3" s="42" t="n"/>
      <c r="D3" s="42" t="n"/>
      <c r="E3" s="42" t="n"/>
      <c r="F3" s="42" t="n"/>
      <c r="G3" s="42" t="n"/>
      <c r="H3" s="42" t="n"/>
      <c r="I3" s="42" t="n"/>
    </row>
    <row r="4" ht="19.5" customHeight="1" s="33">
      <c r="A4" s="43" t="n">
        <v>2</v>
      </c>
      <c r="B4" s="44" t="n"/>
      <c r="C4" s="44" t="n"/>
      <c r="D4" s="44" t="n"/>
      <c r="E4" s="44" t="n"/>
      <c r="F4" s="44" t="n"/>
      <c r="G4" s="44" t="n"/>
      <c r="H4" s="44" t="n"/>
      <c r="I4" s="44" t="n"/>
    </row>
    <row r="5" ht="19.5" customHeight="1" s="33">
      <c r="A5" s="41" t="n">
        <v>3</v>
      </c>
      <c r="B5" s="42" t="n"/>
      <c r="C5" s="42" t="n"/>
      <c r="D5" s="42" t="n"/>
      <c r="E5" s="42" t="n"/>
      <c r="F5" s="42" t="n"/>
      <c r="G5" s="42" t="n"/>
      <c r="H5" s="42" t="n"/>
      <c r="I5" s="42" t="n"/>
    </row>
    <row r="6" ht="19.5" customHeight="1" s="33">
      <c r="A6" s="43" t="n">
        <v>4</v>
      </c>
      <c r="B6" s="44" t="n"/>
      <c r="C6" s="44" t="n"/>
      <c r="D6" s="44" t="n"/>
      <c r="E6" s="44" t="n"/>
      <c r="F6" s="44" t="n"/>
      <c r="G6" s="44" t="n"/>
      <c r="H6" s="44" t="n"/>
      <c r="I6" s="44" t="n"/>
    </row>
    <row r="7" ht="19.5" customHeight="1" s="33">
      <c r="A7" s="41" t="n">
        <v>5</v>
      </c>
      <c r="B7" s="42" t="n"/>
      <c r="C7" s="42" t="n"/>
      <c r="D7" s="42" t="n"/>
      <c r="E7" s="42" t="n"/>
      <c r="F7" s="42" t="n"/>
      <c r="G7" s="42" t="n"/>
      <c r="H7" s="42" t="n"/>
      <c r="I7" s="42" t="n"/>
    </row>
    <row r="8" ht="19.5" customHeight="1" s="33">
      <c r="A8" s="43" t="n">
        <v>6</v>
      </c>
      <c r="B8" s="44" t="n"/>
      <c r="C8" s="44" t="n"/>
      <c r="D8" s="44" t="n"/>
      <c r="E8" s="44" t="n"/>
      <c r="F8" s="44" t="n"/>
      <c r="G8" s="44" t="n"/>
      <c r="H8" s="44" t="n"/>
      <c r="I8" s="44" t="n"/>
    </row>
    <row r="9" ht="19.5" customHeight="1" s="33">
      <c r="A9" s="41" t="n">
        <v>7</v>
      </c>
      <c r="B9" s="42" t="n"/>
      <c r="C9" s="42" t="n"/>
      <c r="D9" s="42" t="n"/>
      <c r="E9" s="42" t="n"/>
      <c r="F9" s="42" t="n"/>
      <c r="G9" s="42" t="n"/>
      <c r="H9" s="42" t="n"/>
      <c r="I9" s="42" t="n"/>
    </row>
    <row r="10" ht="19.5" customHeight="1" s="33">
      <c r="A10" s="43" t="n">
        <v>8</v>
      </c>
      <c r="B10" s="44" t="n"/>
      <c r="C10" s="44" t="n"/>
      <c r="D10" s="44" t="n"/>
      <c r="E10" s="44" t="n"/>
      <c r="F10" s="44" t="n"/>
      <c r="G10" s="44" t="n"/>
      <c r="H10" s="44" t="n"/>
      <c r="I10" s="44" t="n"/>
    </row>
    <row r="11" ht="19.5" customHeight="1" s="33">
      <c r="A11" s="41" t="n">
        <v>9</v>
      </c>
      <c r="B11" s="42" t="n"/>
      <c r="C11" s="42" t="n"/>
      <c r="D11" s="42" t="n"/>
      <c r="E11" s="42" t="n"/>
      <c r="F11" s="42" t="n"/>
      <c r="G11" s="42" t="n"/>
      <c r="H11" s="42" t="n"/>
      <c r="I11" s="42" t="n"/>
    </row>
    <row r="12" ht="19.5" customHeight="1" s="33">
      <c r="A12" s="43" t="n">
        <v>10</v>
      </c>
      <c r="B12" s="44" t="n"/>
      <c r="C12" s="44" t="n"/>
      <c r="D12" s="44" t="n"/>
      <c r="E12" s="44" t="n"/>
      <c r="F12" s="44" t="n"/>
      <c r="G12" s="44" t="n"/>
      <c r="H12" s="44" t="n"/>
      <c r="I12" s="44" t="n"/>
    </row>
    <row r="13" ht="19.5" customHeight="1" s="33">
      <c r="A13" s="41" t="n">
        <v>11</v>
      </c>
      <c r="B13" s="42" t="n"/>
      <c r="C13" s="42" t="n"/>
      <c r="D13" s="42" t="n"/>
      <c r="E13" s="42" t="n"/>
      <c r="F13" s="42" t="n"/>
      <c r="G13" s="42" t="n"/>
      <c r="H13" s="42" t="n"/>
      <c r="I13" s="42" t="n"/>
    </row>
    <row r="14" ht="19.5" customHeight="1" s="33">
      <c r="A14" s="43" t="n">
        <v>12</v>
      </c>
      <c r="B14" s="44" t="n"/>
      <c r="C14" s="44" t="n"/>
      <c r="D14" s="44" t="n"/>
      <c r="E14" s="44" t="n"/>
      <c r="F14" s="44" t="n"/>
      <c r="G14" s="44" t="n"/>
      <c r="H14" s="44" t="n"/>
      <c r="I14" s="44" t="n"/>
    </row>
    <row r="15" ht="19.5" customHeight="1" s="33">
      <c r="A15" s="41" t="n">
        <v>13</v>
      </c>
      <c r="B15" s="42" t="n"/>
      <c r="C15" s="42" t="n"/>
      <c r="D15" s="42" t="n"/>
      <c r="E15" s="42" t="n"/>
      <c r="F15" s="42" t="n"/>
      <c r="G15" s="42" t="n"/>
      <c r="H15" s="42" t="n"/>
      <c r="I15" s="42" t="n"/>
    </row>
    <row r="16" ht="19.5" customHeight="1" s="33">
      <c r="A16" s="43" t="n">
        <v>14</v>
      </c>
      <c r="B16" s="44" t="n"/>
      <c r="C16" s="44" t="n"/>
      <c r="D16" s="44" t="n"/>
      <c r="E16" s="44" t="n"/>
      <c r="F16" s="44" t="n"/>
      <c r="G16" s="44" t="n"/>
      <c r="H16" s="44" t="n"/>
      <c r="I16" s="44" t="n"/>
    </row>
    <row r="17" ht="19.5" customHeight="1" s="33">
      <c r="A17" s="41" t="n">
        <v>15</v>
      </c>
      <c r="B17" s="42" t="n"/>
      <c r="C17" s="42" t="n"/>
      <c r="D17" s="42" t="n"/>
      <c r="E17" s="42" t="n"/>
      <c r="F17" s="42" t="n"/>
      <c r="G17" s="42" t="n"/>
      <c r="H17" s="42" t="n"/>
      <c r="I17" s="42" t="n"/>
    </row>
    <row r="18" ht="19.5" customHeight="1" s="33">
      <c r="A18" s="43" t="n">
        <v>16</v>
      </c>
      <c r="B18" s="44" t="n"/>
      <c r="C18" s="44" t="n"/>
      <c r="D18" s="44" t="n"/>
      <c r="E18" s="44" t="n"/>
      <c r="F18" s="44" t="n"/>
      <c r="G18" s="44" t="n"/>
      <c r="H18" s="44" t="n"/>
      <c r="I18" s="44" t="n"/>
    </row>
    <row r="19" ht="19.5" customHeight="1" s="33">
      <c r="A19" s="41" t="n">
        <v>17</v>
      </c>
      <c r="B19" s="42" t="n"/>
      <c r="C19" s="42" t="n"/>
      <c r="D19" s="42" t="n"/>
      <c r="E19" s="42" t="n"/>
      <c r="F19" s="42" t="n"/>
      <c r="G19" s="42" t="n"/>
      <c r="H19" s="42" t="n"/>
      <c r="I19" s="42" t="n"/>
    </row>
    <row r="20" ht="19.5" customHeight="1" s="33">
      <c r="A20" s="43" t="n">
        <v>18</v>
      </c>
      <c r="B20" s="44" t="n"/>
      <c r="C20" s="44" t="n"/>
      <c r="D20" s="44" t="n"/>
      <c r="E20" s="44" t="n"/>
      <c r="F20" s="44" t="n"/>
      <c r="G20" s="44" t="n"/>
      <c r="H20" s="44" t="n"/>
      <c r="I20" s="44" t="n"/>
    </row>
    <row r="21" ht="19.5" customHeight="1" s="33">
      <c r="A21" s="41" t="n">
        <v>19</v>
      </c>
      <c r="B21" s="42" t="n"/>
      <c r="C21" s="42" t="n"/>
      <c r="D21" s="42" t="n"/>
      <c r="E21" s="42" t="n"/>
      <c r="F21" s="42" t="n"/>
      <c r="G21" s="42" t="n"/>
      <c r="H21" s="42" t="n"/>
      <c r="I21" s="42" t="n"/>
    </row>
    <row r="22" ht="19.5" customHeight="1" s="33">
      <c r="A22" s="43" t="n">
        <v>20</v>
      </c>
      <c r="B22" s="44" t="n"/>
      <c r="C22" s="44" t="n"/>
      <c r="D22" s="44" t="n"/>
      <c r="E22" s="44" t="n"/>
      <c r="F22" s="44" t="n"/>
      <c r="G22" s="44" t="n"/>
      <c r="H22" s="44" t="n"/>
      <c r="I22" s="44" t="n"/>
    </row>
    <row r="23" ht="19.5" customHeight="1" s="33">
      <c r="A23" s="41" t="n">
        <v>21</v>
      </c>
      <c r="B23" s="42" t="n"/>
      <c r="C23" s="42" t="n"/>
      <c r="D23" s="42" t="n"/>
      <c r="E23" s="42" t="n"/>
      <c r="F23" s="42" t="n"/>
      <c r="G23" s="42" t="n"/>
      <c r="H23" s="42" t="n"/>
      <c r="I23" s="42" t="n"/>
    </row>
    <row r="24" ht="19.5" customHeight="1" s="33">
      <c r="A24" s="43" t="n">
        <v>22</v>
      </c>
      <c r="B24" s="44" t="n"/>
      <c r="C24" s="44" t="n"/>
      <c r="D24" s="44" t="n"/>
      <c r="E24" s="44" t="n"/>
      <c r="F24" s="44" t="n"/>
      <c r="G24" s="44" t="n"/>
      <c r="H24" s="44" t="n"/>
      <c r="I24" s="44" t="n"/>
    </row>
    <row r="25" ht="19.5" customHeight="1" s="33">
      <c r="A25" s="41" t="n">
        <v>23</v>
      </c>
      <c r="B25" s="42" t="n"/>
      <c r="C25" s="42" t="n"/>
      <c r="D25" s="42" t="n"/>
      <c r="E25" s="42" t="n"/>
      <c r="F25" s="42" t="n"/>
      <c r="G25" s="42" t="n"/>
      <c r="H25" s="42" t="n"/>
      <c r="I25" s="42" t="n"/>
    </row>
    <row r="26" ht="19.5" customHeight="1" s="33">
      <c r="A26" s="43" t="n">
        <v>24</v>
      </c>
      <c r="B26" s="44" t="n"/>
      <c r="C26" s="44" t="n"/>
      <c r="D26" s="44" t="n"/>
      <c r="E26" s="44" t="n"/>
      <c r="F26" s="44" t="n"/>
      <c r="G26" s="44" t="n"/>
      <c r="H26" s="44" t="n"/>
      <c r="I26" s="44" t="n"/>
    </row>
    <row r="27" ht="19.5" customHeight="1" s="33">
      <c r="A27" s="41" t="n">
        <v>25</v>
      </c>
      <c r="B27" s="42" t="n"/>
      <c r="C27" s="42" t="n"/>
      <c r="D27" s="42" t="n"/>
      <c r="E27" s="42" t="n"/>
      <c r="F27" s="42" t="n"/>
      <c r="G27" s="42" t="n"/>
      <c r="H27" s="42" t="n"/>
      <c r="I27" s="42" t="n"/>
    </row>
    <row r="28" ht="19.5" customHeight="1" s="33">
      <c r="A28" s="43" t="n">
        <v>26</v>
      </c>
      <c r="B28" s="44" t="n"/>
      <c r="C28" s="44" t="n"/>
      <c r="D28" s="44" t="n"/>
      <c r="E28" s="44" t="n"/>
      <c r="F28" s="44" t="n"/>
      <c r="G28" s="44" t="n"/>
      <c r="H28" s="44" t="n"/>
      <c r="I28" s="44" t="n"/>
    </row>
    <row r="29" ht="19.5" customHeight="1" s="33">
      <c r="A29" s="41" t="n">
        <v>27</v>
      </c>
      <c r="B29" s="42" t="n"/>
      <c r="C29" s="42" t="n"/>
      <c r="D29" s="42" t="n"/>
      <c r="E29" s="42" t="n"/>
      <c r="F29" s="42" t="n"/>
      <c r="G29" s="42" t="n"/>
      <c r="H29" s="42" t="n"/>
      <c r="I29" s="42" t="n"/>
    </row>
    <row r="30" ht="19.5" customHeight="1" s="33">
      <c r="A30" s="43" t="n">
        <v>28</v>
      </c>
      <c r="B30" s="44" t="n"/>
      <c r="C30" s="44" t="n"/>
      <c r="D30" s="44" t="n"/>
      <c r="E30" s="44" t="n"/>
      <c r="F30" s="44" t="n"/>
      <c r="G30" s="44" t="n"/>
      <c r="H30" s="44" t="n"/>
      <c r="I30" s="44" t="n"/>
    </row>
    <row r="31" ht="19.5" customHeight="1" s="33">
      <c r="A31" s="41" t="n">
        <v>29</v>
      </c>
      <c r="B31" s="42" t="n"/>
      <c r="C31" s="42" t="n"/>
      <c r="D31" s="42" t="n"/>
      <c r="E31" s="42" t="n"/>
      <c r="F31" s="42" t="n"/>
      <c r="G31" s="42" t="n"/>
      <c r="H31" s="42" t="n"/>
      <c r="I31" s="42" t="n"/>
    </row>
    <row r="32" ht="19.5" customHeight="1" s="33">
      <c r="A32" s="43" t="n">
        <v>30</v>
      </c>
      <c r="B32" s="44" t="n"/>
      <c r="C32" s="44" t="n"/>
      <c r="D32" s="44" t="n"/>
      <c r="E32" s="44" t="n"/>
      <c r="F32" s="44" t="n"/>
      <c r="G32" s="44" t="n"/>
      <c r="H32" s="44" t="n"/>
      <c r="I32" s="44" t="n"/>
    </row>
    <row r="33" ht="19.5" customHeight="1" s="33">
      <c r="A33" s="41" t="n">
        <v>31</v>
      </c>
      <c r="B33" s="42" t="n"/>
      <c r="C33" s="42" t="n"/>
      <c r="D33" s="42" t="n"/>
      <c r="E33" s="42" t="n"/>
      <c r="F33" s="42" t="n"/>
      <c r="G33" s="42" t="n"/>
      <c r="H33" s="42" t="n"/>
      <c r="I33" s="42" t="n"/>
    </row>
    <row r="34" ht="19.5" customHeight="1" s="33">
      <c r="A34" s="43" t="n">
        <v>32</v>
      </c>
      <c r="B34" s="44" t="n"/>
      <c r="C34" s="44" t="n"/>
      <c r="D34" s="44" t="n"/>
      <c r="E34" s="44" t="n"/>
      <c r="F34" s="44" t="n"/>
      <c r="G34" s="44" t="n"/>
      <c r="H34" s="44" t="n"/>
      <c r="I34" s="44" t="n"/>
    </row>
    <row r="35" ht="19.5" customHeight="1" s="33">
      <c r="A35" s="41" t="n">
        <v>33</v>
      </c>
      <c r="B35" s="42" t="n"/>
      <c r="C35" s="42" t="n"/>
      <c r="D35" s="42" t="n"/>
      <c r="E35" s="42" t="n"/>
      <c r="F35" s="42" t="n"/>
      <c r="G35" s="42" t="n"/>
      <c r="H35" s="42" t="n"/>
      <c r="I35" s="42" t="n"/>
    </row>
    <row r="36" ht="19.5" customHeight="1" s="33">
      <c r="A36" s="43" t="n">
        <v>34</v>
      </c>
      <c r="B36" s="44" t="n"/>
      <c r="C36" s="44" t="n"/>
      <c r="D36" s="44" t="n"/>
      <c r="E36" s="44" t="n"/>
      <c r="F36" s="44" t="n"/>
      <c r="G36" s="44" t="n"/>
      <c r="H36" s="44" t="n"/>
      <c r="I36" s="44" t="n"/>
    </row>
    <row r="37" ht="19.5" customHeight="1" s="33">
      <c r="A37" s="41" t="n">
        <v>35</v>
      </c>
      <c r="B37" s="42" t="n"/>
      <c r="C37" s="42" t="n"/>
      <c r="D37" s="42" t="n"/>
      <c r="E37" s="42" t="n"/>
      <c r="F37" s="42" t="n"/>
      <c r="G37" s="42" t="n"/>
      <c r="H37" s="42" t="n"/>
      <c r="I37" s="42" t="n"/>
    </row>
    <row r="38" ht="19.5" customHeight="1" s="33">
      <c r="A38" s="43" t="n">
        <v>36</v>
      </c>
      <c r="B38" s="44" t="n"/>
      <c r="C38" s="44" t="n"/>
      <c r="D38" s="44" t="n"/>
      <c r="E38" s="44" t="n"/>
      <c r="F38" s="44" t="n"/>
      <c r="G38" s="44" t="n"/>
      <c r="H38" s="44" t="n"/>
      <c r="I38" s="44" t="n"/>
    </row>
    <row r="39" ht="19.5" customHeight="1" s="33">
      <c r="A39" s="41" t="n">
        <v>37</v>
      </c>
      <c r="B39" s="42" t="n"/>
      <c r="C39" s="42" t="n"/>
      <c r="D39" s="42" t="n"/>
      <c r="E39" s="42" t="n"/>
      <c r="F39" s="42" t="n"/>
      <c r="G39" s="42" t="n"/>
      <c r="H39" s="42" t="n"/>
      <c r="I39" s="42" t="n"/>
    </row>
    <row r="40" ht="19.5" customHeight="1" s="33">
      <c r="A40" s="43" t="n">
        <v>38</v>
      </c>
      <c r="B40" s="44" t="n"/>
      <c r="C40" s="44" t="n"/>
      <c r="D40" s="44" t="n"/>
      <c r="E40" s="44" t="n"/>
      <c r="F40" s="44" t="n"/>
      <c r="G40" s="44" t="n"/>
      <c r="H40" s="44" t="n"/>
      <c r="I40" s="44" t="n"/>
    </row>
    <row r="41" ht="19.5" customHeight="1" s="33">
      <c r="A41" s="41" t="n">
        <v>39</v>
      </c>
      <c r="B41" s="42" t="n"/>
      <c r="C41" s="42" t="n"/>
      <c r="D41" s="42" t="n"/>
      <c r="E41" s="42" t="n"/>
      <c r="F41" s="42" t="n"/>
      <c r="G41" s="42" t="n"/>
      <c r="H41" s="42" t="n"/>
      <c r="I41" s="42" t="n"/>
    </row>
    <row r="42" ht="19.5" customHeight="1" s="33">
      <c r="A42" s="43" t="n">
        <v>40</v>
      </c>
      <c r="B42" s="44" t="n"/>
      <c r="C42" s="44" t="n"/>
      <c r="D42" s="44" t="n"/>
      <c r="E42" s="44" t="n"/>
      <c r="F42" s="44" t="n"/>
      <c r="G42" s="44" t="n"/>
      <c r="H42" s="44" t="n"/>
      <c r="I42" s="44" t="n"/>
    </row>
  </sheetData>
  <mergeCells count="2">
    <mergeCell ref="A1:I1"/>
    <mergeCell ref="G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8" customWidth="1" style="32" min="3" max="3"/>
    <col width="8.5" customWidth="1" style="32" min="4" max="4"/>
    <col width="8" customWidth="1" style="32" min="5" max="5"/>
    <col width="9" customWidth="1" style="32" min="6" max="6"/>
    <col width="8.5" customWidth="1" style="32" min="7" max="7"/>
    <col width="13" customWidth="1" style="32" min="8" max="8"/>
    <col width="9" customWidth="1" style="32" min="9" max="9"/>
  </cols>
  <sheetData>
    <row r="1" ht="36" customHeight="1" s="33">
      <c r="A1" s="34" t="inlineStr">
        <is>
          <t>2026년 하계수양회 전도 및 침례 현황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</row>
    <row r="2" ht="24" customHeight="1" s="33">
      <c r="A2" s="48" t="inlineStr">
        <is>
          <t>NO</t>
        </is>
      </c>
      <c r="B2" s="49" t="inlineStr">
        <is>
          <t>구역</t>
        </is>
      </c>
      <c r="C2" s="49" t="inlineStr">
        <is>
          <t>성명</t>
        </is>
      </c>
      <c r="D2" s="49" t="inlineStr">
        <is>
          <t>회(부서)</t>
        </is>
      </c>
      <c r="E2" s="49" t="inlineStr">
        <is>
          <t>인도자</t>
        </is>
      </c>
      <c r="F2" s="49" t="inlineStr">
        <is>
          <t>관계</t>
        </is>
      </c>
      <c r="G2" s="49" t="inlineStr">
        <is>
          <t>구원시인</t>
        </is>
      </c>
      <c r="H2" s="49" t="inlineStr">
        <is>
          <t>침례여부</t>
        </is>
      </c>
      <c r="I2" s="49" t="inlineStr">
        <is>
          <t>비고</t>
        </is>
      </c>
    </row>
    <row r="3" ht="19.5" customHeight="1" s="33">
      <c r="A3" s="41" t="n"/>
      <c r="B3" s="42" t="n"/>
      <c r="C3" s="42" t="n"/>
      <c r="D3" s="42" t="n"/>
      <c r="E3" s="42" t="n"/>
      <c r="F3" s="42" t="n"/>
      <c r="G3" s="42" t="n"/>
      <c r="H3" s="42" t="n"/>
      <c r="I3" s="42" t="n"/>
    </row>
    <row r="4" ht="19.5" customHeight="1" s="33">
      <c r="A4" s="43" t="n"/>
      <c r="B4" s="44" t="n"/>
      <c r="C4" s="44" t="n"/>
      <c r="D4" s="44" t="n"/>
      <c r="E4" s="44" t="n"/>
      <c r="F4" s="44" t="n"/>
      <c r="G4" s="44" t="n"/>
      <c r="H4" s="44" t="n"/>
      <c r="I4" s="44" t="n"/>
    </row>
    <row r="5" ht="19.5" customHeight="1" s="33">
      <c r="A5" s="41" t="n"/>
      <c r="B5" s="42" t="n"/>
      <c r="C5" s="42" t="n"/>
      <c r="D5" s="42" t="n"/>
      <c r="E5" s="42" t="n"/>
      <c r="F5" s="42" t="n"/>
      <c r="G5" s="42" t="n"/>
      <c r="H5" s="42" t="n"/>
      <c r="I5" s="42" t="n"/>
    </row>
    <row r="6" ht="19.5" customHeight="1" s="33">
      <c r="A6" s="43" t="n"/>
      <c r="B6" s="44" t="n"/>
      <c r="C6" s="44" t="n"/>
      <c r="D6" s="44" t="n"/>
      <c r="E6" s="44" t="n"/>
      <c r="F6" s="44" t="n"/>
      <c r="G6" s="44" t="n"/>
      <c r="H6" s="44" t="n"/>
      <c r="I6" s="44" t="n"/>
    </row>
    <row r="7" ht="19.5" customHeight="1" s="33">
      <c r="A7" s="41" t="n"/>
      <c r="B7" s="42" t="n"/>
      <c r="C7" s="42" t="n"/>
      <c r="D7" s="42" t="n"/>
      <c r="E7" s="42" t="n"/>
      <c r="F7" s="42" t="n"/>
      <c r="G7" s="42" t="n"/>
      <c r="H7" s="42" t="n"/>
      <c r="I7" s="42" t="n"/>
    </row>
    <row r="8" ht="19.5" customHeight="1" s="33">
      <c r="A8" s="43" t="n"/>
      <c r="B8" s="44" t="n"/>
      <c r="C8" s="44" t="n"/>
      <c r="D8" s="44" t="n"/>
      <c r="E8" s="44" t="n"/>
      <c r="F8" s="44" t="n"/>
      <c r="G8" s="44" t="n"/>
      <c r="H8" s="44" t="n"/>
      <c r="I8" s="44" t="n"/>
    </row>
    <row r="9" ht="19.5" customHeight="1" s="33">
      <c r="A9" s="41" t="n"/>
      <c r="B9" s="42" t="n"/>
      <c r="C9" s="42" t="n"/>
      <c r="D9" s="42" t="n"/>
      <c r="E9" s="42" t="n"/>
      <c r="F9" s="42" t="n"/>
      <c r="G9" s="42" t="n"/>
      <c r="H9" s="42" t="n"/>
      <c r="I9" s="42" t="n"/>
    </row>
    <row r="10" ht="19.5" customHeight="1" s="33">
      <c r="A10" s="43" t="n"/>
      <c r="B10" s="44" t="n"/>
      <c r="C10" s="44" t="n"/>
      <c r="D10" s="44" t="n"/>
      <c r="E10" s="44" t="n"/>
      <c r="F10" s="44" t="n"/>
      <c r="G10" s="44" t="n"/>
      <c r="H10" s="44" t="n"/>
      <c r="I10" s="44" t="n"/>
    </row>
    <row r="11" ht="19.5" customHeight="1" s="33">
      <c r="A11" s="41" t="n"/>
      <c r="B11" s="42" t="n"/>
      <c r="C11" s="42" t="n"/>
      <c r="D11" s="42" t="n"/>
      <c r="E11" s="42" t="n"/>
      <c r="F11" s="42" t="n"/>
      <c r="G11" s="42" t="n"/>
      <c r="H11" s="42" t="n"/>
      <c r="I11" s="42" t="n"/>
    </row>
    <row r="12" ht="19.5" customHeight="1" s="33">
      <c r="A12" s="43" t="n"/>
      <c r="B12" s="44" t="n"/>
      <c r="C12" s="44" t="n"/>
      <c r="D12" s="44" t="n"/>
      <c r="E12" s="44" t="n"/>
      <c r="F12" s="44" t="n"/>
      <c r="G12" s="44" t="n"/>
      <c r="H12" s="44" t="n"/>
      <c r="I12" s="44" t="n"/>
    </row>
    <row r="13" ht="19.5" customHeight="1" s="33">
      <c r="A13" s="41" t="n"/>
      <c r="B13" s="42" t="n"/>
      <c r="C13" s="42" t="n"/>
      <c r="D13" s="42" t="n"/>
      <c r="E13" s="42" t="n"/>
      <c r="F13" s="42" t="n"/>
      <c r="G13" s="42" t="n"/>
      <c r="H13" s="42" t="n"/>
      <c r="I13" s="42" t="n"/>
    </row>
    <row r="14" ht="19.5" customHeight="1" s="33">
      <c r="A14" s="43" t="n"/>
      <c r="B14" s="44" t="n"/>
      <c r="C14" s="44" t="n"/>
      <c r="D14" s="44" t="n"/>
      <c r="E14" s="44" t="n"/>
      <c r="F14" s="44" t="n"/>
      <c r="G14" s="44" t="n"/>
      <c r="H14" s="44" t="n"/>
      <c r="I14" s="44" t="n"/>
    </row>
    <row r="15" ht="19.5" customHeight="1" s="33">
      <c r="A15" s="41" t="n"/>
      <c r="B15" s="42" t="n"/>
      <c r="C15" s="42" t="n"/>
      <c r="D15" s="42" t="n"/>
      <c r="E15" s="42" t="n"/>
      <c r="F15" s="42" t="n"/>
      <c r="G15" s="42" t="n"/>
      <c r="H15" s="42" t="n"/>
      <c r="I15" s="42" t="n"/>
    </row>
    <row r="16" ht="19.5" customHeight="1" s="33">
      <c r="A16" s="43" t="n"/>
      <c r="B16" s="44" t="n"/>
      <c r="C16" s="44" t="n"/>
      <c r="D16" s="44" t="n"/>
      <c r="E16" s="44" t="n"/>
      <c r="F16" s="44" t="n"/>
      <c r="G16" s="44" t="n"/>
      <c r="H16" s="44" t="n"/>
      <c r="I16" s="44" t="n"/>
    </row>
    <row r="17" ht="19.5" customHeight="1" s="33">
      <c r="A17" s="41" t="n"/>
      <c r="B17" s="42" t="n"/>
      <c r="C17" s="42" t="n"/>
      <c r="D17" s="42" t="n"/>
      <c r="E17" s="42" t="n"/>
      <c r="F17" s="42" t="n"/>
      <c r="G17" s="42" t="n"/>
      <c r="H17" s="42" t="n"/>
      <c r="I17" s="42" t="n"/>
    </row>
    <row r="18" ht="19.5" customHeight="1" s="33">
      <c r="A18" s="43" t="n"/>
      <c r="B18" s="44" t="n"/>
      <c r="C18" s="44" t="n"/>
      <c r="D18" s="44" t="n"/>
      <c r="E18" s="44" t="n"/>
      <c r="F18" s="44" t="n"/>
      <c r="G18" s="44" t="n"/>
      <c r="H18" s="44" t="n"/>
      <c r="I18" s="44" t="n"/>
    </row>
    <row r="19" ht="19.5" customHeight="1" s="33">
      <c r="A19" s="41" t="n"/>
      <c r="B19" s="42" t="n"/>
      <c r="C19" s="42" t="n"/>
      <c r="D19" s="42" t="n"/>
      <c r="E19" s="42" t="n"/>
      <c r="F19" s="42" t="n"/>
      <c r="G19" s="42" t="n"/>
      <c r="H19" s="42" t="n"/>
      <c r="I19" s="42" t="n"/>
    </row>
    <row r="20" ht="19.5" customHeight="1" s="33">
      <c r="A20" s="43" t="n"/>
      <c r="B20" s="44" t="n"/>
      <c r="C20" s="44" t="n"/>
      <c r="D20" s="44" t="n"/>
      <c r="E20" s="44" t="n"/>
      <c r="F20" s="44" t="n"/>
      <c r="G20" s="44" t="n"/>
      <c r="H20" s="44" t="n"/>
      <c r="I20" s="44" t="n"/>
    </row>
    <row r="21" ht="19.5" customHeight="1" s="33">
      <c r="A21" s="41" t="n"/>
      <c r="B21" s="42" t="n"/>
      <c r="C21" s="42" t="n"/>
      <c r="D21" s="42" t="n"/>
      <c r="E21" s="42" t="n"/>
      <c r="F21" s="42" t="n"/>
      <c r="G21" s="42" t="n"/>
      <c r="H21" s="42" t="n"/>
      <c r="I21" s="42" t="n"/>
    </row>
    <row r="22" ht="19.5" customHeight="1" s="33">
      <c r="A22" s="43" t="n"/>
      <c r="B22" s="44" t="n"/>
      <c r="C22" s="44" t="n"/>
      <c r="D22" s="44" t="n"/>
      <c r="E22" s="44" t="n"/>
      <c r="F22" s="44" t="n"/>
      <c r="G22" s="44" t="n"/>
      <c r="H22" s="44" t="n"/>
      <c r="I22" s="44" t="n"/>
    </row>
    <row r="23" ht="19.5" customHeight="1" s="33">
      <c r="A23" s="41" t="n"/>
      <c r="B23" s="42" t="n"/>
      <c r="C23" s="42" t="n"/>
      <c r="D23" s="42" t="n"/>
      <c r="E23" s="42" t="n"/>
      <c r="F23" s="42" t="n"/>
      <c r="G23" s="42" t="n"/>
      <c r="H23" s="42" t="n"/>
      <c r="I23" s="42" t="n"/>
    </row>
    <row r="24" ht="19.5" customHeight="1" s="33">
      <c r="A24" s="43" t="n"/>
      <c r="B24" s="44" t="n"/>
      <c r="C24" s="44" t="n"/>
      <c r="D24" s="44" t="n"/>
      <c r="E24" s="44" t="n"/>
      <c r="F24" s="44" t="n"/>
      <c r="G24" s="44" t="n"/>
      <c r="H24" s="44" t="n"/>
      <c r="I24" s="44" t="n"/>
    </row>
    <row r="25" ht="19.5" customHeight="1" s="33">
      <c r="A25" s="41" t="n"/>
      <c r="B25" s="42" t="n"/>
      <c r="C25" s="42" t="n"/>
      <c r="D25" s="42" t="n"/>
      <c r="E25" s="42" t="n"/>
      <c r="F25" s="42" t="n"/>
      <c r="G25" s="42" t="n"/>
      <c r="H25" s="42" t="n"/>
      <c r="I25" s="42" t="n"/>
    </row>
    <row r="26" ht="19.5" customHeight="1" s="33">
      <c r="A26" s="43" t="n"/>
      <c r="B26" s="44" t="n"/>
      <c r="C26" s="44" t="n"/>
      <c r="D26" s="44" t="n"/>
      <c r="E26" s="44" t="n"/>
      <c r="F26" s="44" t="n"/>
      <c r="G26" s="44" t="n"/>
      <c r="H26" s="44" t="n"/>
      <c r="I26" s="44" t="n"/>
    </row>
    <row r="27" ht="19.5" customHeight="1" s="33">
      <c r="A27" s="41" t="n"/>
      <c r="B27" s="42" t="n"/>
      <c r="C27" s="42" t="n"/>
      <c r="D27" s="42" t="n"/>
      <c r="E27" s="42" t="n"/>
      <c r="F27" s="42" t="n"/>
      <c r="G27" s="42" t="n"/>
      <c r="H27" s="42" t="n"/>
      <c r="I27" s="42" t="n"/>
    </row>
    <row r="28" ht="19.5" customHeight="1" s="33">
      <c r="A28" s="43" t="n"/>
      <c r="B28" s="44" t="n"/>
      <c r="C28" s="44" t="n"/>
      <c r="D28" s="44" t="n"/>
      <c r="E28" s="44" t="n"/>
      <c r="F28" s="44" t="n"/>
      <c r="G28" s="44" t="n"/>
      <c r="H28" s="44" t="n"/>
      <c r="I28" s="44" t="n"/>
    </row>
    <row r="29" ht="19.5" customHeight="1" s="33">
      <c r="A29" s="41" t="n"/>
      <c r="B29" s="42" t="n"/>
      <c r="C29" s="42" t="n"/>
      <c r="D29" s="42" t="n"/>
      <c r="E29" s="42" t="n"/>
      <c r="F29" s="42" t="n"/>
      <c r="G29" s="42" t="n"/>
      <c r="H29" s="42" t="n"/>
      <c r="I29" s="42" t="n"/>
    </row>
    <row r="30" ht="19.5" customHeight="1" s="33">
      <c r="A30" s="43" t="n"/>
      <c r="B30" s="44" t="n"/>
      <c r="C30" s="44" t="n"/>
      <c r="D30" s="44" t="n"/>
      <c r="E30" s="44" t="n"/>
      <c r="F30" s="44" t="n"/>
      <c r="G30" s="44" t="n"/>
      <c r="H30" s="44" t="n"/>
      <c r="I30" s="44" t="n"/>
    </row>
    <row r="31" ht="19.5" customHeight="1" s="33">
      <c r="A31" s="41" t="n"/>
      <c r="B31" s="42" t="n"/>
      <c r="C31" s="42" t="n"/>
      <c r="D31" s="42" t="n"/>
      <c r="E31" s="42" t="n"/>
      <c r="F31" s="42" t="n"/>
      <c r="G31" s="42" t="n"/>
      <c r="H31" s="42" t="n"/>
      <c r="I31" s="42" t="n"/>
    </row>
    <row r="32" ht="19.5" customHeight="1" s="33">
      <c r="A32" s="43" t="n"/>
      <c r="B32" s="44" t="n"/>
      <c r="C32" s="44" t="n"/>
      <c r="D32" s="44" t="n"/>
      <c r="E32" s="44" t="n"/>
      <c r="F32" s="44" t="n"/>
      <c r="G32" s="44" t="n"/>
      <c r="H32" s="44" t="n"/>
      <c r="I32" s="44" t="n"/>
    </row>
    <row r="33" ht="19.5" customHeight="1" s="33">
      <c r="A33" s="41" t="n"/>
      <c r="B33" s="42" t="n"/>
      <c r="C33" s="42" t="n"/>
      <c r="D33" s="42" t="n"/>
      <c r="E33" s="42" t="n"/>
      <c r="F33" s="42" t="n"/>
      <c r="G33" s="42" t="n"/>
      <c r="H33" s="42" t="n"/>
      <c r="I33" s="42" t="n"/>
    </row>
    <row r="34" ht="19.5" customHeight="1" s="33">
      <c r="A34" s="43" t="n"/>
      <c r="B34" s="44" t="n"/>
      <c r="C34" s="44" t="n"/>
      <c r="D34" s="44" t="n"/>
      <c r="E34" s="44" t="n"/>
      <c r="F34" s="44" t="n"/>
      <c r="G34" s="44" t="n"/>
      <c r="H34" s="44" t="n"/>
      <c r="I34" s="44" t="n"/>
    </row>
    <row r="35" ht="19.5" customHeight="1" s="33">
      <c r="A35" s="41" t="n"/>
      <c r="B35" s="42" t="n"/>
      <c r="C35" s="42" t="n"/>
      <c r="D35" s="42" t="n"/>
      <c r="E35" s="42" t="n"/>
      <c r="F35" s="42" t="n"/>
      <c r="G35" s="42" t="n"/>
      <c r="H35" s="42" t="n"/>
      <c r="I35" s="42" t="n"/>
    </row>
    <row r="36" ht="19.5" customHeight="1" s="33">
      <c r="A36" s="43" t="n"/>
      <c r="B36" s="44" t="n"/>
      <c r="C36" s="44" t="n"/>
      <c r="D36" s="44" t="n"/>
      <c r="E36" s="44" t="n"/>
      <c r="F36" s="44" t="n"/>
      <c r="G36" s="44" t="n"/>
      <c r="H36" s="44" t="n"/>
      <c r="I36" s="44" t="n"/>
    </row>
    <row r="37" ht="19.5" customHeight="1" s="33">
      <c r="A37" s="41" t="n"/>
      <c r="B37" s="42" t="n"/>
      <c r="C37" s="42" t="n"/>
      <c r="D37" s="42" t="n"/>
      <c r="E37" s="42" t="n"/>
      <c r="F37" s="42" t="n"/>
      <c r="G37" s="42" t="n"/>
      <c r="H37" s="42" t="n"/>
      <c r="I37" s="42" t="n"/>
    </row>
    <row r="38" ht="15" customHeight="1" s="33">
      <c r="A38" s="45" t="n"/>
      <c r="B38" s="32" t="n"/>
      <c r="C38" s="32" t="n"/>
      <c r="D38" s="32" t="n"/>
      <c r="E38" s="32" t="n"/>
      <c r="F38" s="32" t="n"/>
      <c r="G38" s="46" t="n"/>
      <c r="H38" s="46" t="n"/>
      <c r="I38" s="46" t="n"/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K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0" customWidth="1" style="32" min="5" max="5"/>
    <col width="13" customWidth="1" style="32" min="6" max="6"/>
    <col width="8.5" customWidth="1" style="32" min="7" max="7"/>
    <col width="13" customWidth="1" style="32" min="8" max="11"/>
  </cols>
  <sheetData>
    <row r="1" ht="36" customHeight="1" s="33">
      <c r="A1" s="50" t="inlineStr">
        <is>
          <t>회비 지원 명단</t>
        </is>
      </c>
      <c r="B1" s="35" t="n"/>
      <c r="C1" s="35" t="n"/>
      <c r="D1" s="35" t="n"/>
      <c r="E1" s="35" t="n"/>
      <c r="F1" s="35" t="n"/>
    </row>
    <row r="2" ht="24" customHeight="1" s="33">
      <c r="A2" s="51" t="inlineStr">
        <is>
          <t>NO</t>
        </is>
      </c>
      <c r="B2" s="52" t="inlineStr">
        <is>
          <t>구역</t>
        </is>
      </c>
      <c r="C2" s="52" t="inlineStr">
        <is>
          <t>회(부서)</t>
        </is>
      </c>
      <c r="D2" s="52" t="inlineStr">
        <is>
          <t>성  명</t>
        </is>
      </c>
      <c r="E2" s="52" t="inlineStr">
        <is>
          <t>금액</t>
        </is>
      </c>
      <c r="F2" s="52" t="inlineStr">
        <is>
          <t>비고</t>
        </is>
      </c>
      <c r="J2" s="53" t="inlineStr">
        <is>
          <t>회비</t>
        </is>
      </c>
      <c r="K2" s="35" t="n"/>
    </row>
    <row r="3" ht="15" customHeight="1" s="33">
      <c r="A3" s="41" t="n">
        <v>1</v>
      </c>
      <c r="B3" s="42" t="n"/>
      <c r="C3" s="42" t="n"/>
      <c r="D3" s="42" t="n"/>
      <c r="E3" s="54">
        <f>IF(C3="","",VLOOKUP(C3,$J$3:$K$11,2,0))</f>
        <v/>
      </c>
      <c r="F3" s="42" t="n"/>
      <c r="J3" s="55" t="inlineStr">
        <is>
          <t>은장회</t>
        </is>
      </c>
      <c r="K3" s="56" t="n">
        <v>50000</v>
      </c>
    </row>
    <row r="4" ht="15" customHeight="1" s="33">
      <c r="A4" s="43" t="n">
        <v>2</v>
      </c>
      <c r="B4" s="44" t="n"/>
      <c r="C4" s="44" t="n"/>
      <c r="D4" s="44" t="n"/>
      <c r="E4" s="57">
        <f>IF(C4="","",VLOOKUP(C4,$J$3:$K$11,2,0))</f>
        <v/>
      </c>
      <c r="F4" s="44" t="n"/>
      <c r="J4" s="55" t="inlineStr">
        <is>
          <t>봉사회</t>
        </is>
      </c>
      <c r="K4" s="56" t="n">
        <v>70000</v>
      </c>
    </row>
    <row r="5" ht="15" customHeight="1" s="33">
      <c r="A5" s="41" t="n">
        <v>3</v>
      </c>
      <c r="B5" s="42" t="n"/>
      <c r="C5" s="42" t="n"/>
      <c r="D5" s="42" t="n"/>
      <c r="E5" s="54">
        <f>IF(C5="","",VLOOKUP(C5,$J$3:$K$11,2,0))</f>
        <v/>
      </c>
      <c r="F5" s="42" t="n"/>
      <c r="J5" s="55" t="inlineStr">
        <is>
          <t>어머니회</t>
        </is>
      </c>
      <c r="K5" s="56" t="n">
        <v>70000</v>
      </c>
    </row>
    <row r="6" ht="15" customHeight="1" s="33">
      <c r="A6" s="43" t="n">
        <v>4</v>
      </c>
      <c r="B6" s="44" t="n"/>
      <c r="C6" s="44" t="n"/>
      <c r="D6" s="44" t="n"/>
      <c r="E6" s="57">
        <f>IF(C6="","",VLOOKUP(C6,$J$3:$K$11,2,0))</f>
        <v/>
      </c>
      <c r="F6" s="44" t="n"/>
      <c r="J6" s="55" t="inlineStr">
        <is>
          <t>청년회</t>
        </is>
      </c>
      <c r="K6" s="56" t="n">
        <v>70000</v>
      </c>
    </row>
    <row r="7" ht="15" customHeight="1" s="33">
      <c r="A7" s="41" t="n">
        <v>5</v>
      </c>
      <c r="B7" s="42" t="n"/>
      <c r="C7" s="42" t="n"/>
      <c r="D7" s="42" t="n"/>
      <c r="E7" s="54">
        <f>IF(C7="","",VLOOKUP(C7,$J$3:$K$11,2,0))</f>
        <v/>
      </c>
      <c r="F7" s="42" t="n"/>
      <c r="J7" s="55" t="inlineStr">
        <is>
          <t>대학부</t>
        </is>
      </c>
      <c r="K7" s="56" t="n">
        <v>50000</v>
      </c>
    </row>
    <row r="8" ht="15" customHeight="1" s="33">
      <c r="A8" s="43" t="n">
        <v>6</v>
      </c>
      <c r="B8" s="44" t="n"/>
      <c r="C8" s="44" t="n"/>
      <c r="D8" s="44" t="n"/>
      <c r="E8" s="57">
        <f>IF(C8="","",VLOOKUP(C8,$J$3:$K$11,2,0))</f>
        <v/>
      </c>
      <c r="F8" s="44" t="n"/>
      <c r="J8" s="55" t="inlineStr">
        <is>
          <t>중고등부</t>
        </is>
      </c>
      <c r="K8" s="56" t="n">
        <v>0</v>
      </c>
    </row>
    <row r="9" ht="15" customHeight="1" s="33">
      <c r="A9" s="41" t="n">
        <v>7</v>
      </c>
      <c r="B9" s="42" t="n"/>
      <c r="C9" s="42" t="n"/>
      <c r="D9" s="42" t="n"/>
      <c r="E9" s="54">
        <f>IF(C9="","",VLOOKUP(C9,$J$3:$K$11,2,0))</f>
        <v/>
      </c>
      <c r="F9" s="42" t="n"/>
      <c r="J9" s="55" t="inlineStr">
        <is>
          <t>초등부</t>
        </is>
      </c>
      <c r="K9" s="56" t="n">
        <v>0</v>
      </c>
    </row>
    <row r="10" ht="15" customHeight="1" s="33">
      <c r="A10" s="43" t="n">
        <v>8</v>
      </c>
      <c r="B10" s="44" t="n"/>
      <c r="C10" s="44" t="n"/>
      <c r="D10" s="44" t="n"/>
      <c r="E10" s="57">
        <f>IF(C10="","",VLOOKUP(C10,$J$3:$K$11,2,0))</f>
        <v/>
      </c>
      <c r="F10" s="44" t="n"/>
      <c r="J10" s="55" t="inlineStr">
        <is>
          <t>유치부</t>
        </is>
      </c>
      <c r="K10" s="56" t="n">
        <v>0</v>
      </c>
    </row>
    <row r="11" ht="15" customHeight="1" s="33">
      <c r="A11" s="41" t="n">
        <v>9</v>
      </c>
      <c r="B11" s="42" t="n"/>
      <c r="C11" s="42" t="n"/>
      <c r="D11" s="42" t="n"/>
      <c r="E11" s="54">
        <f>IF(C11="","",VLOOKUP(C11,$J$3:$K$11,2,0))</f>
        <v/>
      </c>
      <c r="F11" s="42" t="n"/>
      <c r="J11" s="55" t="inlineStr">
        <is>
          <t>미취학</t>
        </is>
      </c>
      <c r="K11" s="56" t="n">
        <v>0</v>
      </c>
    </row>
    <row r="12" ht="15" customHeight="1" s="33">
      <c r="A12" s="43" t="n">
        <v>10</v>
      </c>
      <c r="B12" s="44" t="n"/>
      <c r="C12" s="44" t="n"/>
      <c r="D12" s="44" t="n"/>
      <c r="E12" s="57">
        <f>IF(C12="","",VLOOKUP(C12,$J$3:$K$11,2,0))</f>
        <v/>
      </c>
      <c r="F12" s="44" t="n"/>
    </row>
    <row r="13" ht="15" customHeight="1" s="33">
      <c r="A13" s="41" t="n">
        <v>11</v>
      </c>
      <c r="B13" s="42" t="n"/>
      <c r="C13" s="42" t="n"/>
      <c r="D13" s="42" t="n"/>
      <c r="E13" s="54">
        <f>IF(C13="","",VLOOKUP(C13,$J$3:$K$11,2,0))</f>
        <v/>
      </c>
      <c r="F13" s="42" t="n"/>
    </row>
    <row r="14" ht="15" customHeight="1" s="33">
      <c r="A14" s="43" t="n">
        <v>12</v>
      </c>
      <c r="B14" s="44" t="n"/>
      <c r="C14" s="44" t="n"/>
      <c r="D14" s="44" t="n"/>
      <c r="E14" s="57">
        <f>IF(C14="","",VLOOKUP(C14,$J$3:$K$11,2,0))</f>
        <v/>
      </c>
      <c r="F14" s="44" t="n"/>
    </row>
    <row r="15" ht="15" customHeight="1" s="33">
      <c r="A15" s="41" t="n">
        <v>13</v>
      </c>
      <c r="B15" s="42" t="n"/>
      <c r="C15" s="42" t="n"/>
      <c r="D15" s="42" t="n"/>
      <c r="E15" s="54">
        <f>IF(C15="","",VLOOKUP(C15,$J$3:$K$11,2,0))</f>
        <v/>
      </c>
      <c r="F15" s="42" t="n"/>
    </row>
    <row r="16" ht="15" customHeight="1" s="33">
      <c r="A16" s="43" t="n">
        <v>14</v>
      </c>
      <c r="B16" s="44" t="n"/>
      <c r="C16" s="44" t="n"/>
      <c r="D16" s="44" t="n"/>
      <c r="E16" s="57">
        <f>IF(C16="","",VLOOKUP(C16,$J$3:$K$11,2,0))</f>
        <v/>
      </c>
      <c r="F16" s="44" t="n"/>
    </row>
    <row r="17" ht="15" customHeight="1" s="33">
      <c r="A17" s="41" t="n">
        <v>15</v>
      </c>
      <c r="B17" s="42" t="n"/>
      <c r="C17" s="42" t="n"/>
      <c r="D17" s="42" t="n"/>
      <c r="E17" s="54">
        <f>IF(C17="","",VLOOKUP(C17,$J$3:$K$11,2,0))</f>
        <v/>
      </c>
      <c r="F17" s="42" t="n"/>
    </row>
    <row r="18" ht="15" customHeight="1" s="33">
      <c r="A18" s="43" t="n">
        <v>16</v>
      </c>
      <c r="B18" s="44" t="n"/>
      <c r="C18" s="44" t="n"/>
      <c r="D18" s="44" t="n"/>
      <c r="E18" s="57">
        <f>IF(C18="","",VLOOKUP(C18,$J$3:$K$11,2,0))</f>
        <v/>
      </c>
      <c r="F18" s="44" t="n"/>
    </row>
    <row r="19" ht="15" customHeight="1" s="33">
      <c r="A19" s="41" t="n">
        <v>17</v>
      </c>
      <c r="B19" s="42" t="n"/>
      <c r="C19" s="42" t="n"/>
      <c r="D19" s="42" t="n"/>
      <c r="E19" s="54">
        <f>IF(C19="","",VLOOKUP(C19,$J$3:$K$11,2,0))</f>
        <v/>
      </c>
      <c r="F19" s="42" t="n"/>
    </row>
    <row r="20" ht="15" customHeight="1" s="33">
      <c r="A20" s="43" t="n">
        <v>18</v>
      </c>
      <c r="B20" s="44" t="n"/>
      <c r="C20" s="44" t="n"/>
      <c r="D20" s="44" t="n"/>
      <c r="E20" s="57">
        <f>IF(C20="","",VLOOKUP(C20,$J$3:$K$11,2,0))</f>
        <v/>
      </c>
      <c r="F20" s="44" t="n"/>
    </row>
    <row r="21" ht="15" customHeight="1" s="33">
      <c r="A21" s="41" t="n">
        <v>19</v>
      </c>
      <c r="B21" s="42" t="n"/>
      <c r="C21" s="42" t="n"/>
      <c r="D21" s="42" t="n"/>
      <c r="E21" s="54">
        <f>IF(C21="","",VLOOKUP(C21,$J$3:$K$11,2,0))</f>
        <v/>
      </c>
      <c r="F21" s="42" t="n"/>
    </row>
    <row r="22" ht="15" customHeight="1" s="33">
      <c r="A22" s="43" t="n">
        <v>20</v>
      </c>
      <c r="B22" s="44" t="n"/>
      <c r="C22" s="44" t="n"/>
      <c r="D22" s="44" t="n"/>
      <c r="E22" s="57">
        <f>IF(C22="","",VLOOKUP(C22,$J$3:$K$11,2,0))</f>
        <v/>
      </c>
      <c r="F22" s="44" t="n"/>
    </row>
    <row r="23" ht="15" customHeight="1" s="33">
      <c r="A23" s="41" t="n">
        <v>21</v>
      </c>
      <c r="B23" s="42" t="n"/>
      <c r="C23" s="42" t="n"/>
      <c r="D23" s="42" t="n"/>
      <c r="E23" s="54">
        <f>IF(C23="","",VLOOKUP(C23,$J$3:$K$11,2,0))</f>
        <v/>
      </c>
      <c r="F23" s="42" t="n"/>
    </row>
    <row r="24" ht="15" customHeight="1" s="33">
      <c r="A24" s="43" t="n">
        <v>22</v>
      </c>
      <c r="B24" s="44" t="n"/>
      <c r="C24" s="44" t="n"/>
      <c r="D24" s="44" t="n"/>
      <c r="E24" s="57">
        <f>IF(C24="","",VLOOKUP(C24,$J$3:$K$11,2,0))</f>
        <v/>
      </c>
      <c r="F24" s="44" t="n"/>
    </row>
    <row r="25" ht="15" customHeight="1" s="33">
      <c r="A25" s="41" t="n">
        <v>23</v>
      </c>
      <c r="B25" s="42" t="n"/>
      <c r="C25" s="42" t="n"/>
      <c r="D25" s="42" t="n"/>
      <c r="E25" s="54">
        <f>IF(C25="","",VLOOKUP(C25,$J$3:$K$11,2,0))</f>
        <v/>
      </c>
      <c r="F25" s="42" t="n"/>
    </row>
    <row r="26" ht="15" customHeight="1" s="33">
      <c r="A26" s="43" t="n">
        <v>24</v>
      </c>
      <c r="B26" s="44" t="n"/>
      <c r="C26" s="44" t="n"/>
      <c r="D26" s="44" t="n"/>
      <c r="E26" s="57">
        <f>IF(C26="","",VLOOKUP(C26,$J$3:$K$11,2,0))</f>
        <v/>
      </c>
      <c r="F26" s="44" t="n"/>
    </row>
    <row r="27" ht="15" customHeight="1" s="33">
      <c r="A27" s="41" t="n">
        <v>25</v>
      </c>
      <c r="B27" s="42" t="n"/>
      <c r="C27" s="42" t="n"/>
      <c r="D27" s="42" t="n"/>
      <c r="E27" s="54">
        <f>IF(C27="","",VLOOKUP(C27,$J$3:$K$11,2,0))</f>
        <v/>
      </c>
      <c r="F27" s="42" t="n"/>
    </row>
    <row r="28" ht="15" customHeight="1" s="33">
      <c r="A28" s="43" t="n">
        <v>26</v>
      </c>
      <c r="B28" s="44" t="n"/>
      <c r="C28" s="44" t="n"/>
      <c r="D28" s="44" t="n"/>
      <c r="E28" s="57">
        <f>IF(C28="","",VLOOKUP(C28,$J$3:$K$11,2,0))</f>
        <v/>
      </c>
      <c r="F28" s="44" t="n"/>
    </row>
    <row r="29" ht="15" customHeight="1" s="33">
      <c r="A29" s="41" t="n">
        <v>27</v>
      </c>
      <c r="B29" s="42" t="n"/>
      <c r="C29" s="42" t="n"/>
      <c r="D29" s="42" t="n"/>
      <c r="E29" s="54">
        <f>IF(C29="","",VLOOKUP(C29,$J$3:$K$11,2,0))</f>
        <v/>
      </c>
      <c r="F29" s="42" t="n"/>
    </row>
    <row r="30" ht="15" customHeight="1" s="33">
      <c r="A30" s="43" t="n">
        <v>28</v>
      </c>
      <c r="B30" s="44" t="n"/>
      <c r="C30" s="44" t="n"/>
      <c r="D30" s="44" t="n"/>
      <c r="E30" s="57">
        <f>IF(C30="","",VLOOKUP(C30,$J$3:$K$11,2,0))</f>
        <v/>
      </c>
      <c r="F30" s="44" t="n"/>
    </row>
    <row r="31" ht="15" customHeight="1" s="33">
      <c r="A31" s="41" t="n">
        <v>29</v>
      </c>
      <c r="B31" s="42" t="n"/>
      <c r="C31" s="42" t="n"/>
      <c r="D31" s="42" t="n"/>
      <c r="E31" s="54">
        <f>IF(C31="","",VLOOKUP(C31,$J$3:$K$11,2,0))</f>
        <v/>
      </c>
      <c r="F31" s="42" t="n"/>
    </row>
    <row r="32" ht="15" customHeight="1" s="33">
      <c r="A32" s="43" t="n">
        <v>30</v>
      </c>
      <c r="B32" s="44" t="n"/>
      <c r="C32" s="44" t="n"/>
      <c r="D32" s="44" t="n"/>
      <c r="E32" s="57">
        <f>IF(C32="","",VLOOKUP(C32,$J$3:$K$11,2,0))</f>
        <v/>
      </c>
      <c r="F32" s="44" t="n"/>
    </row>
    <row r="33" ht="15" customHeight="1" s="33">
      <c r="A33" s="41" t="n">
        <v>31</v>
      </c>
      <c r="B33" s="42" t="n"/>
      <c r="C33" s="42" t="n"/>
      <c r="D33" s="42" t="n"/>
      <c r="E33" s="54">
        <f>IF(C33="","",VLOOKUP(C33,$J$3:$K$11,2,0))</f>
        <v/>
      </c>
      <c r="F33" s="42" t="n"/>
    </row>
    <row r="34" ht="15" customHeight="1" s="33">
      <c r="A34" s="43" t="n">
        <v>32</v>
      </c>
      <c r="B34" s="44" t="n"/>
      <c r="C34" s="44" t="n"/>
      <c r="D34" s="44" t="n"/>
      <c r="E34" s="57">
        <f>IF(C34="","",VLOOKUP(C34,$J$3:$K$11,2,0))</f>
        <v/>
      </c>
      <c r="F34" s="44" t="n"/>
    </row>
    <row r="35" ht="15" customHeight="1" s="33">
      <c r="A35" s="41" t="n">
        <v>33</v>
      </c>
      <c r="B35" s="42" t="n"/>
      <c r="C35" s="42" t="n"/>
      <c r="D35" s="42" t="n"/>
      <c r="E35" s="54">
        <f>IF(C35="","",VLOOKUP(C35,$J$3:$K$11,2,0))</f>
        <v/>
      </c>
      <c r="F35" s="42" t="n"/>
    </row>
    <row r="36" ht="15" customHeight="1" s="33">
      <c r="A36" s="43" t="n">
        <v>34</v>
      </c>
      <c r="B36" s="44" t="n"/>
      <c r="C36" s="44" t="n"/>
      <c r="D36" s="44" t="n"/>
      <c r="E36" s="57">
        <f>IF(C36="","",VLOOKUP(C36,$J$3:$K$11,2,0))</f>
        <v/>
      </c>
      <c r="F36" s="44" t="n"/>
    </row>
    <row r="37" ht="15" customHeight="1" s="33">
      <c r="A37" s="41" t="n">
        <v>35</v>
      </c>
      <c r="B37" s="42" t="n"/>
      <c r="C37" s="42" t="n"/>
      <c r="D37" s="42" t="n"/>
      <c r="E37" s="54">
        <f>IF(C37="","",VLOOKUP(C37,$J$3:$K$11,2,0))</f>
        <v/>
      </c>
      <c r="F37" s="42" t="n"/>
    </row>
    <row r="38" ht="15" customHeight="1" s="33">
      <c r="A38" s="43" t="n">
        <v>36</v>
      </c>
      <c r="B38" s="44" t="n"/>
      <c r="C38" s="44" t="n"/>
      <c r="D38" s="44" t="n"/>
      <c r="E38" s="57">
        <f>IF(C38="","",VLOOKUP(C38,$J$3:$K$11,2,0))</f>
        <v/>
      </c>
      <c r="F38" s="44" t="n"/>
    </row>
    <row r="39" ht="15" customHeight="1" s="33">
      <c r="A39" s="41" t="n">
        <v>37</v>
      </c>
      <c r="B39" s="42" t="n"/>
      <c r="C39" s="42" t="n"/>
      <c r="D39" s="42" t="n"/>
      <c r="E39" s="54">
        <f>IF(C39="","",VLOOKUP(C39,$J$3:$K$11,2,0))</f>
        <v/>
      </c>
      <c r="F39" s="42" t="n"/>
    </row>
    <row r="40" ht="15" customHeight="1" s="33">
      <c r="A40" s="43" t="n">
        <v>38</v>
      </c>
      <c r="B40" s="44" t="n"/>
      <c r="C40" s="44" t="n"/>
      <c r="D40" s="44" t="n"/>
      <c r="E40" s="57">
        <f>IF(C40="","",VLOOKUP(C40,$J$3:$K$11,2,0))</f>
        <v/>
      </c>
      <c r="F40" s="44" t="n"/>
    </row>
    <row r="41" ht="15" customHeight="1" s="33">
      <c r="A41" s="41" t="n">
        <v>39</v>
      </c>
      <c r="B41" s="42" t="n"/>
      <c r="C41" s="42" t="n"/>
      <c r="D41" s="42" t="n"/>
      <c r="E41" s="54">
        <f>IF(C41="","",VLOOKUP(C41,$J$3:$K$11,2,0))</f>
        <v/>
      </c>
      <c r="F41" s="42" t="n"/>
    </row>
    <row r="42" ht="15" customHeight="1" s="33">
      <c r="A42" s="43" t="n">
        <v>40</v>
      </c>
      <c r="B42" s="44" t="n"/>
      <c r="C42" s="44" t="n"/>
      <c r="D42" s="44" t="n"/>
      <c r="E42" s="57">
        <f>IF(C42="","",VLOOKUP(C42,$J$3:$K$11,2,0))</f>
        <v/>
      </c>
      <c r="F42" s="44" t="n"/>
    </row>
    <row r="43" ht="15" customHeight="1" s="33">
      <c r="A43" s="41" t="n">
        <v>41</v>
      </c>
      <c r="B43" s="42" t="n"/>
      <c r="C43" s="42" t="n"/>
      <c r="D43" s="42" t="n"/>
      <c r="E43" s="54">
        <f>IF(C43="","",VLOOKUP(C43,$J$3:$K$11,2,0))</f>
        <v/>
      </c>
      <c r="F43" s="42" t="n"/>
    </row>
    <row r="44" ht="15" customHeight="1" s="33">
      <c r="A44" s="43" t="n">
        <v>42</v>
      </c>
      <c r="B44" s="44" t="n"/>
      <c r="C44" s="44" t="n"/>
      <c r="D44" s="44" t="n"/>
      <c r="E44" s="57">
        <f>IF(C44="","",VLOOKUP(C44,$J$3:$K$11,2,0))</f>
        <v/>
      </c>
      <c r="F44" s="44" t="n"/>
    </row>
    <row r="45" ht="15" customHeight="1" s="33">
      <c r="A45" s="41" t="n">
        <v>43</v>
      </c>
      <c r="B45" s="42" t="n"/>
      <c r="C45" s="42" t="n"/>
      <c r="D45" s="42" t="n"/>
      <c r="E45" s="54">
        <f>IF(C45="","",VLOOKUP(C45,$J$3:$K$11,2,0))</f>
        <v/>
      </c>
      <c r="F45" s="42" t="n"/>
    </row>
    <row r="46" ht="15" customHeight="1" s="33">
      <c r="A46" s="43" t="n">
        <v>44</v>
      </c>
      <c r="B46" s="44" t="n"/>
      <c r="C46" s="44" t="n"/>
      <c r="D46" s="44" t="n"/>
      <c r="E46" s="57">
        <f>IF(C46="","",VLOOKUP(C46,$J$3:$K$11,2,0))</f>
        <v/>
      </c>
      <c r="F46" s="44" t="n"/>
    </row>
    <row r="47" ht="15" customHeight="1" s="33">
      <c r="A47" s="41" t="n">
        <v>45</v>
      </c>
      <c r="B47" s="42" t="n"/>
      <c r="C47" s="42" t="n"/>
      <c r="D47" s="42" t="n"/>
      <c r="E47" s="54">
        <f>IF(C47="","",VLOOKUP(C47,$J$3:$K$11,2,0))</f>
        <v/>
      </c>
      <c r="F47" s="42" t="n"/>
    </row>
    <row r="48" ht="15" customHeight="1" s="33">
      <c r="A48" s="43" t="n">
        <v>46</v>
      </c>
      <c r="B48" s="44" t="n"/>
      <c r="C48" s="44" t="n"/>
      <c r="D48" s="44" t="n"/>
      <c r="E48" s="57">
        <f>IF(C48="","",VLOOKUP(C48,$J$3:$K$11,2,0))</f>
        <v/>
      </c>
      <c r="F48" s="44" t="n"/>
    </row>
    <row r="49" ht="15" customHeight="1" s="33">
      <c r="A49" s="41" t="n">
        <v>47</v>
      </c>
      <c r="B49" s="42" t="n"/>
      <c r="C49" s="42" t="n"/>
      <c r="D49" s="42" t="n"/>
      <c r="E49" s="54">
        <f>IF(C49="","",VLOOKUP(C49,$J$3:$K$11,2,0))</f>
        <v/>
      </c>
      <c r="F49" s="42" t="n"/>
    </row>
    <row r="50" ht="15" customHeight="1" s="33">
      <c r="A50" s="43" t="n">
        <v>48</v>
      </c>
      <c r="B50" s="44" t="n"/>
      <c r="C50" s="44" t="n"/>
      <c r="D50" s="44" t="n"/>
      <c r="E50" s="57">
        <f>IF(C50="","",VLOOKUP(C50,$J$3:$K$11,2,0))</f>
        <v/>
      </c>
      <c r="F50" s="44" t="n"/>
    </row>
    <row r="51" ht="15" customHeight="1" s="33">
      <c r="A51" s="41" t="n">
        <v>49</v>
      </c>
      <c r="B51" s="42" t="n"/>
      <c r="C51" s="42" t="n"/>
      <c r="D51" s="42" t="n"/>
      <c r="E51" s="54">
        <f>IF(C51="","",VLOOKUP(C51,$J$3:$K$11,2,0))</f>
        <v/>
      </c>
      <c r="F51" s="42" t="n"/>
    </row>
    <row r="52" ht="15" customHeight="1" s="33">
      <c r="A52" s="43" t="n">
        <v>50</v>
      </c>
      <c r="B52" s="44" t="n"/>
      <c r="C52" s="44" t="n"/>
      <c r="D52" s="44" t="n"/>
      <c r="E52" s="57">
        <f>IF(C52="","",VLOOKUP(C52,$J$3:$K$11,2,0))</f>
        <v/>
      </c>
      <c r="F52" s="44" t="n"/>
    </row>
    <row r="53" ht="15" customHeight="1" s="33">
      <c r="A53" s="41" t="n">
        <v>51</v>
      </c>
      <c r="B53" s="42" t="n"/>
      <c r="C53" s="42" t="n"/>
      <c r="D53" s="42" t="n"/>
      <c r="E53" s="54">
        <f>IF(C53="","",VLOOKUP(C53,$J$3:$K$11,2,0))</f>
        <v/>
      </c>
      <c r="F53" s="42" t="n"/>
    </row>
    <row r="54" ht="15" customHeight="1" s="33">
      <c r="A54" s="43" t="n">
        <v>52</v>
      </c>
      <c r="B54" s="44" t="n"/>
      <c r="C54" s="44" t="n"/>
      <c r="D54" s="44" t="n"/>
      <c r="E54" s="57">
        <f>IF(C54="","",VLOOKUP(C54,$J$3:$K$11,2,0))</f>
        <v/>
      </c>
      <c r="F54" s="44" t="n"/>
    </row>
    <row r="55" ht="15" customHeight="1" s="33">
      <c r="A55" s="41" t="n">
        <v>53</v>
      </c>
      <c r="B55" s="42" t="n"/>
      <c r="C55" s="42" t="n"/>
      <c r="D55" s="42" t="n"/>
      <c r="E55" s="54">
        <f>IF(C55="","",VLOOKUP(C55,$J$3:$K$11,2,0))</f>
        <v/>
      </c>
      <c r="F55" s="42" t="n"/>
    </row>
    <row r="56" ht="15" customHeight="1" s="33">
      <c r="A56" s="43" t="n">
        <v>54</v>
      </c>
      <c r="B56" s="44" t="n"/>
      <c r="C56" s="44" t="n"/>
      <c r="D56" s="44" t="n"/>
      <c r="E56" s="57">
        <f>IF(C56="","",VLOOKUP(C56,$J$3:$K$11,2,0))</f>
        <v/>
      </c>
      <c r="F56" s="44" t="n"/>
    </row>
    <row r="57" ht="15" customHeight="1" s="33">
      <c r="A57" s="41" t="n">
        <v>55</v>
      </c>
      <c r="B57" s="42" t="n"/>
      <c r="C57" s="42" t="n"/>
      <c r="D57" s="42" t="n"/>
      <c r="E57" s="54">
        <f>IF(C57="","",VLOOKUP(C57,$J$3:$K$11,2,0))</f>
        <v/>
      </c>
      <c r="F57" s="42" t="n"/>
    </row>
    <row r="58" ht="15" customHeight="1" s="33">
      <c r="A58" s="43" t="n">
        <v>56</v>
      </c>
      <c r="B58" s="44" t="n"/>
      <c r="C58" s="44" t="n"/>
      <c r="D58" s="44" t="n"/>
      <c r="E58" s="57">
        <f>IF(C58="","",VLOOKUP(C58,$J$3:$K$11,2,0))</f>
        <v/>
      </c>
      <c r="F58" s="44" t="n"/>
    </row>
    <row r="59" ht="15" customHeight="1" s="33">
      <c r="A59" s="41" t="n">
        <v>57</v>
      </c>
      <c r="B59" s="42" t="n"/>
      <c r="C59" s="42" t="n"/>
      <c r="D59" s="42" t="n"/>
      <c r="E59" s="54">
        <f>IF(C59="","",VLOOKUP(C59,$J$3:$K$11,2,0))</f>
        <v/>
      </c>
      <c r="F59" s="42" t="n"/>
    </row>
    <row r="60" ht="15" customHeight="1" s="33">
      <c r="A60" s="43" t="n">
        <v>58</v>
      </c>
      <c r="B60" s="44" t="n"/>
      <c r="C60" s="44" t="n"/>
      <c r="D60" s="44" t="n"/>
      <c r="E60" s="57">
        <f>IF(C60="","",VLOOKUP(C60,$J$3:$K$11,2,0))</f>
        <v/>
      </c>
      <c r="F60" s="44" t="n"/>
    </row>
    <row r="61" ht="15" customHeight="1" s="33">
      <c r="A61" s="41" t="n">
        <v>59</v>
      </c>
      <c r="B61" s="42" t="n"/>
      <c r="C61" s="42" t="n"/>
      <c r="D61" s="42" t="n"/>
      <c r="E61" s="54">
        <f>IF(C61="","",VLOOKUP(C61,$J$3:$K$11,2,0))</f>
        <v/>
      </c>
      <c r="F61" s="42" t="n"/>
    </row>
    <row r="62" ht="15" customHeight="1" s="33">
      <c r="A62" s="43" t="n">
        <v>60</v>
      </c>
      <c r="B62" s="44" t="n"/>
      <c r="C62" s="44" t="n"/>
      <c r="D62" s="44" t="n"/>
      <c r="E62" s="57">
        <f>IF(C62="","",VLOOKUP(C62,$J$3:$K$11,2,0))</f>
        <v/>
      </c>
      <c r="F62" s="44" t="n"/>
    </row>
    <row r="63" ht="15" customHeight="1" s="33">
      <c r="A63" s="41" t="n">
        <v>61</v>
      </c>
      <c r="B63" s="42" t="n"/>
      <c r="C63" s="42" t="n"/>
      <c r="D63" s="42" t="n"/>
      <c r="E63" s="54">
        <f>IF(C63="","",VLOOKUP(C63,$J$3:$K$11,2,0))</f>
        <v/>
      </c>
      <c r="F63" s="42" t="n"/>
    </row>
    <row r="64" ht="15" customHeight="1" s="33">
      <c r="A64" s="43" t="n">
        <v>62</v>
      </c>
      <c r="B64" s="44" t="n"/>
      <c r="C64" s="44" t="n"/>
      <c r="D64" s="44" t="n"/>
      <c r="E64" s="57">
        <f>IF(C64="","",VLOOKUP(C64,$J$3:$K$11,2,0))</f>
        <v/>
      </c>
      <c r="F64" s="44" t="n"/>
    </row>
    <row r="65" ht="15" customHeight="1" s="33">
      <c r="A65" s="41" t="n">
        <v>63</v>
      </c>
      <c r="B65" s="42" t="n"/>
      <c r="C65" s="42" t="n"/>
      <c r="D65" s="42" t="n"/>
      <c r="E65" s="54">
        <f>IF(C65="","",VLOOKUP(C65,$J$3:$K$11,2,0))</f>
        <v/>
      </c>
      <c r="F65" s="42" t="n"/>
    </row>
    <row r="66" ht="15" customHeight="1" s="33">
      <c r="A66" s="43" t="n">
        <v>64</v>
      </c>
      <c r="B66" s="44" t="n"/>
      <c r="C66" s="44" t="n"/>
      <c r="D66" s="44" t="n"/>
      <c r="E66" s="57">
        <f>IF(C66="","",VLOOKUP(C66,$J$3:$K$11,2,0))</f>
        <v/>
      </c>
      <c r="F66" s="44" t="n"/>
    </row>
    <row r="67" ht="15" customHeight="1" s="33">
      <c r="A67" s="41" t="n">
        <v>65</v>
      </c>
      <c r="B67" s="42" t="n"/>
      <c r="C67" s="42" t="n"/>
      <c r="D67" s="42" t="n"/>
      <c r="E67" s="54">
        <f>IF(C67="","",VLOOKUP(C67,$J$3:$K$11,2,0))</f>
        <v/>
      </c>
      <c r="F67" s="42" t="n"/>
    </row>
    <row r="68" ht="15" customHeight="1" s="33">
      <c r="A68" s="43" t="n">
        <v>66</v>
      </c>
      <c r="B68" s="44" t="n"/>
      <c r="C68" s="44" t="n"/>
      <c r="D68" s="44" t="n"/>
      <c r="E68" s="57">
        <f>IF(C68="","",VLOOKUP(C68,$J$3:$K$11,2,0))</f>
        <v/>
      </c>
      <c r="F68" s="44" t="n"/>
    </row>
    <row r="69" ht="15" customHeight="1" s="33">
      <c r="A69" s="41" t="n">
        <v>67</v>
      </c>
      <c r="B69" s="42" t="n"/>
      <c r="C69" s="42" t="n"/>
      <c r="D69" s="42" t="n"/>
      <c r="E69" s="54">
        <f>IF(C69="","",VLOOKUP(C69,$J$3:$K$11,2,0))</f>
        <v/>
      </c>
      <c r="F69" s="42" t="n"/>
    </row>
    <row r="70" ht="15" customHeight="1" s="33">
      <c r="A70" s="43" t="n">
        <v>68</v>
      </c>
      <c r="B70" s="44" t="n"/>
      <c r="C70" s="44" t="n"/>
      <c r="D70" s="44" t="n"/>
      <c r="E70" s="57">
        <f>IF(C70="","",VLOOKUP(C70,$J$3:$K$11,2,0))</f>
        <v/>
      </c>
      <c r="F70" s="44" t="n"/>
    </row>
    <row r="71" ht="15" customHeight="1" s="33">
      <c r="A71" s="41" t="n">
        <v>69</v>
      </c>
      <c r="B71" s="42" t="n"/>
      <c r="C71" s="42" t="n"/>
      <c r="D71" s="42" t="n"/>
      <c r="E71" s="54">
        <f>IF(C71="","",VLOOKUP(C71,$J$3:$K$11,2,0))</f>
        <v/>
      </c>
      <c r="F71" s="42" t="n"/>
    </row>
    <row r="72" ht="15" customHeight="1" s="33">
      <c r="A72" s="43" t="n">
        <v>70</v>
      </c>
      <c r="B72" s="44" t="n"/>
      <c r="C72" s="44" t="n"/>
      <c r="D72" s="44" t="n"/>
      <c r="E72" s="57">
        <f>IF(C72="","",VLOOKUP(C72,$J$3:$K$11,2,0))</f>
        <v/>
      </c>
      <c r="F72" s="44" t="n"/>
    </row>
    <row r="73" ht="15" customHeight="1" s="33">
      <c r="A73" s="41" t="n">
        <v>71</v>
      </c>
      <c r="B73" s="42" t="n"/>
      <c r="C73" s="42" t="n"/>
      <c r="D73" s="42" t="n"/>
      <c r="E73" s="54">
        <f>IF(C73="","",VLOOKUP(C73,$J$3:$K$11,2,0))</f>
        <v/>
      </c>
      <c r="F73" s="42" t="n"/>
    </row>
    <row r="74" ht="15" customHeight="1" s="33">
      <c r="A74" s="43" t="n">
        <v>72</v>
      </c>
      <c r="B74" s="44" t="n"/>
      <c r="C74" s="44" t="n"/>
      <c r="D74" s="44" t="n"/>
      <c r="E74" s="57">
        <f>IF(C74="","",VLOOKUP(C74,$J$3:$K$11,2,0))</f>
        <v/>
      </c>
      <c r="F74" s="44" t="n"/>
    </row>
    <row r="75" ht="15" customHeight="1" s="33">
      <c r="A75" s="41" t="n">
        <v>73</v>
      </c>
      <c r="B75" s="42" t="n"/>
      <c r="C75" s="42" t="n"/>
      <c r="D75" s="42" t="n"/>
      <c r="E75" s="54">
        <f>IF(C75="","",VLOOKUP(C75,$J$3:$K$11,2,0))</f>
        <v/>
      </c>
      <c r="F75" s="42" t="n"/>
    </row>
    <row r="76" ht="15" customHeight="1" s="33">
      <c r="A76" s="43" t="n">
        <v>74</v>
      </c>
      <c r="B76" s="44" t="n"/>
      <c r="C76" s="44" t="n"/>
      <c r="D76" s="44" t="n"/>
      <c r="E76" s="57">
        <f>IF(C76="","",VLOOKUP(C76,$J$3:$K$11,2,0))</f>
        <v/>
      </c>
      <c r="F76" s="44" t="n"/>
    </row>
    <row r="77" ht="15" customHeight="1" s="33">
      <c r="A77" s="41" t="n">
        <v>75</v>
      </c>
      <c r="B77" s="42" t="n"/>
      <c r="C77" s="42" t="n"/>
      <c r="D77" s="42" t="n"/>
      <c r="E77" s="54">
        <f>IF(C77="","",VLOOKUP(C77,$J$3:$K$11,2,0))</f>
        <v/>
      </c>
      <c r="F77" s="42" t="n"/>
    </row>
    <row r="78" ht="15" customHeight="1" s="33">
      <c r="A78" s="43" t="n">
        <v>76</v>
      </c>
      <c r="B78" s="44" t="n"/>
      <c r="C78" s="44" t="n"/>
      <c r="D78" s="44" t="n"/>
      <c r="E78" s="57">
        <f>IF(C78="","",VLOOKUP(C78,$J$3:$K$11,2,0))</f>
        <v/>
      </c>
      <c r="F78" s="44" t="n"/>
    </row>
    <row r="79" ht="15" customHeight="1" s="33">
      <c r="A79" s="41" t="n">
        <v>77</v>
      </c>
      <c r="B79" s="42" t="n"/>
      <c r="C79" s="42" t="n"/>
      <c r="D79" s="42" t="n"/>
      <c r="E79" s="54">
        <f>IF(C79="","",VLOOKUP(C79,$J$3:$K$11,2,0))</f>
        <v/>
      </c>
      <c r="F79" s="42" t="n"/>
    </row>
    <row r="80" ht="15" customHeight="1" s="33">
      <c r="A80" s="43" t="n">
        <v>78</v>
      </c>
      <c r="B80" s="44" t="n"/>
      <c r="C80" s="44" t="n"/>
      <c r="D80" s="44" t="n"/>
      <c r="E80" s="57">
        <f>IF(C80="","",VLOOKUP(C80,$J$3:$K$11,2,0))</f>
        <v/>
      </c>
      <c r="F80" s="44" t="n"/>
    </row>
    <row r="81" ht="15" customHeight="1" s="33">
      <c r="A81" s="41" t="n">
        <v>79</v>
      </c>
      <c r="B81" s="42" t="n"/>
      <c r="C81" s="42" t="n"/>
      <c r="D81" s="42" t="n"/>
      <c r="E81" s="54">
        <f>IF(C81="","",VLOOKUP(C81,$J$3:$K$11,2,0))</f>
        <v/>
      </c>
      <c r="F81" s="42" t="n"/>
    </row>
    <row r="82" ht="15" customHeight="1" s="33">
      <c r="A82" s="43" t="n">
        <v>80</v>
      </c>
      <c r="B82" s="44" t="n"/>
      <c r="C82" s="44" t="n"/>
      <c r="D82" s="44" t="n"/>
      <c r="E82" s="57">
        <f>IF(C82="","",VLOOKUP(C82,$J$3:$K$11,2,0))</f>
        <v/>
      </c>
      <c r="F82" s="44" t="n"/>
    </row>
    <row r="83" ht="15" customHeight="1" s="33">
      <c r="A83" s="58" t="inlineStr">
        <is>
          <t>합  계</t>
        </is>
      </c>
      <c r="B83" s="35" t="n"/>
      <c r="C83" s="35" t="n"/>
      <c r="D83" s="35" t="n"/>
      <c r="E83" s="59">
        <f>IF(SUM(E3:E82)=0,"",SUM(E3:E82))</f>
        <v/>
      </c>
      <c r="F83" s="60" t="n"/>
    </row>
  </sheetData>
  <mergeCells count="3">
    <mergeCell ref="A83:D83"/>
    <mergeCell ref="J2:K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N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.8" customWidth="1" style="32" min="1" max="1"/>
    <col width="5.5" customWidth="1" style="32" min="2" max="2"/>
    <col width="5.5" customWidth="1" style="32" min="3" max="13"/>
    <col width="5.5" customWidth="1" style="33" min="4" max="4"/>
    <col width="5.5" customWidth="1" style="33" min="5" max="5"/>
    <col width="5.5" customWidth="1" style="33" min="6" max="6"/>
    <col width="5.5" customWidth="1" style="33" min="7" max="7"/>
    <col width="5.5" customWidth="1" style="33" min="8" max="8"/>
    <col width="5.5" customWidth="1" style="33" min="9" max="9"/>
    <col width="5.5" customWidth="1" style="33" min="10" max="10"/>
    <col width="5.5" customWidth="1" style="33" min="11" max="11"/>
    <col width="5.5" customWidth="1" style="33" min="12" max="12"/>
    <col width="8.43" customWidth="1" style="33" min="13" max="13"/>
    <col width="8.43" customWidth="1" style="33" min="14" max="14"/>
  </cols>
  <sheetData>
    <row r="1" ht="36" customHeight="1" s="33">
      <c r="A1" s="34" t="inlineStr">
        <is>
          <t>교통편 집계표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81" t="n"/>
      <c r="N1" s="81" t="n"/>
    </row>
    <row r="2" ht="24" customHeight="1" s="33">
      <c r="A2" s="37" t="inlineStr">
        <is>
          <t>구역</t>
        </is>
      </c>
      <c r="B2" s="38" t="inlineStr">
        <is>
          <t>본대 버스</t>
        </is>
      </c>
      <c r="C2" s="35" t="n"/>
      <c r="D2" s="37" t="inlineStr">
        <is>
          <t>교회차</t>
        </is>
      </c>
      <c r="E2" s="68" t="n"/>
      <c r="F2" s="38" t="inlineStr">
        <is>
          <t>타교회</t>
        </is>
      </c>
      <c r="G2" s="35" t="n"/>
      <c r="H2" s="38" t="inlineStr">
        <is>
          <t>개인차량</t>
        </is>
      </c>
      <c r="I2" s="35" t="n"/>
      <c r="J2" s="38" t="inlineStr">
        <is>
          <t>대중교통</t>
        </is>
      </c>
      <c r="K2" s="35" t="n"/>
      <c r="L2" s="38" t="inlineStr">
        <is>
          <t>계</t>
        </is>
      </c>
      <c r="M2" s="81" t="n"/>
      <c r="N2" s="81" t="n"/>
    </row>
    <row r="3" ht="24" customHeight="1" s="33">
      <c r="A3" s="39" t="n"/>
      <c r="B3" s="40" t="inlineStr">
        <is>
          <t>상행</t>
        </is>
      </c>
      <c r="C3" s="40" t="inlineStr">
        <is>
          <t>하행</t>
        </is>
      </c>
      <c r="D3" s="40" t="inlineStr">
        <is>
          <t>상행</t>
        </is>
      </c>
      <c r="E3" s="40" t="inlineStr">
        <is>
          <t>하행</t>
        </is>
      </c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하행</t>
        </is>
      </c>
      <c r="J3" s="40" t="inlineStr">
        <is>
          <t>상행</t>
        </is>
      </c>
      <c r="K3" s="40" t="inlineStr">
        <is>
          <t>하행</t>
        </is>
      </c>
      <c r="L3" s="70" t="n"/>
      <c r="M3" s="82" t="n"/>
      <c r="N3" s="81" t="n"/>
    </row>
    <row r="4" ht="21.75" customHeight="1" s="33">
      <c r="A4" s="42" t="inlineStr">
        <is>
          <t>구역1</t>
        </is>
      </c>
      <c r="B4" s="42">
        <f>IF(COUNTIFS(구역1!F4:F73,"1호차",구역1!E4:E73,"*"&amp;$B31&amp;"*")+COUNTIFS(구역1!F4:F73,"2호차",구역1!E4:E73,"*"&amp;$B31&amp;"*")+COUNTIFS(구역1!F4:F73,"3호차",구역1!E4:E73,"*"&amp;$B31&amp;"*")+COUNTIFS(구역1!F4:F73,"4호차",구역1!E4:E73,"*"&amp;$B31&amp;"*")+COUNTIFS(구역1!F4:F73,"5호차",구역1!E4:E73,"*"&amp;$B31&amp;"*")+COUNTIFS(구역1!F4:F73,"6호차",구역1!E4:E73,"*"&amp;$B31&amp;"*")+COUNTIFS(구역1!F4:F73,"7호차",구역1!E4:E73,"*"&amp;$B31&amp;"*")+COUNTIFS(구역1!F4:F73,"8호차",구역1!E4:E73,"*"&amp;$B31&amp;"*")+COUNTIFS(구역1!F4:F73,"9호차",구역1!E4:E73,"*"&amp;$B31&amp;"*")+COUNTIFS(구역1!F4:F73,"10호차",구역1!E4:E73,"*"&amp;$B31&amp;"*")=0,"",COUNTIFS(구역1!F4:F73,"1호차",구역1!E4:E73,"*"&amp;$B31&amp;"*")+COUNTIFS(구역1!F4:F73,"2호차",구역1!E4:E73,"*"&amp;$B31&amp;"*")+COUNTIFS(구역1!F4:F73,"3호차",구역1!E4:E73,"*"&amp;$B31&amp;"*")+COUNTIFS(구역1!F4:F73,"4호차",구역1!E4:E73,"*"&amp;$B31&amp;"*")+COUNTIFS(구역1!F4:F73,"5호차",구역1!E4:E73,"*"&amp;$B31&amp;"*")+COUNTIFS(구역1!F4:F73,"6호차",구역1!E4:E73,"*"&amp;$B31&amp;"*")+COUNTIFS(구역1!F4:F73,"7호차",구역1!E4:E73,"*"&amp;$B31&amp;"*")+COUNTIFS(구역1!F4:F73,"8호차",구역1!E4:E73,"*"&amp;$B31&amp;"*")+COUNTIFS(구역1!F4:F73,"9호차",구역1!E4:E73,"*"&amp;$B31&amp;"*")+COUNTIFS(구역1!F4:F73,"10호차",구역1!E4:E73,"*"&amp;$B31&amp;"*"))</f>
        <v/>
      </c>
      <c r="C4" s="42">
        <f>IF(COUNTIFS(구역1!G4:G73,"1호차",구역1!E4:E73,"*"&amp;$B31&amp;"*")+COUNTIFS(구역1!G4:G73,"2호차",구역1!E4:E73,"*"&amp;$B31&amp;"*")+COUNTIFS(구역1!G4:G73,"3호차",구역1!E4:E73,"*"&amp;$B31&amp;"*")+COUNTIFS(구역1!G4:G73,"4호차",구역1!E4:E73,"*"&amp;$B31&amp;"*")+COUNTIFS(구역1!G4:G73,"5호차",구역1!E4:E73,"*"&amp;$B31&amp;"*")+COUNTIFS(구역1!G4:G73,"6호차",구역1!E4:E73,"*"&amp;$B31&amp;"*")+COUNTIFS(구역1!G4:G73,"7호차",구역1!E4:E73,"*"&amp;$B31&amp;"*")+COUNTIFS(구역1!G4:G73,"8호차",구역1!E4:E73,"*"&amp;$B31&amp;"*")+COUNTIFS(구역1!G4:G73,"9호차",구역1!E4:E73,"*"&amp;$B31&amp;"*")+COUNTIFS(구역1!G4:G73,"10호차",구역1!E4:E73,"*"&amp;$B31&amp;"*")=0,"",COUNTIFS(구역1!G4:G73,"1호차",구역1!E4:E73,"*"&amp;$B31&amp;"*")+COUNTIFS(구역1!G4:G73,"2호차",구역1!E4:E73,"*"&amp;$B31&amp;"*")+COUNTIFS(구역1!G4:G73,"3호차",구역1!E4:E73,"*"&amp;$B31&amp;"*")+COUNTIFS(구역1!G4:G73,"4호차",구역1!E4:E73,"*"&amp;$B31&amp;"*")+COUNTIFS(구역1!G4:G73,"5호차",구역1!E4:E73,"*"&amp;$B31&amp;"*")+COUNTIFS(구역1!G4:G73,"6호차",구역1!E4:E73,"*"&amp;$B31&amp;"*")+COUNTIFS(구역1!G4:G73,"7호차",구역1!E4:E73,"*"&amp;$B31&amp;"*")+COUNTIFS(구역1!G4:G73,"8호차",구역1!E4:E73,"*"&amp;$B31&amp;"*")+COUNTIFS(구역1!G4:G73,"9호차",구역1!E4:E73,"*"&amp;$B31&amp;"*")+COUNTIFS(구역1!G4:G73,"10호차",구역1!E4:E73,"*"&amp;$B31&amp;"*"))</f>
        <v/>
      </c>
      <c r="D4" s="42">
        <f>IF(COUNTIFS(구역1!F4:F73,"교회차1",구역1!E4:E73,"*"&amp;$B31&amp;"*")+COUNTIFS(구역1!F4:F73,"교회차2",구역1!E4:E73,"*"&amp;$B31&amp;"*")+COUNTIFS(구역1!F4:F73,"교회차3",구역1!E4:E73,"*"&amp;$B31&amp;"*")+COUNTIFS(구역1!F4:F73,"교회차4",구역1!E4:E73,"*"&amp;$B31&amp;"*")+COUNTIFS(구역1!F4:F73,"교회차5",구역1!E4:E73,"*"&amp;$B31&amp;"*")+COUNTIFS(구역1!H4:H73,"*교회차*",구역1!E4:E73,"*"&amp;$B31&amp;"*")=0,"",COUNTIFS(구역1!F4:F73,"교회차1",구역1!E4:E73,"*"&amp;$B31&amp;"*")+COUNTIFS(구역1!F4:F73,"교회차2",구역1!E4:E73,"*"&amp;$B31&amp;"*")+COUNTIFS(구역1!F4:F73,"교회차3",구역1!E4:E73,"*"&amp;$B31&amp;"*")+COUNTIFS(구역1!F4:F73,"교회차4",구역1!E4:E73,"*"&amp;$B31&amp;"*")+COUNTIFS(구역1!F4:F73,"교회차5",구역1!E4:E73,"*"&amp;$B31&amp;"*")+COUNTIFS(구역1!H4:H73,"*교회차*",구역1!E4:E73,"*"&amp;$B31&amp;"*"))</f>
        <v/>
      </c>
      <c r="E4" s="42">
        <f>IF(COUNTIFS(구역1!G4:G73,"교회차1",구역1!E4:E73,"*"&amp;$B31&amp;"*")+COUNTIFS(구역1!G4:G73,"교회차2",구역1!E4:E73,"*"&amp;$B31&amp;"*")+COUNTIFS(구역1!G4:G73,"교회차3",구역1!E4:E73,"*"&amp;$B31&amp;"*")+COUNTIFS(구역1!G4:G73,"교회차4",구역1!E4:E73,"*"&amp;$B31&amp;"*")+COUNTIFS(구역1!G4:G73,"교회차5",구역1!E4:E73,"*"&amp;$B31&amp;"*")+COUNTIFS(구역1!J4:J73,"*교회차*",구역1!E4:E73,"*"&amp;$B31&amp;"*")=0,"",COUNTIFS(구역1!G4:G73,"교회차1",구역1!E4:E73,"*"&amp;$B31&amp;"*")+COUNTIFS(구역1!G4:G73,"교회차2",구역1!E4:E73,"*"&amp;$B31&amp;"*")+COUNTIFS(구역1!G4:G73,"교회차3",구역1!E4:E73,"*"&amp;$B31&amp;"*")+COUNTIFS(구역1!G4:G73,"교회차4",구역1!E4:E73,"*"&amp;$B31&amp;"*")+COUNTIFS(구역1!G4:G73,"교회차5",구역1!E4:E73,"*"&amp;$B31&amp;"*")+COUNTIFS(구역1!J4:J73,"*교회차*",구역1!E4:E73,"*"&amp;$B31&amp;"*"))</f>
        <v/>
      </c>
      <c r="F4" s="42">
        <f>IF(COUNTIFS(구역1!F4:F73,"타교회",구역1!E4:E73,"*"&amp;$B31&amp;"*")+COUNTIFS(구역1!H4:H73,"*타교회*",구역1!E4:E73,"*"&amp;$B31&amp;"*")=0,"",COUNTIFS(구역1!F4:F73,"타교회",구역1!E4:E73,"*"&amp;$B31&amp;"*")+COUNTIFS(구역1!H4:H73,"*타교회*",구역1!E4:E73,"*"&amp;$B31&amp;"*"))</f>
        <v/>
      </c>
      <c r="G4" s="42">
        <f>IF(COUNTIFS(구역1!G4:G73,"타교회",구역1!E4:E73,"*"&amp;$B31&amp;"*")+COUNTIFS(구역1!J4:J73,"*타교회*",구역1!E4:E73,"*"&amp;$B31&amp;"*")=0,"",COUNTIFS(구역1!G4:G73,"타교회",구역1!E4:E73,"*"&amp;$B31&amp;"*")+COUNTIFS(구역1!J4:J73,"*타교회*",구역1!E4:E73,"*"&amp;$B31&amp;"*"))</f>
        <v/>
      </c>
      <c r="H4" s="42">
        <f>IF(COUNTIFS(구역1!F4:F73,"개인차",구역1!E4:E73,"*"&amp;$B31&amp;"*")+(COUNTIFS(구역1!H4:H73,"?*",구역1!E4:E73,"*"&amp;$B31&amp;"*")-COUNTIFS(구역1!H4:H73,"*교회차*",구역1!E4:E73,"*"&amp;$B31&amp;"*")-COUNTIFS(구역1!H4:H73,"*타교회*",구역1!E4:E73,"*"&amp;$B31&amp;"*")-COUNTIFS(구역1!H4:H73,"*대중교통*",구역1!E4:E73,"*"&amp;$B31&amp;"*"))=0,"",COUNTIFS(구역1!F4:F73,"개인차",구역1!E4:E73,"*"&amp;$B31&amp;"*")+(COUNTIFS(구역1!H4:H73,"?*",구역1!E4:E73,"*"&amp;$B31&amp;"*")-COUNTIFS(구역1!H4:H73,"*교회차*",구역1!E4:E73,"*"&amp;$B31&amp;"*")-COUNTIFS(구역1!H4:H73,"*타교회*",구역1!E4:E73,"*"&amp;$B31&amp;"*")-COUNTIFS(구역1!H4:H73,"*대중교통*",구역1!E4:E73,"*"&amp;$B31&amp;"*")))</f>
        <v/>
      </c>
      <c r="I4" s="42">
        <f>IF(COUNTIFS(구역1!G4:G73,"개인차",구역1!E4:E73,"*"&amp;$B31&amp;"*")+(COUNTIFS(구역1!J4:J73,"?*",구역1!E4:E73,"*"&amp;$B31&amp;"*")-COUNTIFS(구역1!J4:J73,"*교회차*",구역1!E4:E73,"*"&amp;$B31&amp;"*")-COUNTIFS(구역1!J4:J73,"*타교회*",구역1!E4:E73,"*"&amp;$B31&amp;"*")-COUNTIFS(구역1!J4:J73,"*대중교통*",구역1!E4:E73,"*"&amp;$B31&amp;"*"))=0,"",COUNTIFS(구역1!G4:G73,"개인차",구역1!E4:E73,"*"&amp;$B31&amp;"*")+(COUNTIFS(구역1!J4:J73,"?*",구역1!E4:E73,"*"&amp;$B31&amp;"*")-COUNTIFS(구역1!J4:J73,"*교회차*",구역1!E4:E73,"*"&amp;$B31&amp;"*")-COUNTIFS(구역1!J4:J73,"*타교회*",구역1!E4:E73,"*"&amp;$B31&amp;"*")-COUNTIFS(구역1!J4:J73,"*대중교통*",구역1!E4:E73,"*"&amp;$B31&amp;"*")))</f>
        <v/>
      </c>
      <c r="J4" s="42">
        <f>IF(COUNTIFS(구역1!F4:F73,"대중교통",구역1!E4:E73,"*"&amp;$B31&amp;"*")+COUNTIFS(구역1!H4:H73,"*대중교통*",구역1!E4:E73,"*"&amp;$B31&amp;"*")=0,"",COUNTIFS(구역1!F4:F73,"대중교통",구역1!E4:E73,"*"&amp;$B31&amp;"*")+COUNTIFS(구역1!H4:H73,"*대중교통*",구역1!E4:E73,"*"&amp;$B31&amp;"*"))</f>
        <v/>
      </c>
      <c r="K4" s="42">
        <f>IF(COUNTIFS(구역1!G4:G73,"대중교통",구역1!E4:E73,"*"&amp;$B31&amp;"*")+COUNTIFS(구역1!J4:J73,"*대중교통*",구역1!E4:E73,"*"&amp;$B31&amp;"*")=0,"",COUNTIFS(구역1!G4:G73,"대중교통",구역1!E4:E73,"*"&amp;$B31&amp;"*")+COUNTIFS(구역1!J4:J73,"*대중교통*",구역1!E4:E73,"*"&amp;$B31&amp;"*"))</f>
        <v/>
      </c>
      <c r="L4" s="42">
        <f>IF(SUM(B4,D4,F4,H4,J4)=0,"",SUM(B4,D4,F4,H4,J4))</f>
        <v/>
      </c>
      <c r="M4" s="83" t="n"/>
      <c r="N4" s="81" t="n"/>
    </row>
    <row r="5" ht="21.75" customHeight="1" s="33">
      <c r="A5" s="44" t="inlineStr">
        <is>
          <t>구역2</t>
        </is>
      </c>
      <c r="B5" s="44">
        <f>IF(COUNTIFS(구역2!F4:F73,"1호차",구역2!E4:E73,"*"&amp;$B31&amp;"*")+COUNTIFS(구역2!F4:F73,"2호차",구역2!E4:E73,"*"&amp;$B31&amp;"*")+COUNTIFS(구역2!F4:F73,"3호차",구역2!E4:E73,"*"&amp;$B31&amp;"*")+COUNTIFS(구역2!F4:F73,"4호차",구역2!E4:E73,"*"&amp;$B31&amp;"*")+COUNTIFS(구역2!F4:F73,"5호차",구역2!E4:E73,"*"&amp;$B31&amp;"*")+COUNTIFS(구역2!F4:F73,"6호차",구역2!E4:E73,"*"&amp;$B31&amp;"*")+COUNTIFS(구역2!F4:F73,"7호차",구역2!E4:E73,"*"&amp;$B31&amp;"*")+COUNTIFS(구역2!F4:F73,"8호차",구역2!E4:E73,"*"&amp;$B31&amp;"*")+COUNTIFS(구역2!F4:F73,"9호차",구역2!E4:E73,"*"&amp;$B31&amp;"*")+COUNTIFS(구역2!F4:F73,"10호차",구역2!E4:E73,"*"&amp;$B31&amp;"*")=0,"",COUNTIFS(구역2!F4:F73,"1호차",구역2!E4:E73,"*"&amp;$B31&amp;"*")+COUNTIFS(구역2!F4:F73,"2호차",구역2!E4:E73,"*"&amp;$B31&amp;"*")+COUNTIFS(구역2!F4:F73,"3호차",구역2!E4:E73,"*"&amp;$B31&amp;"*")+COUNTIFS(구역2!F4:F73,"4호차",구역2!E4:E73,"*"&amp;$B31&amp;"*")+COUNTIFS(구역2!F4:F73,"5호차",구역2!E4:E73,"*"&amp;$B31&amp;"*")+COUNTIFS(구역2!F4:F73,"6호차",구역2!E4:E73,"*"&amp;$B31&amp;"*")+COUNTIFS(구역2!F4:F73,"7호차",구역2!E4:E73,"*"&amp;$B31&amp;"*")+COUNTIFS(구역2!F4:F73,"8호차",구역2!E4:E73,"*"&amp;$B31&amp;"*")+COUNTIFS(구역2!F4:F73,"9호차",구역2!E4:E73,"*"&amp;$B31&amp;"*")+COUNTIFS(구역2!F4:F73,"10호차",구역2!E4:E73,"*"&amp;$B31&amp;"*"))</f>
        <v/>
      </c>
      <c r="C5" s="44">
        <f>IF(COUNTIFS(구역2!G4:G73,"1호차",구역2!E4:E73,"*"&amp;$B31&amp;"*")+COUNTIFS(구역2!G4:G73,"2호차",구역2!E4:E73,"*"&amp;$B31&amp;"*")+COUNTIFS(구역2!G4:G73,"3호차",구역2!E4:E73,"*"&amp;$B31&amp;"*")+COUNTIFS(구역2!G4:G73,"4호차",구역2!E4:E73,"*"&amp;$B31&amp;"*")+COUNTIFS(구역2!G4:G73,"5호차",구역2!E4:E73,"*"&amp;$B31&amp;"*")+COUNTIFS(구역2!G4:G73,"6호차",구역2!E4:E73,"*"&amp;$B31&amp;"*")+COUNTIFS(구역2!G4:G73,"7호차",구역2!E4:E73,"*"&amp;$B31&amp;"*")+COUNTIFS(구역2!G4:G73,"8호차",구역2!E4:E73,"*"&amp;$B31&amp;"*")+COUNTIFS(구역2!G4:G73,"9호차",구역2!E4:E73,"*"&amp;$B31&amp;"*")+COUNTIFS(구역2!G4:G73,"10호차",구역2!E4:E73,"*"&amp;$B31&amp;"*")=0,"",COUNTIFS(구역2!G4:G73,"1호차",구역2!E4:E73,"*"&amp;$B31&amp;"*")+COUNTIFS(구역2!G4:G73,"2호차",구역2!E4:E73,"*"&amp;$B31&amp;"*")+COUNTIFS(구역2!G4:G73,"3호차",구역2!E4:E73,"*"&amp;$B31&amp;"*")+COUNTIFS(구역2!G4:G73,"4호차",구역2!E4:E73,"*"&amp;$B31&amp;"*")+COUNTIFS(구역2!G4:G73,"5호차",구역2!E4:E73,"*"&amp;$B31&amp;"*")+COUNTIFS(구역2!G4:G73,"6호차",구역2!E4:E73,"*"&amp;$B31&amp;"*")+COUNTIFS(구역2!G4:G73,"7호차",구역2!E4:E73,"*"&amp;$B31&amp;"*")+COUNTIFS(구역2!G4:G73,"8호차",구역2!E4:E73,"*"&amp;$B31&amp;"*")+COUNTIFS(구역2!G4:G73,"9호차",구역2!E4:E73,"*"&amp;$B31&amp;"*")+COUNTIFS(구역2!G4:G73,"10호차",구역2!E4:E73,"*"&amp;$B31&amp;"*"))</f>
        <v/>
      </c>
      <c r="D5" s="44">
        <f>IF(COUNTIFS(구역2!F4:F73,"교회차1",구역2!E4:E73,"*"&amp;$B31&amp;"*")+COUNTIFS(구역2!F4:F73,"교회차2",구역2!E4:E73,"*"&amp;$B31&amp;"*")+COUNTIFS(구역2!F4:F73,"교회차3",구역2!E4:E73,"*"&amp;$B31&amp;"*")+COUNTIFS(구역2!F4:F73,"교회차4",구역2!E4:E73,"*"&amp;$B31&amp;"*")+COUNTIFS(구역2!F4:F73,"교회차5",구역2!E4:E73,"*"&amp;$B31&amp;"*")+COUNTIFS(구역2!H4:H73,"*교회차*",구역2!E4:E73,"*"&amp;$B31&amp;"*")=0,"",COUNTIFS(구역2!F4:F73,"교회차1",구역2!E4:E73,"*"&amp;$B31&amp;"*")+COUNTIFS(구역2!F4:F73,"교회차2",구역2!E4:E73,"*"&amp;$B31&amp;"*")+COUNTIFS(구역2!F4:F73,"교회차3",구역2!E4:E73,"*"&amp;$B31&amp;"*")+COUNTIFS(구역2!F4:F73,"교회차4",구역2!E4:E73,"*"&amp;$B31&amp;"*")+COUNTIFS(구역2!F4:F73,"교회차5",구역2!E4:E73,"*"&amp;$B31&amp;"*")+COUNTIFS(구역2!H4:H73,"*교회차*",구역2!E4:E73,"*"&amp;$B31&amp;"*"))</f>
        <v/>
      </c>
      <c r="E5" s="44">
        <f>IF(COUNTIFS(구역2!G4:G73,"교회차1",구역2!E4:E73,"*"&amp;$B31&amp;"*")+COUNTIFS(구역2!G4:G73,"교회차2",구역2!E4:E73,"*"&amp;$B31&amp;"*")+COUNTIFS(구역2!G4:G73,"교회차3",구역2!E4:E73,"*"&amp;$B31&amp;"*")+COUNTIFS(구역2!G4:G73,"교회차4",구역2!E4:E73,"*"&amp;$B31&amp;"*")+COUNTIFS(구역2!G4:G73,"교회차5",구역2!E4:E73,"*"&amp;$B31&amp;"*")+COUNTIFS(구역2!J4:J73,"*교회차*",구역2!E4:E73,"*"&amp;$B31&amp;"*")=0,"",COUNTIFS(구역2!G4:G73,"교회차1",구역2!E4:E73,"*"&amp;$B31&amp;"*")+COUNTIFS(구역2!G4:G73,"교회차2",구역2!E4:E73,"*"&amp;$B31&amp;"*")+COUNTIFS(구역2!G4:G73,"교회차3",구역2!E4:E73,"*"&amp;$B31&amp;"*")+COUNTIFS(구역2!G4:G73,"교회차4",구역2!E4:E73,"*"&amp;$B31&amp;"*")+COUNTIFS(구역2!G4:G73,"교회차5",구역2!E4:E73,"*"&amp;$B31&amp;"*")+COUNTIFS(구역2!J4:J73,"*교회차*",구역2!E4:E73,"*"&amp;$B31&amp;"*"))</f>
        <v/>
      </c>
      <c r="F5" s="44">
        <f>IF(COUNTIFS(구역2!F4:F73,"타교회",구역2!E4:E73,"*"&amp;$B31&amp;"*")+COUNTIFS(구역2!H4:H73,"*타교회*",구역2!E4:E73,"*"&amp;$B31&amp;"*")=0,"",COUNTIFS(구역2!F4:F73,"타교회",구역2!E4:E73,"*"&amp;$B31&amp;"*")+COUNTIFS(구역2!H4:H73,"*타교회*",구역2!E4:E73,"*"&amp;$B31&amp;"*"))</f>
        <v/>
      </c>
      <c r="G5" s="44">
        <f>IF(COUNTIFS(구역2!G4:G73,"타교회",구역2!E4:E73,"*"&amp;$B31&amp;"*")+COUNTIFS(구역2!J4:J73,"*타교회*",구역2!E4:E73,"*"&amp;$B31&amp;"*")=0,"",COUNTIFS(구역2!G4:G73,"타교회",구역2!E4:E73,"*"&amp;$B31&amp;"*")+COUNTIFS(구역2!J4:J73,"*타교회*",구역2!E4:E73,"*"&amp;$B31&amp;"*"))</f>
        <v/>
      </c>
      <c r="H5" s="44">
        <f>IF(COUNTIFS(구역2!F4:F73,"개인차",구역2!E4:E73,"*"&amp;$B31&amp;"*")+(COUNTIFS(구역2!H4:H73,"?*",구역2!E4:E73,"*"&amp;$B31&amp;"*")-COUNTIFS(구역2!H4:H73,"*교회차*",구역2!E4:E73,"*"&amp;$B31&amp;"*")-COUNTIFS(구역2!H4:H73,"*타교회*",구역2!E4:E73,"*"&amp;$B31&amp;"*")-COUNTIFS(구역2!H4:H73,"*대중교통*",구역2!E4:E73,"*"&amp;$B31&amp;"*"))=0,"",COUNTIFS(구역2!F4:F73,"개인차",구역2!E4:E73,"*"&amp;$B31&amp;"*")+(COUNTIFS(구역2!H4:H73,"?*",구역2!E4:E73,"*"&amp;$B31&amp;"*")-COUNTIFS(구역2!H4:H73,"*교회차*",구역2!E4:E73,"*"&amp;$B31&amp;"*")-COUNTIFS(구역2!H4:H73,"*타교회*",구역2!E4:E73,"*"&amp;$B31&amp;"*")-COUNTIFS(구역2!H4:H73,"*대중교통*",구역2!E4:E73,"*"&amp;$B31&amp;"*")))</f>
        <v/>
      </c>
      <c r="I5" s="44">
        <f>IF(COUNTIFS(구역2!G4:G73,"개인차",구역2!E4:E73,"*"&amp;$B31&amp;"*")+(COUNTIFS(구역2!J4:J73,"?*",구역2!E4:E73,"*"&amp;$B31&amp;"*")-COUNTIFS(구역2!J4:J73,"*교회차*",구역2!E4:E73,"*"&amp;$B31&amp;"*")-COUNTIFS(구역2!J4:J73,"*타교회*",구역2!E4:E73,"*"&amp;$B31&amp;"*")-COUNTIFS(구역2!J4:J73,"*대중교통*",구역2!E4:E73,"*"&amp;$B31&amp;"*"))=0,"",COUNTIFS(구역2!G4:G73,"개인차",구역2!E4:E73,"*"&amp;$B31&amp;"*")+(COUNTIFS(구역2!J4:J73,"?*",구역2!E4:E73,"*"&amp;$B31&amp;"*")-COUNTIFS(구역2!J4:J73,"*교회차*",구역2!E4:E73,"*"&amp;$B31&amp;"*")-COUNTIFS(구역2!J4:J73,"*타교회*",구역2!E4:E73,"*"&amp;$B31&amp;"*")-COUNTIFS(구역2!J4:J73,"*대중교통*",구역2!E4:E73,"*"&amp;$B31&amp;"*")))</f>
        <v/>
      </c>
      <c r="J5" s="44">
        <f>IF(COUNTIFS(구역2!F4:F73,"대중교통",구역2!E4:E73,"*"&amp;$B31&amp;"*")+COUNTIFS(구역2!H4:H73,"*대중교통*",구역2!E4:E73,"*"&amp;$B31&amp;"*")=0,"",COUNTIFS(구역2!F4:F73,"대중교통",구역2!E4:E73,"*"&amp;$B31&amp;"*")+COUNTIFS(구역2!H4:H73,"*대중교통*",구역2!E4:E73,"*"&amp;$B31&amp;"*"))</f>
        <v/>
      </c>
      <c r="K5" s="44">
        <f>IF(COUNTIFS(구역2!G4:G73,"대중교통",구역2!E4:E73,"*"&amp;$B31&amp;"*")+COUNTIFS(구역2!J4:J73,"*대중교통*",구역2!E4:E73,"*"&amp;$B31&amp;"*")=0,"",COUNTIFS(구역2!G4:G73,"대중교통",구역2!E4:E73,"*"&amp;$B31&amp;"*")+COUNTIFS(구역2!J4:J73,"*대중교통*",구역2!E4:E73,"*"&amp;$B31&amp;"*"))</f>
        <v/>
      </c>
      <c r="L5" s="42">
        <f>IF(SUM(B5,D5,F5,H5,J5)=0,"",SUM(B5,D5,F5,H5,J5))</f>
        <v/>
      </c>
      <c r="M5" s="83" t="n"/>
      <c r="N5" s="81" t="n"/>
    </row>
    <row r="6" ht="21.75" customHeight="1" s="33">
      <c r="A6" s="42" t="inlineStr">
        <is>
          <t>구역3</t>
        </is>
      </c>
      <c r="B6" s="42">
        <f>IF(COUNTIFS(구역3!F4:F73,"1호차",구역3!E4:E73,"*"&amp;$B31&amp;"*")+COUNTIFS(구역3!F4:F73,"2호차",구역3!E4:E73,"*"&amp;$B31&amp;"*")+COUNTIFS(구역3!F4:F73,"3호차",구역3!E4:E73,"*"&amp;$B31&amp;"*")+COUNTIFS(구역3!F4:F73,"4호차",구역3!E4:E73,"*"&amp;$B31&amp;"*")+COUNTIFS(구역3!F4:F73,"5호차",구역3!E4:E73,"*"&amp;$B31&amp;"*")+COUNTIFS(구역3!F4:F73,"6호차",구역3!E4:E73,"*"&amp;$B31&amp;"*")+COUNTIFS(구역3!F4:F73,"7호차",구역3!E4:E73,"*"&amp;$B31&amp;"*")+COUNTIFS(구역3!F4:F73,"8호차",구역3!E4:E73,"*"&amp;$B31&amp;"*")+COUNTIFS(구역3!F4:F73,"9호차",구역3!E4:E73,"*"&amp;$B31&amp;"*")+COUNTIFS(구역3!F4:F73,"10호차",구역3!E4:E73,"*"&amp;$B31&amp;"*")=0,"",COUNTIFS(구역3!F4:F73,"1호차",구역3!E4:E73,"*"&amp;$B31&amp;"*")+COUNTIFS(구역3!F4:F73,"2호차",구역3!E4:E73,"*"&amp;$B31&amp;"*")+COUNTIFS(구역3!F4:F73,"3호차",구역3!E4:E73,"*"&amp;$B31&amp;"*")+COUNTIFS(구역3!F4:F73,"4호차",구역3!E4:E73,"*"&amp;$B31&amp;"*")+COUNTIFS(구역3!F4:F73,"5호차",구역3!E4:E73,"*"&amp;$B31&amp;"*")+COUNTIFS(구역3!F4:F73,"6호차",구역3!E4:E73,"*"&amp;$B31&amp;"*")+COUNTIFS(구역3!F4:F73,"7호차",구역3!E4:E73,"*"&amp;$B31&amp;"*")+COUNTIFS(구역3!F4:F73,"8호차",구역3!E4:E73,"*"&amp;$B31&amp;"*")+COUNTIFS(구역3!F4:F73,"9호차",구역3!E4:E73,"*"&amp;$B31&amp;"*")+COUNTIFS(구역3!F4:F73,"10호차",구역3!E4:E73,"*"&amp;$B31&amp;"*"))</f>
        <v/>
      </c>
      <c r="C6" s="42">
        <f>IF(COUNTIFS(구역3!G4:G73,"1호차",구역3!E4:E73,"*"&amp;$B31&amp;"*")+COUNTIFS(구역3!G4:G73,"2호차",구역3!E4:E73,"*"&amp;$B31&amp;"*")+COUNTIFS(구역3!G4:G73,"3호차",구역3!E4:E73,"*"&amp;$B31&amp;"*")+COUNTIFS(구역3!G4:G73,"4호차",구역3!E4:E73,"*"&amp;$B31&amp;"*")+COUNTIFS(구역3!G4:G73,"5호차",구역3!E4:E73,"*"&amp;$B31&amp;"*")+COUNTIFS(구역3!G4:G73,"6호차",구역3!E4:E73,"*"&amp;$B31&amp;"*")+COUNTIFS(구역3!G4:G73,"7호차",구역3!E4:E73,"*"&amp;$B31&amp;"*")+COUNTIFS(구역3!G4:G73,"8호차",구역3!E4:E73,"*"&amp;$B31&amp;"*")+COUNTIFS(구역3!G4:G73,"9호차",구역3!E4:E73,"*"&amp;$B31&amp;"*")+COUNTIFS(구역3!G4:G73,"10호차",구역3!E4:E73,"*"&amp;$B31&amp;"*")=0,"",COUNTIFS(구역3!G4:G73,"1호차",구역3!E4:E73,"*"&amp;$B31&amp;"*")+COUNTIFS(구역3!G4:G73,"2호차",구역3!E4:E73,"*"&amp;$B31&amp;"*")+COUNTIFS(구역3!G4:G73,"3호차",구역3!E4:E73,"*"&amp;$B31&amp;"*")+COUNTIFS(구역3!G4:G73,"4호차",구역3!E4:E73,"*"&amp;$B31&amp;"*")+COUNTIFS(구역3!G4:G73,"5호차",구역3!E4:E73,"*"&amp;$B31&amp;"*")+COUNTIFS(구역3!G4:G73,"6호차",구역3!E4:E73,"*"&amp;$B31&amp;"*")+COUNTIFS(구역3!G4:G73,"7호차",구역3!E4:E73,"*"&amp;$B31&amp;"*")+COUNTIFS(구역3!G4:G73,"8호차",구역3!E4:E73,"*"&amp;$B31&amp;"*")+COUNTIFS(구역3!G4:G73,"9호차",구역3!E4:E73,"*"&amp;$B31&amp;"*")+COUNTIFS(구역3!G4:G73,"10호차",구역3!E4:E73,"*"&amp;$B31&amp;"*"))</f>
        <v/>
      </c>
      <c r="D6" s="42">
        <f>IF(COUNTIFS(구역3!F4:F73,"교회차1",구역3!E4:E73,"*"&amp;$B31&amp;"*")+COUNTIFS(구역3!F4:F73,"교회차2",구역3!E4:E73,"*"&amp;$B31&amp;"*")+COUNTIFS(구역3!F4:F73,"교회차3",구역3!E4:E73,"*"&amp;$B31&amp;"*")+COUNTIFS(구역3!F4:F73,"교회차4",구역3!E4:E73,"*"&amp;$B31&amp;"*")+COUNTIFS(구역3!F4:F73,"교회차5",구역3!E4:E73,"*"&amp;$B31&amp;"*")+COUNTIFS(구역3!H4:H73,"*교회차*",구역3!E4:E73,"*"&amp;$B31&amp;"*")=0,"",COUNTIFS(구역3!F4:F73,"교회차1",구역3!E4:E73,"*"&amp;$B31&amp;"*")+COUNTIFS(구역3!F4:F73,"교회차2",구역3!E4:E73,"*"&amp;$B31&amp;"*")+COUNTIFS(구역3!F4:F73,"교회차3",구역3!E4:E73,"*"&amp;$B31&amp;"*")+COUNTIFS(구역3!F4:F73,"교회차4",구역3!E4:E73,"*"&amp;$B31&amp;"*")+COUNTIFS(구역3!F4:F73,"교회차5",구역3!E4:E73,"*"&amp;$B31&amp;"*")+COUNTIFS(구역3!H4:H73,"*교회차*",구역3!E4:E73,"*"&amp;$B31&amp;"*"))</f>
        <v/>
      </c>
      <c r="E6" s="42">
        <f>IF(COUNTIFS(구역3!G4:G73,"교회차1",구역3!E4:E73,"*"&amp;$B31&amp;"*")+COUNTIFS(구역3!G4:G73,"교회차2",구역3!E4:E73,"*"&amp;$B31&amp;"*")+COUNTIFS(구역3!G4:G73,"교회차3",구역3!E4:E73,"*"&amp;$B31&amp;"*")+COUNTIFS(구역3!G4:G73,"교회차4",구역3!E4:E73,"*"&amp;$B31&amp;"*")+COUNTIFS(구역3!G4:G73,"교회차5",구역3!E4:E73,"*"&amp;$B31&amp;"*")+COUNTIFS(구역3!J4:J73,"*교회차*",구역3!E4:E73,"*"&amp;$B31&amp;"*")=0,"",COUNTIFS(구역3!G4:G73,"교회차1",구역3!E4:E73,"*"&amp;$B31&amp;"*")+COUNTIFS(구역3!G4:G73,"교회차2",구역3!E4:E73,"*"&amp;$B31&amp;"*")+COUNTIFS(구역3!G4:G73,"교회차3",구역3!E4:E73,"*"&amp;$B31&amp;"*")+COUNTIFS(구역3!G4:G73,"교회차4",구역3!E4:E73,"*"&amp;$B31&amp;"*")+COUNTIFS(구역3!G4:G73,"교회차5",구역3!E4:E73,"*"&amp;$B31&amp;"*")+COUNTIFS(구역3!J4:J73,"*교회차*",구역3!E4:E73,"*"&amp;$B31&amp;"*"))</f>
        <v/>
      </c>
      <c r="F6" s="42">
        <f>IF(COUNTIFS(구역3!F4:F73,"타교회",구역3!E4:E73,"*"&amp;$B31&amp;"*")+COUNTIFS(구역3!H4:H73,"*타교회*",구역3!E4:E73,"*"&amp;$B31&amp;"*")=0,"",COUNTIFS(구역3!F4:F73,"타교회",구역3!E4:E73,"*"&amp;$B31&amp;"*")+COUNTIFS(구역3!H4:H73,"*타교회*",구역3!E4:E73,"*"&amp;$B31&amp;"*"))</f>
        <v/>
      </c>
      <c r="G6" s="42">
        <f>IF(COUNTIFS(구역3!G4:G73,"타교회",구역3!E4:E73,"*"&amp;$B31&amp;"*")+COUNTIFS(구역3!J4:J73,"*타교회*",구역3!E4:E73,"*"&amp;$B31&amp;"*")=0,"",COUNTIFS(구역3!G4:G73,"타교회",구역3!E4:E73,"*"&amp;$B31&amp;"*")+COUNTIFS(구역3!J4:J73,"*타교회*",구역3!E4:E73,"*"&amp;$B31&amp;"*"))</f>
        <v/>
      </c>
      <c r="H6" s="42">
        <f>IF(COUNTIFS(구역3!F4:F73,"개인차",구역3!E4:E73,"*"&amp;$B31&amp;"*")+(COUNTIFS(구역3!H4:H73,"?*",구역3!E4:E73,"*"&amp;$B31&amp;"*")-COUNTIFS(구역3!H4:H73,"*교회차*",구역3!E4:E73,"*"&amp;$B31&amp;"*")-COUNTIFS(구역3!H4:H73,"*타교회*",구역3!E4:E73,"*"&amp;$B31&amp;"*")-COUNTIFS(구역3!H4:H73,"*대중교통*",구역3!E4:E73,"*"&amp;$B31&amp;"*"))=0,"",COUNTIFS(구역3!F4:F73,"개인차",구역3!E4:E73,"*"&amp;$B31&amp;"*")+(COUNTIFS(구역3!H4:H73,"?*",구역3!E4:E73,"*"&amp;$B31&amp;"*")-COUNTIFS(구역3!H4:H73,"*교회차*",구역3!E4:E73,"*"&amp;$B31&amp;"*")-COUNTIFS(구역3!H4:H73,"*타교회*",구역3!E4:E73,"*"&amp;$B31&amp;"*")-COUNTIFS(구역3!H4:H73,"*대중교통*",구역3!E4:E73,"*"&amp;$B31&amp;"*")))</f>
        <v/>
      </c>
      <c r="I6" s="42">
        <f>IF(COUNTIFS(구역3!G4:G73,"개인차",구역3!E4:E73,"*"&amp;$B31&amp;"*")+(COUNTIFS(구역3!J4:J73,"?*",구역3!E4:E73,"*"&amp;$B31&amp;"*")-COUNTIFS(구역3!J4:J73,"*교회차*",구역3!E4:E73,"*"&amp;$B31&amp;"*")-COUNTIFS(구역3!J4:J73,"*타교회*",구역3!E4:E73,"*"&amp;$B31&amp;"*")-COUNTIFS(구역3!J4:J73,"*대중교통*",구역3!E4:E73,"*"&amp;$B31&amp;"*"))=0,"",COUNTIFS(구역3!G4:G73,"개인차",구역3!E4:E73,"*"&amp;$B31&amp;"*")+(COUNTIFS(구역3!J4:J73,"?*",구역3!E4:E73,"*"&amp;$B31&amp;"*")-COUNTIFS(구역3!J4:J73,"*교회차*",구역3!E4:E73,"*"&amp;$B31&amp;"*")-COUNTIFS(구역3!J4:J73,"*타교회*",구역3!E4:E73,"*"&amp;$B31&amp;"*")-COUNTIFS(구역3!J4:J73,"*대중교통*",구역3!E4:E73,"*"&amp;$B31&amp;"*")))</f>
        <v/>
      </c>
      <c r="J6" s="42">
        <f>IF(COUNTIFS(구역3!F4:F73,"대중교통",구역3!E4:E73,"*"&amp;$B31&amp;"*")+COUNTIFS(구역3!H4:H73,"*대중교통*",구역3!E4:E73,"*"&amp;$B31&amp;"*")=0,"",COUNTIFS(구역3!F4:F73,"대중교통",구역3!E4:E73,"*"&amp;$B31&amp;"*")+COUNTIFS(구역3!H4:H73,"*대중교통*",구역3!E4:E73,"*"&amp;$B31&amp;"*"))</f>
        <v/>
      </c>
      <c r="K6" s="42">
        <f>IF(COUNTIFS(구역3!G4:G73,"대중교통",구역3!E4:E73,"*"&amp;$B31&amp;"*")+COUNTIFS(구역3!J4:J73,"*대중교통*",구역3!E4:E73,"*"&amp;$B31&amp;"*")=0,"",COUNTIFS(구역3!G4:G73,"대중교통",구역3!E4:E73,"*"&amp;$B31&amp;"*")+COUNTIFS(구역3!J4:J73,"*대중교통*",구역3!E4:E73,"*"&amp;$B31&amp;"*"))</f>
        <v/>
      </c>
      <c r="L6" s="42">
        <f>IF(SUM(B6,D6,F6,H6,J6)=0,"",SUM(B6,D6,F6,H6,J6))</f>
        <v/>
      </c>
      <c r="M6" s="83" t="n"/>
      <c r="N6" s="81" t="n"/>
    </row>
    <row r="7" ht="21.75" customHeight="1" s="33">
      <c r="A7" s="44" t="inlineStr">
        <is>
          <t>구역4</t>
        </is>
      </c>
      <c r="B7" s="44">
        <f>IF(COUNTIFS(구역4!F4:F73,"1호차",구역4!E4:E73,"*"&amp;$B31&amp;"*")+COUNTIFS(구역4!F4:F73,"2호차",구역4!E4:E73,"*"&amp;$B31&amp;"*")+COUNTIFS(구역4!F4:F73,"3호차",구역4!E4:E73,"*"&amp;$B31&amp;"*")+COUNTIFS(구역4!F4:F73,"4호차",구역4!E4:E73,"*"&amp;$B31&amp;"*")+COUNTIFS(구역4!F4:F73,"5호차",구역4!E4:E73,"*"&amp;$B31&amp;"*")+COUNTIFS(구역4!F4:F73,"6호차",구역4!E4:E73,"*"&amp;$B31&amp;"*")+COUNTIFS(구역4!F4:F73,"7호차",구역4!E4:E73,"*"&amp;$B31&amp;"*")+COUNTIFS(구역4!F4:F73,"8호차",구역4!E4:E73,"*"&amp;$B31&amp;"*")+COUNTIFS(구역4!F4:F73,"9호차",구역4!E4:E73,"*"&amp;$B31&amp;"*")+COUNTIFS(구역4!F4:F73,"10호차",구역4!E4:E73,"*"&amp;$B31&amp;"*")=0,"",COUNTIFS(구역4!F4:F73,"1호차",구역4!E4:E73,"*"&amp;$B31&amp;"*")+COUNTIFS(구역4!F4:F73,"2호차",구역4!E4:E73,"*"&amp;$B31&amp;"*")+COUNTIFS(구역4!F4:F73,"3호차",구역4!E4:E73,"*"&amp;$B31&amp;"*")+COUNTIFS(구역4!F4:F73,"4호차",구역4!E4:E73,"*"&amp;$B31&amp;"*")+COUNTIFS(구역4!F4:F73,"5호차",구역4!E4:E73,"*"&amp;$B31&amp;"*")+COUNTIFS(구역4!F4:F73,"6호차",구역4!E4:E73,"*"&amp;$B31&amp;"*")+COUNTIFS(구역4!F4:F73,"7호차",구역4!E4:E73,"*"&amp;$B31&amp;"*")+COUNTIFS(구역4!F4:F73,"8호차",구역4!E4:E73,"*"&amp;$B31&amp;"*")+COUNTIFS(구역4!F4:F73,"9호차",구역4!E4:E73,"*"&amp;$B31&amp;"*")+COUNTIFS(구역4!F4:F73,"10호차",구역4!E4:E73,"*"&amp;$B31&amp;"*"))</f>
        <v/>
      </c>
      <c r="C7" s="44">
        <f>IF(COUNTIFS(구역4!G4:G73,"1호차",구역4!E4:E73,"*"&amp;$B31&amp;"*")+COUNTIFS(구역4!G4:G73,"2호차",구역4!E4:E73,"*"&amp;$B31&amp;"*")+COUNTIFS(구역4!G4:G73,"3호차",구역4!E4:E73,"*"&amp;$B31&amp;"*")+COUNTIFS(구역4!G4:G73,"4호차",구역4!E4:E73,"*"&amp;$B31&amp;"*")+COUNTIFS(구역4!G4:G73,"5호차",구역4!E4:E73,"*"&amp;$B31&amp;"*")+COUNTIFS(구역4!G4:G73,"6호차",구역4!E4:E73,"*"&amp;$B31&amp;"*")+COUNTIFS(구역4!G4:G73,"7호차",구역4!E4:E73,"*"&amp;$B31&amp;"*")+COUNTIFS(구역4!G4:G73,"8호차",구역4!E4:E73,"*"&amp;$B31&amp;"*")+COUNTIFS(구역4!G4:G73,"9호차",구역4!E4:E73,"*"&amp;$B31&amp;"*")+COUNTIFS(구역4!G4:G73,"10호차",구역4!E4:E73,"*"&amp;$B31&amp;"*")=0,"",COUNTIFS(구역4!G4:G73,"1호차",구역4!E4:E73,"*"&amp;$B31&amp;"*")+COUNTIFS(구역4!G4:G73,"2호차",구역4!E4:E73,"*"&amp;$B31&amp;"*")+COUNTIFS(구역4!G4:G73,"3호차",구역4!E4:E73,"*"&amp;$B31&amp;"*")+COUNTIFS(구역4!G4:G73,"4호차",구역4!E4:E73,"*"&amp;$B31&amp;"*")+COUNTIFS(구역4!G4:G73,"5호차",구역4!E4:E73,"*"&amp;$B31&amp;"*")+COUNTIFS(구역4!G4:G73,"6호차",구역4!E4:E73,"*"&amp;$B31&amp;"*")+COUNTIFS(구역4!G4:G73,"7호차",구역4!E4:E73,"*"&amp;$B31&amp;"*")+COUNTIFS(구역4!G4:G73,"8호차",구역4!E4:E73,"*"&amp;$B31&amp;"*")+COUNTIFS(구역4!G4:G73,"9호차",구역4!E4:E73,"*"&amp;$B31&amp;"*")+COUNTIFS(구역4!G4:G73,"10호차",구역4!E4:E73,"*"&amp;$B31&amp;"*"))</f>
        <v/>
      </c>
      <c r="D7" s="44">
        <f>IF(COUNTIFS(구역4!F4:F73,"교회차1",구역4!E4:E73,"*"&amp;$B31&amp;"*")+COUNTIFS(구역4!F4:F73,"교회차2",구역4!E4:E73,"*"&amp;$B31&amp;"*")+COUNTIFS(구역4!F4:F73,"교회차3",구역4!E4:E73,"*"&amp;$B31&amp;"*")+COUNTIFS(구역4!F4:F73,"교회차4",구역4!E4:E73,"*"&amp;$B31&amp;"*")+COUNTIFS(구역4!F4:F73,"교회차5",구역4!E4:E73,"*"&amp;$B31&amp;"*")+COUNTIFS(구역4!H4:H73,"*교회차*",구역4!E4:E73,"*"&amp;$B31&amp;"*")=0,"",COUNTIFS(구역4!F4:F73,"교회차1",구역4!E4:E73,"*"&amp;$B31&amp;"*")+COUNTIFS(구역4!F4:F73,"교회차2",구역4!E4:E73,"*"&amp;$B31&amp;"*")+COUNTIFS(구역4!F4:F73,"교회차3",구역4!E4:E73,"*"&amp;$B31&amp;"*")+COUNTIFS(구역4!F4:F73,"교회차4",구역4!E4:E73,"*"&amp;$B31&amp;"*")+COUNTIFS(구역4!F4:F73,"교회차5",구역4!E4:E73,"*"&amp;$B31&amp;"*")+COUNTIFS(구역4!H4:H73,"*교회차*",구역4!E4:E73,"*"&amp;$B31&amp;"*"))</f>
        <v/>
      </c>
      <c r="E7" s="44">
        <f>IF(COUNTIFS(구역4!G4:G73,"교회차1",구역4!E4:E73,"*"&amp;$B31&amp;"*")+COUNTIFS(구역4!G4:G73,"교회차2",구역4!E4:E73,"*"&amp;$B31&amp;"*")+COUNTIFS(구역4!G4:G73,"교회차3",구역4!E4:E73,"*"&amp;$B31&amp;"*")+COUNTIFS(구역4!G4:G73,"교회차4",구역4!E4:E73,"*"&amp;$B31&amp;"*")+COUNTIFS(구역4!G4:G73,"교회차5",구역4!E4:E73,"*"&amp;$B31&amp;"*")+COUNTIFS(구역4!J4:J73,"*교회차*",구역4!E4:E73,"*"&amp;$B31&amp;"*")=0,"",COUNTIFS(구역4!G4:G73,"교회차1",구역4!E4:E73,"*"&amp;$B31&amp;"*")+COUNTIFS(구역4!G4:G73,"교회차2",구역4!E4:E73,"*"&amp;$B31&amp;"*")+COUNTIFS(구역4!G4:G73,"교회차3",구역4!E4:E73,"*"&amp;$B31&amp;"*")+COUNTIFS(구역4!G4:G73,"교회차4",구역4!E4:E73,"*"&amp;$B31&amp;"*")+COUNTIFS(구역4!G4:G73,"교회차5",구역4!E4:E73,"*"&amp;$B31&amp;"*")+COUNTIFS(구역4!J4:J73,"*교회차*",구역4!E4:E73,"*"&amp;$B31&amp;"*"))</f>
        <v/>
      </c>
      <c r="F7" s="44">
        <f>IF(COUNTIFS(구역4!F4:F73,"타교회",구역4!E4:E73,"*"&amp;$B31&amp;"*")+COUNTIFS(구역4!H4:H73,"*타교회*",구역4!E4:E73,"*"&amp;$B31&amp;"*")=0,"",COUNTIFS(구역4!F4:F73,"타교회",구역4!E4:E73,"*"&amp;$B31&amp;"*")+COUNTIFS(구역4!H4:H73,"*타교회*",구역4!E4:E73,"*"&amp;$B31&amp;"*"))</f>
        <v/>
      </c>
      <c r="G7" s="44">
        <f>IF(COUNTIFS(구역4!G4:G73,"타교회",구역4!E4:E73,"*"&amp;$B31&amp;"*")+COUNTIFS(구역4!J4:J73,"*타교회*",구역4!E4:E73,"*"&amp;$B31&amp;"*")=0,"",COUNTIFS(구역4!G4:G73,"타교회",구역4!E4:E73,"*"&amp;$B31&amp;"*")+COUNTIFS(구역4!J4:J73,"*타교회*",구역4!E4:E73,"*"&amp;$B31&amp;"*"))</f>
        <v/>
      </c>
      <c r="H7" s="44">
        <f>IF(COUNTIFS(구역4!F4:F73,"개인차",구역4!E4:E73,"*"&amp;$B31&amp;"*")+(COUNTIFS(구역4!H4:H73,"?*",구역4!E4:E73,"*"&amp;$B31&amp;"*")-COUNTIFS(구역4!H4:H73,"*교회차*",구역4!E4:E73,"*"&amp;$B31&amp;"*")-COUNTIFS(구역4!H4:H73,"*타교회*",구역4!E4:E73,"*"&amp;$B31&amp;"*")-COUNTIFS(구역4!H4:H73,"*대중교통*",구역4!E4:E73,"*"&amp;$B31&amp;"*"))=0,"",COUNTIFS(구역4!F4:F73,"개인차",구역4!E4:E73,"*"&amp;$B31&amp;"*")+(COUNTIFS(구역4!H4:H73,"?*",구역4!E4:E73,"*"&amp;$B31&amp;"*")-COUNTIFS(구역4!H4:H73,"*교회차*",구역4!E4:E73,"*"&amp;$B31&amp;"*")-COUNTIFS(구역4!H4:H73,"*타교회*",구역4!E4:E73,"*"&amp;$B31&amp;"*")-COUNTIFS(구역4!H4:H73,"*대중교통*",구역4!E4:E73,"*"&amp;$B31&amp;"*")))</f>
        <v/>
      </c>
      <c r="I7" s="44">
        <f>IF(COUNTIFS(구역4!G4:G73,"개인차",구역4!E4:E73,"*"&amp;$B31&amp;"*")+(COUNTIFS(구역4!J4:J73,"?*",구역4!E4:E73,"*"&amp;$B31&amp;"*")-COUNTIFS(구역4!J4:J73,"*교회차*",구역4!E4:E73,"*"&amp;$B31&amp;"*")-COUNTIFS(구역4!J4:J73,"*타교회*",구역4!E4:E73,"*"&amp;$B31&amp;"*")-COUNTIFS(구역4!J4:J73,"*대중교통*",구역4!E4:E73,"*"&amp;$B31&amp;"*"))=0,"",COUNTIFS(구역4!G4:G73,"개인차",구역4!E4:E73,"*"&amp;$B31&amp;"*")+(COUNTIFS(구역4!J4:J73,"?*",구역4!E4:E73,"*"&amp;$B31&amp;"*")-COUNTIFS(구역4!J4:J73,"*교회차*",구역4!E4:E73,"*"&amp;$B31&amp;"*")-COUNTIFS(구역4!J4:J73,"*타교회*",구역4!E4:E73,"*"&amp;$B31&amp;"*")-COUNTIFS(구역4!J4:J73,"*대중교통*",구역4!E4:E73,"*"&amp;$B31&amp;"*")))</f>
        <v/>
      </c>
      <c r="J7" s="44">
        <f>IF(COUNTIFS(구역4!F4:F73,"대중교통",구역4!E4:E73,"*"&amp;$B31&amp;"*")+COUNTIFS(구역4!H4:H73,"*대중교통*",구역4!E4:E73,"*"&amp;$B31&amp;"*")=0,"",COUNTIFS(구역4!F4:F73,"대중교통",구역4!E4:E73,"*"&amp;$B31&amp;"*")+COUNTIFS(구역4!H4:H73,"*대중교통*",구역4!E4:E73,"*"&amp;$B31&amp;"*"))</f>
        <v/>
      </c>
      <c r="K7" s="44">
        <f>IF(COUNTIFS(구역4!G4:G73,"대중교통",구역4!E4:E73,"*"&amp;$B31&amp;"*")+COUNTIFS(구역4!J4:J73,"*대중교통*",구역4!E4:E73,"*"&amp;$B31&amp;"*")=0,"",COUNTIFS(구역4!G4:G73,"대중교통",구역4!E4:E73,"*"&amp;$B31&amp;"*")+COUNTIFS(구역4!J4:J73,"*대중교통*",구역4!E4:E73,"*"&amp;$B31&amp;"*"))</f>
        <v/>
      </c>
      <c r="L7" s="42">
        <f>IF(SUM(B7,D7,F7,H7,J7)=0,"",SUM(B7,D7,F7,H7,J7))</f>
        <v/>
      </c>
      <c r="M7" s="83" t="n"/>
      <c r="N7" s="81" t="n"/>
    </row>
    <row r="8" ht="21.75" customHeight="1" s="33">
      <c r="A8" s="42" t="inlineStr">
        <is>
          <t>구역5</t>
        </is>
      </c>
      <c r="B8" s="42">
        <f>IF(COUNTIFS(구역5!F4:F73,"1호차",구역5!E4:E73,"*"&amp;$B31&amp;"*")+COUNTIFS(구역5!F4:F73,"2호차",구역5!E4:E73,"*"&amp;$B31&amp;"*")+COUNTIFS(구역5!F4:F73,"3호차",구역5!E4:E73,"*"&amp;$B31&amp;"*")+COUNTIFS(구역5!F4:F73,"4호차",구역5!E4:E73,"*"&amp;$B31&amp;"*")+COUNTIFS(구역5!F4:F73,"5호차",구역5!E4:E73,"*"&amp;$B31&amp;"*")+COUNTIFS(구역5!F4:F73,"6호차",구역5!E4:E73,"*"&amp;$B31&amp;"*")+COUNTIFS(구역5!F4:F73,"7호차",구역5!E4:E73,"*"&amp;$B31&amp;"*")+COUNTIFS(구역5!F4:F73,"8호차",구역5!E4:E73,"*"&amp;$B31&amp;"*")+COUNTIFS(구역5!F4:F73,"9호차",구역5!E4:E73,"*"&amp;$B31&amp;"*")+COUNTIFS(구역5!F4:F73,"10호차",구역5!E4:E73,"*"&amp;$B31&amp;"*")=0,"",COUNTIFS(구역5!F4:F73,"1호차",구역5!E4:E73,"*"&amp;$B31&amp;"*")+COUNTIFS(구역5!F4:F73,"2호차",구역5!E4:E73,"*"&amp;$B31&amp;"*")+COUNTIFS(구역5!F4:F73,"3호차",구역5!E4:E73,"*"&amp;$B31&amp;"*")+COUNTIFS(구역5!F4:F73,"4호차",구역5!E4:E73,"*"&amp;$B31&amp;"*")+COUNTIFS(구역5!F4:F73,"5호차",구역5!E4:E73,"*"&amp;$B31&amp;"*")+COUNTIFS(구역5!F4:F73,"6호차",구역5!E4:E73,"*"&amp;$B31&amp;"*")+COUNTIFS(구역5!F4:F73,"7호차",구역5!E4:E73,"*"&amp;$B31&amp;"*")+COUNTIFS(구역5!F4:F73,"8호차",구역5!E4:E73,"*"&amp;$B31&amp;"*")+COUNTIFS(구역5!F4:F73,"9호차",구역5!E4:E73,"*"&amp;$B31&amp;"*")+COUNTIFS(구역5!F4:F73,"10호차",구역5!E4:E73,"*"&amp;$B31&amp;"*"))</f>
        <v/>
      </c>
      <c r="C8" s="42">
        <f>IF(COUNTIFS(구역5!G4:G73,"1호차",구역5!E4:E73,"*"&amp;$B31&amp;"*")+COUNTIFS(구역5!G4:G73,"2호차",구역5!E4:E73,"*"&amp;$B31&amp;"*")+COUNTIFS(구역5!G4:G73,"3호차",구역5!E4:E73,"*"&amp;$B31&amp;"*")+COUNTIFS(구역5!G4:G73,"4호차",구역5!E4:E73,"*"&amp;$B31&amp;"*")+COUNTIFS(구역5!G4:G73,"5호차",구역5!E4:E73,"*"&amp;$B31&amp;"*")+COUNTIFS(구역5!G4:G73,"6호차",구역5!E4:E73,"*"&amp;$B31&amp;"*")+COUNTIFS(구역5!G4:G73,"7호차",구역5!E4:E73,"*"&amp;$B31&amp;"*")+COUNTIFS(구역5!G4:G73,"8호차",구역5!E4:E73,"*"&amp;$B31&amp;"*")+COUNTIFS(구역5!G4:G73,"9호차",구역5!E4:E73,"*"&amp;$B31&amp;"*")+COUNTIFS(구역5!G4:G73,"10호차",구역5!E4:E73,"*"&amp;$B31&amp;"*")=0,"",COUNTIFS(구역5!G4:G73,"1호차",구역5!E4:E73,"*"&amp;$B31&amp;"*")+COUNTIFS(구역5!G4:G73,"2호차",구역5!E4:E73,"*"&amp;$B31&amp;"*")+COUNTIFS(구역5!G4:G73,"3호차",구역5!E4:E73,"*"&amp;$B31&amp;"*")+COUNTIFS(구역5!G4:G73,"4호차",구역5!E4:E73,"*"&amp;$B31&amp;"*")+COUNTIFS(구역5!G4:G73,"5호차",구역5!E4:E73,"*"&amp;$B31&amp;"*")+COUNTIFS(구역5!G4:G73,"6호차",구역5!E4:E73,"*"&amp;$B31&amp;"*")+COUNTIFS(구역5!G4:G73,"7호차",구역5!E4:E73,"*"&amp;$B31&amp;"*")+COUNTIFS(구역5!G4:G73,"8호차",구역5!E4:E73,"*"&amp;$B31&amp;"*")+COUNTIFS(구역5!G4:G73,"9호차",구역5!E4:E73,"*"&amp;$B31&amp;"*")+COUNTIFS(구역5!G4:G73,"10호차",구역5!E4:E73,"*"&amp;$B31&amp;"*"))</f>
        <v/>
      </c>
      <c r="D8" s="42">
        <f>IF(COUNTIFS(구역5!F4:F73,"교회차1",구역5!E4:E73,"*"&amp;$B31&amp;"*")+COUNTIFS(구역5!F4:F73,"교회차2",구역5!E4:E73,"*"&amp;$B31&amp;"*")+COUNTIFS(구역5!F4:F73,"교회차3",구역5!E4:E73,"*"&amp;$B31&amp;"*")+COUNTIFS(구역5!F4:F73,"교회차4",구역5!E4:E73,"*"&amp;$B31&amp;"*")+COUNTIFS(구역5!F4:F73,"교회차5",구역5!E4:E73,"*"&amp;$B31&amp;"*")+COUNTIFS(구역5!H4:H73,"*교회차*",구역5!E4:E73,"*"&amp;$B31&amp;"*")=0,"",COUNTIFS(구역5!F4:F73,"교회차1",구역5!E4:E73,"*"&amp;$B31&amp;"*")+COUNTIFS(구역5!F4:F73,"교회차2",구역5!E4:E73,"*"&amp;$B31&amp;"*")+COUNTIFS(구역5!F4:F73,"교회차3",구역5!E4:E73,"*"&amp;$B31&amp;"*")+COUNTIFS(구역5!F4:F73,"교회차4",구역5!E4:E73,"*"&amp;$B31&amp;"*")+COUNTIFS(구역5!F4:F73,"교회차5",구역5!E4:E73,"*"&amp;$B31&amp;"*")+COUNTIFS(구역5!H4:H73,"*교회차*",구역5!E4:E73,"*"&amp;$B31&amp;"*"))</f>
        <v/>
      </c>
      <c r="E8" s="42">
        <f>IF(COUNTIFS(구역5!G4:G73,"교회차1",구역5!E4:E73,"*"&amp;$B31&amp;"*")+COUNTIFS(구역5!G4:G73,"교회차2",구역5!E4:E73,"*"&amp;$B31&amp;"*")+COUNTIFS(구역5!G4:G73,"교회차3",구역5!E4:E73,"*"&amp;$B31&amp;"*")+COUNTIFS(구역5!G4:G73,"교회차4",구역5!E4:E73,"*"&amp;$B31&amp;"*")+COUNTIFS(구역5!G4:G73,"교회차5",구역5!E4:E73,"*"&amp;$B31&amp;"*")+COUNTIFS(구역5!J4:J73,"*교회차*",구역5!E4:E73,"*"&amp;$B31&amp;"*")=0,"",COUNTIFS(구역5!G4:G73,"교회차1",구역5!E4:E73,"*"&amp;$B31&amp;"*")+COUNTIFS(구역5!G4:G73,"교회차2",구역5!E4:E73,"*"&amp;$B31&amp;"*")+COUNTIFS(구역5!G4:G73,"교회차3",구역5!E4:E73,"*"&amp;$B31&amp;"*")+COUNTIFS(구역5!G4:G73,"교회차4",구역5!E4:E73,"*"&amp;$B31&amp;"*")+COUNTIFS(구역5!G4:G73,"교회차5",구역5!E4:E73,"*"&amp;$B31&amp;"*")+COUNTIFS(구역5!J4:J73,"*교회차*",구역5!E4:E73,"*"&amp;$B31&amp;"*"))</f>
        <v/>
      </c>
      <c r="F8" s="42">
        <f>IF(COUNTIFS(구역5!F4:F73,"타교회",구역5!E4:E73,"*"&amp;$B31&amp;"*")+COUNTIFS(구역5!H4:H73,"*타교회*",구역5!E4:E73,"*"&amp;$B31&amp;"*")=0,"",COUNTIFS(구역5!F4:F73,"타교회",구역5!E4:E73,"*"&amp;$B31&amp;"*")+COUNTIFS(구역5!H4:H73,"*타교회*",구역5!E4:E73,"*"&amp;$B31&amp;"*"))</f>
        <v/>
      </c>
      <c r="G8" s="42">
        <f>IF(COUNTIFS(구역5!G4:G73,"타교회",구역5!E4:E73,"*"&amp;$B31&amp;"*")+COUNTIFS(구역5!J4:J73,"*타교회*",구역5!E4:E73,"*"&amp;$B31&amp;"*")=0,"",COUNTIFS(구역5!G4:G73,"타교회",구역5!E4:E73,"*"&amp;$B31&amp;"*")+COUNTIFS(구역5!J4:J73,"*타교회*",구역5!E4:E73,"*"&amp;$B31&amp;"*"))</f>
        <v/>
      </c>
      <c r="H8" s="42">
        <f>IF(COUNTIFS(구역5!F4:F73,"개인차",구역5!E4:E73,"*"&amp;$B31&amp;"*")+(COUNTIFS(구역5!H4:H73,"?*",구역5!E4:E73,"*"&amp;$B31&amp;"*")-COUNTIFS(구역5!H4:H73,"*교회차*",구역5!E4:E73,"*"&amp;$B31&amp;"*")-COUNTIFS(구역5!H4:H73,"*타교회*",구역5!E4:E73,"*"&amp;$B31&amp;"*")-COUNTIFS(구역5!H4:H73,"*대중교통*",구역5!E4:E73,"*"&amp;$B31&amp;"*"))=0,"",COUNTIFS(구역5!F4:F73,"개인차",구역5!E4:E73,"*"&amp;$B31&amp;"*")+(COUNTIFS(구역5!H4:H73,"?*",구역5!E4:E73,"*"&amp;$B31&amp;"*")-COUNTIFS(구역5!H4:H73,"*교회차*",구역5!E4:E73,"*"&amp;$B31&amp;"*")-COUNTIFS(구역5!H4:H73,"*타교회*",구역5!E4:E73,"*"&amp;$B31&amp;"*")-COUNTIFS(구역5!H4:H73,"*대중교통*",구역5!E4:E73,"*"&amp;$B31&amp;"*")))</f>
        <v/>
      </c>
      <c r="I8" s="42">
        <f>IF(COUNTIFS(구역5!G4:G73,"개인차",구역5!E4:E73,"*"&amp;$B31&amp;"*")+(COUNTIFS(구역5!J4:J73,"?*",구역5!E4:E73,"*"&amp;$B31&amp;"*")-COUNTIFS(구역5!J4:J73,"*교회차*",구역5!E4:E73,"*"&amp;$B31&amp;"*")-COUNTIFS(구역5!J4:J73,"*타교회*",구역5!E4:E73,"*"&amp;$B31&amp;"*")-COUNTIFS(구역5!J4:J73,"*대중교통*",구역5!E4:E73,"*"&amp;$B31&amp;"*"))=0,"",COUNTIFS(구역5!G4:G73,"개인차",구역5!E4:E73,"*"&amp;$B31&amp;"*")+(COUNTIFS(구역5!J4:J73,"?*",구역5!E4:E73,"*"&amp;$B31&amp;"*")-COUNTIFS(구역5!J4:J73,"*교회차*",구역5!E4:E73,"*"&amp;$B31&amp;"*")-COUNTIFS(구역5!J4:J73,"*타교회*",구역5!E4:E73,"*"&amp;$B31&amp;"*")-COUNTIFS(구역5!J4:J73,"*대중교통*",구역5!E4:E73,"*"&amp;$B31&amp;"*")))</f>
        <v/>
      </c>
      <c r="J8" s="42">
        <f>IF(COUNTIFS(구역5!F4:F73,"대중교통",구역5!E4:E73,"*"&amp;$B31&amp;"*")+COUNTIFS(구역5!H4:H73,"*대중교통*",구역5!E4:E73,"*"&amp;$B31&amp;"*")=0,"",COUNTIFS(구역5!F4:F73,"대중교통",구역5!E4:E73,"*"&amp;$B31&amp;"*")+COUNTIFS(구역5!H4:H73,"*대중교통*",구역5!E4:E73,"*"&amp;$B31&amp;"*"))</f>
        <v/>
      </c>
      <c r="K8" s="42">
        <f>IF(COUNTIFS(구역5!G4:G73,"대중교통",구역5!E4:E73,"*"&amp;$B31&amp;"*")+COUNTIFS(구역5!J4:J73,"*대중교통*",구역5!E4:E73,"*"&amp;$B31&amp;"*")=0,"",COUNTIFS(구역5!G4:G73,"대중교통",구역5!E4:E73,"*"&amp;$B31&amp;"*")+COUNTIFS(구역5!J4:J73,"*대중교통*",구역5!E4:E73,"*"&amp;$B31&amp;"*"))</f>
        <v/>
      </c>
      <c r="L8" s="42">
        <f>IF(SUM(B8,D8,F8,H8,J8)=0,"",SUM(B8,D8,F8,H8,J8))</f>
        <v/>
      </c>
      <c r="M8" s="83" t="n"/>
      <c r="N8" s="81" t="n"/>
    </row>
    <row r="9" ht="21.75" customHeight="1" s="33">
      <c r="A9" s="44" t="inlineStr">
        <is>
          <t>구역6</t>
        </is>
      </c>
      <c r="B9" s="44">
        <f>IF(COUNTIFS(구역6!F4:F73,"1호차",구역6!E4:E73,"*"&amp;$B31&amp;"*")+COUNTIFS(구역6!F4:F73,"2호차",구역6!E4:E73,"*"&amp;$B31&amp;"*")+COUNTIFS(구역6!F4:F73,"3호차",구역6!E4:E73,"*"&amp;$B31&amp;"*")+COUNTIFS(구역6!F4:F73,"4호차",구역6!E4:E73,"*"&amp;$B31&amp;"*")+COUNTIFS(구역6!F4:F73,"5호차",구역6!E4:E73,"*"&amp;$B31&amp;"*")+COUNTIFS(구역6!F4:F73,"6호차",구역6!E4:E73,"*"&amp;$B31&amp;"*")+COUNTIFS(구역6!F4:F73,"7호차",구역6!E4:E73,"*"&amp;$B31&amp;"*")+COUNTIFS(구역6!F4:F73,"8호차",구역6!E4:E73,"*"&amp;$B31&amp;"*")+COUNTIFS(구역6!F4:F73,"9호차",구역6!E4:E73,"*"&amp;$B31&amp;"*")+COUNTIFS(구역6!F4:F73,"10호차",구역6!E4:E73,"*"&amp;$B31&amp;"*")=0,"",COUNTIFS(구역6!F4:F73,"1호차",구역6!E4:E73,"*"&amp;$B31&amp;"*")+COUNTIFS(구역6!F4:F73,"2호차",구역6!E4:E73,"*"&amp;$B31&amp;"*")+COUNTIFS(구역6!F4:F73,"3호차",구역6!E4:E73,"*"&amp;$B31&amp;"*")+COUNTIFS(구역6!F4:F73,"4호차",구역6!E4:E73,"*"&amp;$B31&amp;"*")+COUNTIFS(구역6!F4:F73,"5호차",구역6!E4:E73,"*"&amp;$B31&amp;"*")+COUNTIFS(구역6!F4:F73,"6호차",구역6!E4:E73,"*"&amp;$B31&amp;"*")+COUNTIFS(구역6!F4:F73,"7호차",구역6!E4:E73,"*"&amp;$B31&amp;"*")+COUNTIFS(구역6!F4:F73,"8호차",구역6!E4:E73,"*"&amp;$B31&amp;"*")+COUNTIFS(구역6!F4:F73,"9호차",구역6!E4:E73,"*"&amp;$B31&amp;"*")+COUNTIFS(구역6!F4:F73,"10호차",구역6!E4:E73,"*"&amp;$B31&amp;"*"))</f>
        <v/>
      </c>
      <c r="C9" s="44">
        <f>IF(COUNTIFS(구역6!G4:G73,"1호차",구역6!E4:E73,"*"&amp;$B31&amp;"*")+COUNTIFS(구역6!G4:G73,"2호차",구역6!E4:E73,"*"&amp;$B31&amp;"*")+COUNTIFS(구역6!G4:G73,"3호차",구역6!E4:E73,"*"&amp;$B31&amp;"*")+COUNTIFS(구역6!G4:G73,"4호차",구역6!E4:E73,"*"&amp;$B31&amp;"*")+COUNTIFS(구역6!G4:G73,"5호차",구역6!E4:E73,"*"&amp;$B31&amp;"*")+COUNTIFS(구역6!G4:G73,"6호차",구역6!E4:E73,"*"&amp;$B31&amp;"*")+COUNTIFS(구역6!G4:G73,"7호차",구역6!E4:E73,"*"&amp;$B31&amp;"*")+COUNTIFS(구역6!G4:G73,"8호차",구역6!E4:E73,"*"&amp;$B31&amp;"*")+COUNTIFS(구역6!G4:G73,"9호차",구역6!E4:E73,"*"&amp;$B31&amp;"*")+COUNTIFS(구역6!G4:G73,"10호차",구역6!E4:E73,"*"&amp;$B31&amp;"*")=0,"",COUNTIFS(구역6!G4:G73,"1호차",구역6!E4:E73,"*"&amp;$B31&amp;"*")+COUNTIFS(구역6!G4:G73,"2호차",구역6!E4:E73,"*"&amp;$B31&amp;"*")+COUNTIFS(구역6!G4:G73,"3호차",구역6!E4:E73,"*"&amp;$B31&amp;"*")+COUNTIFS(구역6!G4:G73,"4호차",구역6!E4:E73,"*"&amp;$B31&amp;"*")+COUNTIFS(구역6!G4:G73,"5호차",구역6!E4:E73,"*"&amp;$B31&amp;"*")+COUNTIFS(구역6!G4:G73,"6호차",구역6!E4:E73,"*"&amp;$B31&amp;"*")+COUNTIFS(구역6!G4:G73,"7호차",구역6!E4:E73,"*"&amp;$B31&amp;"*")+COUNTIFS(구역6!G4:G73,"8호차",구역6!E4:E73,"*"&amp;$B31&amp;"*")+COUNTIFS(구역6!G4:G73,"9호차",구역6!E4:E73,"*"&amp;$B31&amp;"*")+COUNTIFS(구역6!G4:G73,"10호차",구역6!E4:E73,"*"&amp;$B31&amp;"*"))</f>
        <v/>
      </c>
      <c r="D9" s="44">
        <f>IF(COUNTIFS(구역6!F4:F73,"교회차1",구역6!E4:E73,"*"&amp;$B31&amp;"*")+COUNTIFS(구역6!F4:F73,"교회차2",구역6!E4:E73,"*"&amp;$B31&amp;"*")+COUNTIFS(구역6!F4:F73,"교회차3",구역6!E4:E73,"*"&amp;$B31&amp;"*")+COUNTIFS(구역6!F4:F73,"교회차4",구역6!E4:E73,"*"&amp;$B31&amp;"*")+COUNTIFS(구역6!F4:F73,"교회차5",구역6!E4:E73,"*"&amp;$B31&amp;"*")+COUNTIFS(구역6!H4:H73,"*교회차*",구역6!E4:E73,"*"&amp;$B31&amp;"*")=0,"",COUNTIFS(구역6!F4:F73,"교회차1",구역6!E4:E73,"*"&amp;$B31&amp;"*")+COUNTIFS(구역6!F4:F73,"교회차2",구역6!E4:E73,"*"&amp;$B31&amp;"*")+COUNTIFS(구역6!F4:F73,"교회차3",구역6!E4:E73,"*"&amp;$B31&amp;"*")+COUNTIFS(구역6!F4:F73,"교회차4",구역6!E4:E73,"*"&amp;$B31&amp;"*")+COUNTIFS(구역6!F4:F73,"교회차5",구역6!E4:E73,"*"&amp;$B31&amp;"*")+COUNTIFS(구역6!H4:H73,"*교회차*",구역6!E4:E73,"*"&amp;$B31&amp;"*"))</f>
        <v/>
      </c>
      <c r="E9" s="44">
        <f>IF(COUNTIFS(구역6!G4:G73,"교회차1",구역6!E4:E73,"*"&amp;$B31&amp;"*")+COUNTIFS(구역6!G4:G73,"교회차2",구역6!E4:E73,"*"&amp;$B31&amp;"*")+COUNTIFS(구역6!G4:G73,"교회차3",구역6!E4:E73,"*"&amp;$B31&amp;"*")+COUNTIFS(구역6!G4:G73,"교회차4",구역6!E4:E73,"*"&amp;$B31&amp;"*")+COUNTIFS(구역6!G4:G73,"교회차5",구역6!E4:E73,"*"&amp;$B31&amp;"*")+COUNTIFS(구역6!J4:J73,"*교회차*",구역6!E4:E73,"*"&amp;$B31&amp;"*")=0,"",COUNTIFS(구역6!G4:G73,"교회차1",구역6!E4:E73,"*"&amp;$B31&amp;"*")+COUNTIFS(구역6!G4:G73,"교회차2",구역6!E4:E73,"*"&amp;$B31&amp;"*")+COUNTIFS(구역6!G4:G73,"교회차3",구역6!E4:E73,"*"&amp;$B31&amp;"*")+COUNTIFS(구역6!G4:G73,"교회차4",구역6!E4:E73,"*"&amp;$B31&amp;"*")+COUNTIFS(구역6!G4:G73,"교회차5",구역6!E4:E73,"*"&amp;$B31&amp;"*")+COUNTIFS(구역6!J4:J73,"*교회차*",구역6!E4:E73,"*"&amp;$B31&amp;"*"))</f>
        <v/>
      </c>
      <c r="F9" s="44">
        <f>IF(COUNTIFS(구역6!F4:F73,"타교회",구역6!E4:E73,"*"&amp;$B31&amp;"*")+COUNTIFS(구역6!H4:H73,"*타교회*",구역6!E4:E73,"*"&amp;$B31&amp;"*")=0,"",COUNTIFS(구역6!F4:F73,"타교회",구역6!E4:E73,"*"&amp;$B31&amp;"*")+COUNTIFS(구역6!H4:H73,"*타교회*",구역6!E4:E73,"*"&amp;$B31&amp;"*"))</f>
        <v/>
      </c>
      <c r="G9" s="44">
        <f>IF(COUNTIFS(구역6!G4:G73,"타교회",구역6!E4:E73,"*"&amp;$B31&amp;"*")+COUNTIFS(구역6!J4:J73,"*타교회*",구역6!E4:E73,"*"&amp;$B31&amp;"*")=0,"",COUNTIFS(구역6!G4:G73,"타교회",구역6!E4:E73,"*"&amp;$B31&amp;"*")+COUNTIFS(구역6!J4:J73,"*타교회*",구역6!E4:E73,"*"&amp;$B31&amp;"*"))</f>
        <v/>
      </c>
      <c r="H9" s="44">
        <f>IF(COUNTIFS(구역6!F4:F73,"개인차",구역6!E4:E73,"*"&amp;$B31&amp;"*")+(COUNTIFS(구역6!H4:H73,"?*",구역6!E4:E73,"*"&amp;$B31&amp;"*")-COUNTIFS(구역6!H4:H73,"*교회차*",구역6!E4:E73,"*"&amp;$B31&amp;"*")-COUNTIFS(구역6!H4:H73,"*타교회*",구역6!E4:E73,"*"&amp;$B31&amp;"*")-COUNTIFS(구역6!H4:H73,"*대중교통*",구역6!E4:E73,"*"&amp;$B31&amp;"*"))=0,"",COUNTIFS(구역6!F4:F73,"개인차",구역6!E4:E73,"*"&amp;$B31&amp;"*")+(COUNTIFS(구역6!H4:H73,"?*",구역6!E4:E73,"*"&amp;$B31&amp;"*")-COUNTIFS(구역6!H4:H73,"*교회차*",구역6!E4:E73,"*"&amp;$B31&amp;"*")-COUNTIFS(구역6!H4:H73,"*타교회*",구역6!E4:E73,"*"&amp;$B31&amp;"*")-COUNTIFS(구역6!H4:H73,"*대중교통*",구역6!E4:E73,"*"&amp;$B31&amp;"*")))</f>
        <v/>
      </c>
      <c r="I9" s="44">
        <f>IF(COUNTIFS(구역6!G4:G73,"개인차",구역6!E4:E73,"*"&amp;$B31&amp;"*")+(COUNTIFS(구역6!J4:J73,"?*",구역6!E4:E73,"*"&amp;$B31&amp;"*")-COUNTIFS(구역6!J4:J73,"*교회차*",구역6!E4:E73,"*"&amp;$B31&amp;"*")-COUNTIFS(구역6!J4:J73,"*타교회*",구역6!E4:E73,"*"&amp;$B31&amp;"*")-COUNTIFS(구역6!J4:J73,"*대중교통*",구역6!E4:E73,"*"&amp;$B31&amp;"*"))=0,"",COUNTIFS(구역6!G4:G73,"개인차",구역6!E4:E73,"*"&amp;$B31&amp;"*")+(COUNTIFS(구역6!J4:J73,"?*",구역6!E4:E73,"*"&amp;$B31&amp;"*")-COUNTIFS(구역6!J4:J73,"*교회차*",구역6!E4:E73,"*"&amp;$B31&amp;"*")-COUNTIFS(구역6!J4:J73,"*타교회*",구역6!E4:E73,"*"&amp;$B31&amp;"*")-COUNTIFS(구역6!J4:J73,"*대중교통*",구역6!E4:E73,"*"&amp;$B31&amp;"*")))</f>
        <v/>
      </c>
      <c r="J9" s="44">
        <f>IF(COUNTIFS(구역6!F4:F73,"대중교통",구역6!E4:E73,"*"&amp;$B31&amp;"*")+COUNTIFS(구역6!H4:H73,"*대중교통*",구역6!E4:E73,"*"&amp;$B31&amp;"*")=0,"",COUNTIFS(구역6!F4:F73,"대중교통",구역6!E4:E73,"*"&amp;$B31&amp;"*")+COUNTIFS(구역6!H4:H73,"*대중교통*",구역6!E4:E73,"*"&amp;$B31&amp;"*"))</f>
        <v/>
      </c>
      <c r="K9" s="44">
        <f>IF(COUNTIFS(구역6!G4:G73,"대중교통",구역6!E4:E73,"*"&amp;$B31&amp;"*")+COUNTIFS(구역6!J4:J73,"*대중교통*",구역6!E4:E73,"*"&amp;$B31&amp;"*")=0,"",COUNTIFS(구역6!G4:G73,"대중교통",구역6!E4:E73,"*"&amp;$B31&amp;"*")+COUNTIFS(구역6!J4:J73,"*대중교통*",구역6!E4:E73,"*"&amp;$B31&amp;"*"))</f>
        <v/>
      </c>
      <c r="L9" s="42">
        <f>IF(SUM(B9,D9,F9,H9,J9)=0,"",SUM(B9,D9,F9,H9,J9))</f>
        <v/>
      </c>
      <c r="M9" s="83" t="n"/>
      <c r="N9" s="81" t="n"/>
    </row>
    <row r="10" ht="21.75" customHeight="1" s="33">
      <c r="A10" s="42" t="inlineStr">
        <is>
          <t>구역7</t>
        </is>
      </c>
      <c r="B10" s="42">
        <f>IF(COUNTIFS(구역7!F4:F73,"1호차",구역7!E4:E73,"*"&amp;$B31&amp;"*")+COUNTIFS(구역7!F4:F73,"2호차",구역7!E4:E73,"*"&amp;$B31&amp;"*")+COUNTIFS(구역7!F4:F73,"3호차",구역7!E4:E73,"*"&amp;$B31&amp;"*")+COUNTIFS(구역7!F4:F73,"4호차",구역7!E4:E73,"*"&amp;$B31&amp;"*")+COUNTIFS(구역7!F4:F73,"5호차",구역7!E4:E73,"*"&amp;$B31&amp;"*")+COUNTIFS(구역7!F4:F73,"6호차",구역7!E4:E73,"*"&amp;$B31&amp;"*")+COUNTIFS(구역7!F4:F73,"7호차",구역7!E4:E73,"*"&amp;$B31&amp;"*")+COUNTIFS(구역7!F4:F73,"8호차",구역7!E4:E73,"*"&amp;$B31&amp;"*")+COUNTIFS(구역7!F4:F73,"9호차",구역7!E4:E73,"*"&amp;$B31&amp;"*")+COUNTIFS(구역7!F4:F73,"10호차",구역7!E4:E73,"*"&amp;$B31&amp;"*")=0,"",COUNTIFS(구역7!F4:F73,"1호차",구역7!E4:E73,"*"&amp;$B31&amp;"*")+COUNTIFS(구역7!F4:F73,"2호차",구역7!E4:E73,"*"&amp;$B31&amp;"*")+COUNTIFS(구역7!F4:F73,"3호차",구역7!E4:E73,"*"&amp;$B31&amp;"*")+COUNTIFS(구역7!F4:F73,"4호차",구역7!E4:E73,"*"&amp;$B31&amp;"*")+COUNTIFS(구역7!F4:F73,"5호차",구역7!E4:E73,"*"&amp;$B31&amp;"*")+COUNTIFS(구역7!F4:F73,"6호차",구역7!E4:E73,"*"&amp;$B31&amp;"*")+COUNTIFS(구역7!F4:F73,"7호차",구역7!E4:E73,"*"&amp;$B31&amp;"*")+COUNTIFS(구역7!F4:F73,"8호차",구역7!E4:E73,"*"&amp;$B31&amp;"*")+COUNTIFS(구역7!F4:F73,"9호차",구역7!E4:E73,"*"&amp;$B31&amp;"*")+COUNTIFS(구역7!F4:F73,"10호차",구역7!E4:E73,"*"&amp;$B31&amp;"*"))</f>
        <v/>
      </c>
      <c r="C10" s="42">
        <f>IF(COUNTIFS(구역7!G4:G73,"1호차",구역7!E4:E73,"*"&amp;$B31&amp;"*")+COUNTIFS(구역7!G4:G73,"2호차",구역7!E4:E73,"*"&amp;$B31&amp;"*")+COUNTIFS(구역7!G4:G73,"3호차",구역7!E4:E73,"*"&amp;$B31&amp;"*")+COUNTIFS(구역7!G4:G73,"4호차",구역7!E4:E73,"*"&amp;$B31&amp;"*")+COUNTIFS(구역7!G4:G73,"5호차",구역7!E4:E73,"*"&amp;$B31&amp;"*")+COUNTIFS(구역7!G4:G73,"6호차",구역7!E4:E73,"*"&amp;$B31&amp;"*")+COUNTIFS(구역7!G4:G73,"7호차",구역7!E4:E73,"*"&amp;$B31&amp;"*")+COUNTIFS(구역7!G4:G73,"8호차",구역7!E4:E73,"*"&amp;$B31&amp;"*")+COUNTIFS(구역7!G4:G73,"9호차",구역7!E4:E73,"*"&amp;$B31&amp;"*")+COUNTIFS(구역7!G4:G73,"10호차",구역7!E4:E73,"*"&amp;$B31&amp;"*")=0,"",COUNTIFS(구역7!G4:G73,"1호차",구역7!E4:E73,"*"&amp;$B31&amp;"*")+COUNTIFS(구역7!G4:G73,"2호차",구역7!E4:E73,"*"&amp;$B31&amp;"*")+COUNTIFS(구역7!G4:G73,"3호차",구역7!E4:E73,"*"&amp;$B31&amp;"*")+COUNTIFS(구역7!G4:G73,"4호차",구역7!E4:E73,"*"&amp;$B31&amp;"*")+COUNTIFS(구역7!G4:G73,"5호차",구역7!E4:E73,"*"&amp;$B31&amp;"*")+COUNTIFS(구역7!G4:G73,"6호차",구역7!E4:E73,"*"&amp;$B31&amp;"*")+COUNTIFS(구역7!G4:G73,"7호차",구역7!E4:E73,"*"&amp;$B31&amp;"*")+COUNTIFS(구역7!G4:G73,"8호차",구역7!E4:E73,"*"&amp;$B31&amp;"*")+COUNTIFS(구역7!G4:G73,"9호차",구역7!E4:E73,"*"&amp;$B31&amp;"*")+COUNTIFS(구역7!G4:G73,"10호차",구역7!E4:E73,"*"&amp;$B31&amp;"*"))</f>
        <v/>
      </c>
      <c r="D10" s="42">
        <f>IF(COUNTIFS(구역7!F4:F73,"교회차1",구역7!E4:E73,"*"&amp;$B31&amp;"*")+COUNTIFS(구역7!F4:F73,"교회차2",구역7!E4:E73,"*"&amp;$B31&amp;"*")+COUNTIFS(구역7!F4:F73,"교회차3",구역7!E4:E73,"*"&amp;$B31&amp;"*")+COUNTIFS(구역7!F4:F73,"교회차4",구역7!E4:E73,"*"&amp;$B31&amp;"*")+COUNTIFS(구역7!F4:F73,"교회차5",구역7!E4:E73,"*"&amp;$B31&amp;"*")+COUNTIFS(구역7!H4:H73,"*교회차*",구역7!E4:E73,"*"&amp;$B31&amp;"*")=0,"",COUNTIFS(구역7!F4:F73,"교회차1",구역7!E4:E73,"*"&amp;$B31&amp;"*")+COUNTIFS(구역7!F4:F73,"교회차2",구역7!E4:E73,"*"&amp;$B31&amp;"*")+COUNTIFS(구역7!F4:F73,"교회차3",구역7!E4:E73,"*"&amp;$B31&amp;"*")+COUNTIFS(구역7!F4:F73,"교회차4",구역7!E4:E73,"*"&amp;$B31&amp;"*")+COUNTIFS(구역7!F4:F73,"교회차5",구역7!E4:E73,"*"&amp;$B31&amp;"*")+COUNTIFS(구역7!H4:H73,"*교회차*",구역7!E4:E73,"*"&amp;$B31&amp;"*"))</f>
        <v/>
      </c>
      <c r="E10" s="42">
        <f>IF(COUNTIFS(구역7!G4:G73,"교회차1",구역7!E4:E73,"*"&amp;$B31&amp;"*")+COUNTIFS(구역7!G4:G73,"교회차2",구역7!E4:E73,"*"&amp;$B31&amp;"*")+COUNTIFS(구역7!G4:G73,"교회차3",구역7!E4:E73,"*"&amp;$B31&amp;"*")+COUNTIFS(구역7!G4:G73,"교회차4",구역7!E4:E73,"*"&amp;$B31&amp;"*")+COUNTIFS(구역7!G4:G73,"교회차5",구역7!E4:E73,"*"&amp;$B31&amp;"*")+COUNTIFS(구역7!J4:J73,"*교회차*",구역7!E4:E73,"*"&amp;$B31&amp;"*")=0,"",COUNTIFS(구역7!G4:G73,"교회차1",구역7!E4:E73,"*"&amp;$B31&amp;"*")+COUNTIFS(구역7!G4:G73,"교회차2",구역7!E4:E73,"*"&amp;$B31&amp;"*")+COUNTIFS(구역7!G4:G73,"교회차3",구역7!E4:E73,"*"&amp;$B31&amp;"*")+COUNTIFS(구역7!G4:G73,"교회차4",구역7!E4:E73,"*"&amp;$B31&amp;"*")+COUNTIFS(구역7!G4:G73,"교회차5",구역7!E4:E73,"*"&amp;$B31&amp;"*")+COUNTIFS(구역7!J4:J73,"*교회차*",구역7!E4:E73,"*"&amp;$B31&amp;"*"))</f>
        <v/>
      </c>
      <c r="F10" s="42">
        <f>IF(COUNTIFS(구역7!F4:F73,"타교회",구역7!E4:E73,"*"&amp;$B31&amp;"*")+COUNTIFS(구역7!H4:H73,"*타교회*",구역7!E4:E73,"*"&amp;$B31&amp;"*")=0,"",COUNTIFS(구역7!F4:F73,"타교회",구역7!E4:E73,"*"&amp;$B31&amp;"*")+COUNTIFS(구역7!H4:H73,"*타교회*",구역7!E4:E73,"*"&amp;$B31&amp;"*"))</f>
        <v/>
      </c>
      <c r="G10" s="42">
        <f>IF(COUNTIFS(구역7!G4:G73,"타교회",구역7!E4:E73,"*"&amp;$B31&amp;"*")+COUNTIFS(구역7!J4:J73,"*타교회*",구역7!E4:E73,"*"&amp;$B31&amp;"*")=0,"",COUNTIFS(구역7!G4:G73,"타교회",구역7!E4:E73,"*"&amp;$B31&amp;"*")+COUNTIFS(구역7!J4:J73,"*타교회*",구역7!E4:E73,"*"&amp;$B31&amp;"*"))</f>
        <v/>
      </c>
      <c r="H10" s="42">
        <f>IF(COUNTIFS(구역7!F4:F73,"개인차",구역7!E4:E73,"*"&amp;$B31&amp;"*")+(COUNTIFS(구역7!H4:H73,"?*",구역7!E4:E73,"*"&amp;$B31&amp;"*")-COUNTIFS(구역7!H4:H73,"*교회차*",구역7!E4:E73,"*"&amp;$B31&amp;"*")-COUNTIFS(구역7!H4:H73,"*타교회*",구역7!E4:E73,"*"&amp;$B31&amp;"*")-COUNTIFS(구역7!H4:H73,"*대중교통*",구역7!E4:E73,"*"&amp;$B31&amp;"*"))=0,"",COUNTIFS(구역7!F4:F73,"개인차",구역7!E4:E73,"*"&amp;$B31&amp;"*")+(COUNTIFS(구역7!H4:H73,"?*",구역7!E4:E73,"*"&amp;$B31&amp;"*")-COUNTIFS(구역7!H4:H73,"*교회차*",구역7!E4:E73,"*"&amp;$B31&amp;"*")-COUNTIFS(구역7!H4:H73,"*타교회*",구역7!E4:E73,"*"&amp;$B31&amp;"*")-COUNTIFS(구역7!H4:H73,"*대중교통*",구역7!E4:E73,"*"&amp;$B31&amp;"*")))</f>
        <v/>
      </c>
      <c r="I10" s="42">
        <f>IF(COUNTIFS(구역7!G4:G73,"개인차",구역7!E4:E73,"*"&amp;$B31&amp;"*")+(COUNTIFS(구역7!J4:J73,"?*",구역7!E4:E73,"*"&amp;$B31&amp;"*")-COUNTIFS(구역7!J4:J73,"*교회차*",구역7!E4:E73,"*"&amp;$B31&amp;"*")-COUNTIFS(구역7!J4:J73,"*타교회*",구역7!E4:E73,"*"&amp;$B31&amp;"*")-COUNTIFS(구역7!J4:J73,"*대중교통*",구역7!E4:E73,"*"&amp;$B31&amp;"*"))=0,"",COUNTIFS(구역7!G4:G73,"개인차",구역7!E4:E73,"*"&amp;$B31&amp;"*")+(COUNTIFS(구역7!J4:J73,"?*",구역7!E4:E73,"*"&amp;$B31&amp;"*")-COUNTIFS(구역7!J4:J73,"*교회차*",구역7!E4:E73,"*"&amp;$B31&amp;"*")-COUNTIFS(구역7!J4:J73,"*타교회*",구역7!E4:E73,"*"&amp;$B31&amp;"*")-COUNTIFS(구역7!J4:J73,"*대중교통*",구역7!E4:E73,"*"&amp;$B31&amp;"*")))</f>
        <v/>
      </c>
      <c r="J10" s="42">
        <f>IF(COUNTIFS(구역7!F4:F73,"대중교통",구역7!E4:E73,"*"&amp;$B31&amp;"*")+COUNTIFS(구역7!H4:H73,"*대중교통*",구역7!E4:E73,"*"&amp;$B31&amp;"*")=0,"",COUNTIFS(구역7!F4:F73,"대중교통",구역7!E4:E73,"*"&amp;$B31&amp;"*")+COUNTIFS(구역7!H4:H73,"*대중교통*",구역7!E4:E73,"*"&amp;$B31&amp;"*"))</f>
        <v/>
      </c>
      <c r="K10" s="42">
        <f>IF(COUNTIFS(구역7!G4:G73,"대중교통",구역7!E4:E73,"*"&amp;$B31&amp;"*")+COUNTIFS(구역7!J4:J73,"*대중교통*",구역7!E4:E73,"*"&amp;$B31&amp;"*")=0,"",COUNTIFS(구역7!G4:G73,"대중교통",구역7!E4:E73,"*"&amp;$B31&amp;"*")+COUNTIFS(구역7!J4:J73,"*대중교통*",구역7!E4:E73,"*"&amp;$B31&amp;"*"))</f>
        <v/>
      </c>
      <c r="L10" s="42">
        <f>IF(SUM(B10,D10,F10,H10,J10)=0,"",SUM(B10,D10,F10,H10,J10))</f>
        <v/>
      </c>
      <c r="M10" s="83" t="n"/>
      <c r="N10" s="81" t="n"/>
    </row>
    <row r="11" ht="21.75" customHeight="1" s="33">
      <c r="A11" s="44" t="inlineStr">
        <is>
          <t>구역8</t>
        </is>
      </c>
      <c r="B11" s="44">
        <f>IF(COUNTIFS(구역8!F4:F73,"1호차",구역8!E4:E73,"*"&amp;$B31&amp;"*")+COUNTIFS(구역8!F4:F73,"2호차",구역8!E4:E73,"*"&amp;$B31&amp;"*")+COUNTIFS(구역8!F4:F73,"3호차",구역8!E4:E73,"*"&amp;$B31&amp;"*")+COUNTIFS(구역8!F4:F73,"4호차",구역8!E4:E73,"*"&amp;$B31&amp;"*")+COUNTIFS(구역8!F4:F73,"5호차",구역8!E4:E73,"*"&amp;$B31&amp;"*")+COUNTIFS(구역8!F4:F73,"6호차",구역8!E4:E73,"*"&amp;$B31&amp;"*")+COUNTIFS(구역8!F4:F73,"7호차",구역8!E4:E73,"*"&amp;$B31&amp;"*")+COUNTIFS(구역8!F4:F73,"8호차",구역8!E4:E73,"*"&amp;$B31&amp;"*")+COUNTIFS(구역8!F4:F73,"9호차",구역8!E4:E73,"*"&amp;$B31&amp;"*")+COUNTIFS(구역8!F4:F73,"10호차",구역8!E4:E73,"*"&amp;$B31&amp;"*")=0,"",COUNTIFS(구역8!F4:F73,"1호차",구역8!E4:E73,"*"&amp;$B31&amp;"*")+COUNTIFS(구역8!F4:F73,"2호차",구역8!E4:E73,"*"&amp;$B31&amp;"*")+COUNTIFS(구역8!F4:F73,"3호차",구역8!E4:E73,"*"&amp;$B31&amp;"*")+COUNTIFS(구역8!F4:F73,"4호차",구역8!E4:E73,"*"&amp;$B31&amp;"*")+COUNTIFS(구역8!F4:F73,"5호차",구역8!E4:E73,"*"&amp;$B31&amp;"*")+COUNTIFS(구역8!F4:F73,"6호차",구역8!E4:E73,"*"&amp;$B31&amp;"*")+COUNTIFS(구역8!F4:F73,"7호차",구역8!E4:E73,"*"&amp;$B31&amp;"*")+COUNTIFS(구역8!F4:F73,"8호차",구역8!E4:E73,"*"&amp;$B31&amp;"*")+COUNTIFS(구역8!F4:F73,"9호차",구역8!E4:E73,"*"&amp;$B31&amp;"*")+COUNTIFS(구역8!F4:F73,"10호차",구역8!E4:E73,"*"&amp;$B31&amp;"*"))</f>
        <v/>
      </c>
      <c r="C11" s="44">
        <f>IF(COUNTIFS(구역8!G4:G73,"1호차",구역8!E4:E73,"*"&amp;$B31&amp;"*")+COUNTIFS(구역8!G4:G73,"2호차",구역8!E4:E73,"*"&amp;$B31&amp;"*")+COUNTIFS(구역8!G4:G73,"3호차",구역8!E4:E73,"*"&amp;$B31&amp;"*")+COUNTIFS(구역8!G4:G73,"4호차",구역8!E4:E73,"*"&amp;$B31&amp;"*")+COUNTIFS(구역8!G4:G73,"5호차",구역8!E4:E73,"*"&amp;$B31&amp;"*")+COUNTIFS(구역8!G4:G73,"6호차",구역8!E4:E73,"*"&amp;$B31&amp;"*")+COUNTIFS(구역8!G4:G73,"7호차",구역8!E4:E73,"*"&amp;$B31&amp;"*")+COUNTIFS(구역8!G4:G73,"8호차",구역8!E4:E73,"*"&amp;$B31&amp;"*")+COUNTIFS(구역8!G4:G73,"9호차",구역8!E4:E73,"*"&amp;$B31&amp;"*")+COUNTIFS(구역8!G4:G73,"10호차",구역8!E4:E73,"*"&amp;$B31&amp;"*")=0,"",COUNTIFS(구역8!G4:G73,"1호차",구역8!E4:E73,"*"&amp;$B31&amp;"*")+COUNTIFS(구역8!G4:G73,"2호차",구역8!E4:E73,"*"&amp;$B31&amp;"*")+COUNTIFS(구역8!G4:G73,"3호차",구역8!E4:E73,"*"&amp;$B31&amp;"*")+COUNTIFS(구역8!G4:G73,"4호차",구역8!E4:E73,"*"&amp;$B31&amp;"*")+COUNTIFS(구역8!G4:G73,"5호차",구역8!E4:E73,"*"&amp;$B31&amp;"*")+COUNTIFS(구역8!G4:G73,"6호차",구역8!E4:E73,"*"&amp;$B31&amp;"*")+COUNTIFS(구역8!G4:G73,"7호차",구역8!E4:E73,"*"&amp;$B31&amp;"*")+COUNTIFS(구역8!G4:G73,"8호차",구역8!E4:E73,"*"&amp;$B31&amp;"*")+COUNTIFS(구역8!G4:G73,"9호차",구역8!E4:E73,"*"&amp;$B31&amp;"*")+COUNTIFS(구역8!G4:G73,"10호차",구역8!E4:E73,"*"&amp;$B31&amp;"*"))</f>
        <v/>
      </c>
      <c r="D11" s="44">
        <f>IF(COUNTIFS(구역8!F4:F73,"교회차1",구역8!E4:E73,"*"&amp;$B31&amp;"*")+COUNTIFS(구역8!F4:F73,"교회차2",구역8!E4:E73,"*"&amp;$B31&amp;"*")+COUNTIFS(구역8!F4:F73,"교회차3",구역8!E4:E73,"*"&amp;$B31&amp;"*")+COUNTIFS(구역8!F4:F73,"교회차4",구역8!E4:E73,"*"&amp;$B31&amp;"*")+COUNTIFS(구역8!F4:F73,"교회차5",구역8!E4:E73,"*"&amp;$B31&amp;"*")+COUNTIFS(구역8!H4:H73,"*교회차*",구역8!E4:E73,"*"&amp;$B31&amp;"*")=0,"",COUNTIFS(구역8!F4:F73,"교회차1",구역8!E4:E73,"*"&amp;$B31&amp;"*")+COUNTIFS(구역8!F4:F73,"교회차2",구역8!E4:E73,"*"&amp;$B31&amp;"*")+COUNTIFS(구역8!F4:F73,"교회차3",구역8!E4:E73,"*"&amp;$B31&amp;"*")+COUNTIFS(구역8!F4:F73,"교회차4",구역8!E4:E73,"*"&amp;$B31&amp;"*")+COUNTIFS(구역8!F4:F73,"교회차5",구역8!E4:E73,"*"&amp;$B31&amp;"*")+COUNTIFS(구역8!H4:H73,"*교회차*",구역8!E4:E73,"*"&amp;$B31&amp;"*"))</f>
        <v/>
      </c>
      <c r="E11" s="44">
        <f>IF(COUNTIFS(구역8!G4:G73,"교회차1",구역8!E4:E73,"*"&amp;$B31&amp;"*")+COUNTIFS(구역8!G4:G73,"교회차2",구역8!E4:E73,"*"&amp;$B31&amp;"*")+COUNTIFS(구역8!G4:G73,"교회차3",구역8!E4:E73,"*"&amp;$B31&amp;"*")+COUNTIFS(구역8!G4:G73,"교회차4",구역8!E4:E73,"*"&amp;$B31&amp;"*")+COUNTIFS(구역8!G4:G73,"교회차5",구역8!E4:E73,"*"&amp;$B31&amp;"*")+COUNTIFS(구역8!J4:J73,"*교회차*",구역8!E4:E73,"*"&amp;$B31&amp;"*")=0,"",COUNTIFS(구역8!G4:G73,"교회차1",구역8!E4:E73,"*"&amp;$B31&amp;"*")+COUNTIFS(구역8!G4:G73,"교회차2",구역8!E4:E73,"*"&amp;$B31&amp;"*")+COUNTIFS(구역8!G4:G73,"교회차3",구역8!E4:E73,"*"&amp;$B31&amp;"*")+COUNTIFS(구역8!G4:G73,"교회차4",구역8!E4:E73,"*"&amp;$B31&amp;"*")+COUNTIFS(구역8!G4:G73,"교회차5",구역8!E4:E73,"*"&amp;$B31&amp;"*")+COUNTIFS(구역8!J4:J73,"*교회차*",구역8!E4:E73,"*"&amp;$B31&amp;"*"))</f>
        <v/>
      </c>
      <c r="F11" s="44">
        <f>IF(COUNTIFS(구역8!F4:F73,"타교회",구역8!E4:E73,"*"&amp;$B31&amp;"*")+COUNTIFS(구역8!H4:H73,"*타교회*",구역8!E4:E73,"*"&amp;$B31&amp;"*")=0,"",COUNTIFS(구역8!F4:F73,"타교회",구역8!E4:E73,"*"&amp;$B31&amp;"*")+COUNTIFS(구역8!H4:H73,"*타교회*",구역8!E4:E73,"*"&amp;$B31&amp;"*"))</f>
        <v/>
      </c>
      <c r="G11" s="44">
        <f>IF(COUNTIFS(구역8!G4:G73,"타교회",구역8!E4:E73,"*"&amp;$B31&amp;"*")+COUNTIFS(구역8!J4:J73,"*타교회*",구역8!E4:E73,"*"&amp;$B31&amp;"*")=0,"",COUNTIFS(구역8!G4:G73,"타교회",구역8!E4:E73,"*"&amp;$B31&amp;"*")+COUNTIFS(구역8!J4:J73,"*타교회*",구역8!E4:E73,"*"&amp;$B31&amp;"*"))</f>
        <v/>
      </c>
      <c r="H11" s="44">
        <f>IF(COUNTIFS(구역8!F4:F73,"개인차",구역8!E4:E73,"*"&amp;$B31&amp;"*")+(COUNTIFS(구역8!H4:H73,"?*",구역8!E4:E73,"*"&amp;$B31&amp;"*")-COUNTIFS(구역8!H4:H73,"*교회차*",구역8!E4:E73,"*"&amp;$B31&amp;"*")-COUNTIFS(구역8!H4:H73,"*타교회*",구역8!E4:E73,"*"&amp;$B31&amp;"*")-COUNTIFS(구역8!H4:H73,"*대중교통*",구역8!E4:E73,"*"&amp;$B31&amp;"*"))=0,"",COUNTIFS(구역8!F4:F73,"개인차",구역8!E4:E73,"*"&amp;$B31&amp;"*")+(COUNTIFS(구역8!H4:H73,"?*",구역8!E4:E73,"*"&amp;$B31&amp;"*")-COUNTIFS(구역8!H4:H73,"*교회차*",구역8!E4:E73,"*"&amp;$B31&amp;"*")-COUNTIFS(구역8!H4:H73,"*타교회*",구역8!E4:E73,"*"&amp;$B31&amp;"*")-COUNTIFS(구역8!H4:H73,"*대중교통*",구역8!E4:E73,"*"&amp;$B31&amp;"*")))</f>
        <v/>
      </c>
      <c r="I11" s="44">
        <f>IF(COUNTIFS(구역8!G4:G73,"개인차",구역8!E4:E73,"*"&amp;$B31&amp;"*")+(COUNTIFS(구역8!J4:J73,"?*",구역8!E4:E73,"*"&amp;$B31&amp;"*")-COUNTIFS(구역8!J4:J73,"*교회차*",구역8!E4:E73,"*"&amp;$B31&amp;"*")-COUNTIFS(구역8!J4:J73,"*타교회*",구역8!E4:E73,"*"&amp;$B31&amp;"*")-COUNTIFS(구역8!J4:J73,"*대중교통*",구역8!E4:E73,"*"&amp;$B31&amp;"*"))=0,"",COUNTIFS(구역8!G4:G73,"개인차",구역8!E4:E73,"*"&amp;$B31&amp;"*")+(COUNTIFS(구역8!J4:J73,"?*",구역8!E4:E73,"*"&amp;$B31&amp;"*")-COUNTIFS(구역8!J4:J73,"*교회차*",구역8!E4:E73,"*"&amp;$B31&amp;"*")-COUNTIFS(구역8!J4:J73,"*타교회*",구역8!E4:E73,"*"&amp;$B31&amp;"*")-COUNTIFS(구역8!J4:J73,"*대중교통*",구역8!E4:E73,"*"&amp;$B31&amp;"*")))</f>
        <v/>
      </c>
      <c r="J11" s="44">
        <f>IF(COUNTIFS(구역8!F4:F73,"대중교통",구역8!E4:E73,"*"&amp;$B31&amp;"*")+COUNTIFS(구역8!H4:H73,"*대중교통*",구역8!E4:E73,"*"&amp;$B31&amp;"*")=0,"",COUNTIFS(구역8!F4:F73,"대중교통",구역8!E4:E73,"*"&amp;$B31&amp;"*")+COUNTIFS(구역8!H4:H73,"*대중교통*",구역8!E4:E73,"*"&amp;$B31&amp;"*"))</f>
        <v/>
      </c>
      <c r="K11" s="44">
        <f>IF(COUNTIFS(구역8!G4:G73,"대중교통",구역8!E4:E73,"*"&amp;$B31&amp;"*")+COUNTIFS(구역8!J4:J73,"*대중교통*",구역8!E4:E73,"*"&amp;$B31&amp;"*")=0,"",COUNTIFS(구역8!G4:G73,"대중교통",구역8!E4:E73,"*"&amp;$B31&amp;"*")+COUNTIFS(구역8!J4:J73,"*대중교통*",구역8!E4:E73,"*"&amp;$B31&amp;"*"))</f>
        <v/>
      </c>
      <c r="L11" s="42">
        <f>IF(SUM(B11,D11,F11,H11,J11)=0,"",SUM(B11,D11,F11,H11,J11))</f>
        <v/>
      </c>
      <c r="M11" s="83" t="n"/>
      <c r="N11" s="81" t="n"/>
    </row>
    <row r="12" ht="21.75" customHeight="1" s="33">
      <c r="A12" s="42" t="inlineStr">
        <is>
          <t>구역9</t>
        </is>
      </c>
      <c r="B12" s="42">
        <f>IF(COUNTIFS(구역9!F4:F73,"1호차",구역9!E4:E73,"*"&amp;$B31&amp;"*")+COUNTIFS(구역9!F4:F73,"2호차",구역9!E4:E73,"*"&amp;$B31&amp;"*")+COUNTIFS(구역9!F4:F73,"3호차",구역9!E4:E73,"*"&amp;$B31&amp;"*")+COUNTIFS(구역9!F4:F73,"4호차",구역9!E4:E73,"*"&amp;$B31&amp;"*")+COUNTIFS(구역9!F4:F73,"5호차",구역9!E4:E73,"*"&amp;$B31&amp;"*")+COUNTIFS(구역9!F4:F73,"6호차",구역9!E4:E73,"*"&amp;$B31&amp;"*")+COUNTIFS(구역9!F4:F73,"7호차",구역9!E4:E73,"*"&amp;$B31&amp;"*")+COUNTIFS(구역9!F4:F73,"8호차",구역9!E4:E73,"*"&amp;$B31&amp;"*")+COUNTIFS(구역9!F4:F73,"9호차",구역9!E4:E73,"*"&amp;$B31&amp;"*")+COUNTIFS(구역9!F4:F73,"10호차",구역9!E4:E73,"*"&amp;$B31&amp;"*")=0,"",COUNTIFS(구역9!F4:F73,"1호차",구역9!E4:E73,"*"&amp;$B31&amp;"*")+COUNTIFS(구역9!F4:F73,"2호차",구역9!E4:E73,"*"&amp;$B31&amp;"*")+COUNTIFS(구역9!F4:F73,"3호차",구역9!E4:E73,"*"&amp;$B31&amp;"*")+COUNTIFS(구역9!F4:F73,"4호차",구역9!E4:E73,"*"&amp;$B31&amp;"*")+COUNTIFS(구역9!F4:F73,"5호차",구역9!E4:E73,"*"&amp;$B31&amp;"*")+COUNTIFS(구역9!F4:F73,"6호차",구역9!E4:E73,"*"&amp;$B31&amp;"*")+COUNTIFS(구역9!F4:F73,"7호차",구역9!E4:E73,"*"&amp;$B31&amp;"*")+COUNTIFS(구역9!F4:F73,"8호차",구역9!E4:E73,"*"&amp;$B31&amp;"*")+COUNTIFS(구역9!F4:F73,"9호차",구역9!E4:E73,"*"&amp;$B31&amp;"*")+COUNTIFS(구역9!F4:F73,"10호차",구역9!E4:E73,"*"&amp;$B31&amp;"*"))</f>
        <v/>
      </c>
      <c r="C12" s="42">
        <f>IF(COUNTIFS(구역9!G4:G73,"1호차",구역9!E4:E73,"*"&amp;$B31&amp;"*")+COUNTIFS(구역9!G4:G73,"2호차",구역9!E4:E73,"*"&amp;$B31&amp;"*")+COUNTIFS(구역9!G4:G73,"3호차",구역9!E4:E73,"*"&amp;$B31&amp;"*")+COUNTIFS(구역9!G4:G73,"4호차",구역9!E4:E73,"*"&amp;$B31&amp;"*")+COUNTIFS(구역9!G4:G73,"5호차",구역9!E4:E73,"*"&amp;$B31&amp;"*")+COUNTIFS(구역9!G4:G73,"6호차",구역9!E4:E73,"*"&amp;$B31&amp;"*")+COUNTIFS(구역9!G4:G73,"7호차",구역9!E4:E73,"*"&amp;$B31&amp;"*")+COUNTIFS(구역9!G4:G73,"8호차",구역9!E4:E73,"*"&amp;$B31&amp;"*")+COUNTIFS(구역9!G4:G73,"9호차",구역9!E4:E73,"*"&amp;$B31&amp;"*")+COUNTIFS(구역9!G4:G73,"10호차",구역9!E4:E73,"*"&amp;$B31&amp;"*")=0,"",COUNTIFS(구역9!G4:G73,"1호차",구역9!E4:E73,"*"&amp;$B31&amp;"*")+COUNTIFS(구역9!G4:G73,"2호차",구역9!E4:E73,"*"&amp;$B31&amp;"*")+COUNTIFS(구역9!G4:G73,"3호차",구역9!E4:E73,"*"&amp;$B31&amp;"*")+COUNTIFS(구역9!G4:G73,"4호차",구역9!E4:E73,"*"&amp;$B31&amp;"*")+COUNTIFS(구역9!G4:G73,"5호차",구역9!E4:E73,"*"&amp;$B31&amp;"*")+COUNTIFS(구역9!G4:G73,"6호차",구역9!E4:E73,"*"&amp;$B31&amp;"*")+COUNTIFS(구역9!G4:G73,"7호차",구역9!E4:E73,"*"&amp;$B31&amp;"*")+COUNTIFS(구역9!G4:G73,"8호차",구역9!E4:E73,"*"&amp;$B31&amp;"*")+COUNTIFS(구역9!G4:G73,"9호차",구역9!E4:E73,"*"&amp;$B31&amp;"*")+COUNTIFS(구역9!G4:G73,"10호차",구역9!E4:E73,"*"&amp;$B31&amp;"*"))</f>
        <v/>
      </c>
      <c r="D12" s="42">
        <f>IF(COUNTIFS(구역9!F4:F73,"교회차1",구역9!E4:E73,"*"&amp;$B31&amp;"*")+COUNTIFS(구역9!F4:F73,"교회차2",구역9!E4:E73,"*"&amp;$B31&amp;"*")+COUNTIFS(구역9!F4:F73,"교회차3",구역9!E4:E73,"*"&amp;$B31&amp;"*")+COUNTIFS(구역9!F4:F73,"교회차4",구역9!E4:E73,"*"&amp;$B31&amp;"*")+COUNTIFS(구역9!F4:F73,"교회차5",구역9!E4:E73,"*"&amp;$B31&amp;"*")+COUNTIFS(구역9!H4:H73,"*교회차*",구역9!E4:E73,"*"&amp;$B31&amp;"*")=0,"",COUNTIFS(구역9!F4:F73,"교회차1",구역9!E4:E73,"*"&amp;$B31&amp;"*")+COUNTIFS(구역9!F4:F73,"교회차2",구역9!E4:E73,"*"&amp;$B31&amp;"*")+COUNTIFS(구역9!F4:F73,"교회차3",구역9!E4:E73,"*"&amp;$B31&amp;"*")+COUNTIFS(구역9!F4:F73,"교회차4",구역9!E4:E73,"*"&amp;$B31&amp;"*")+COUNTIFS(구역9!F4:F73,"교회차5",구역9!E4:E73,"*"&amp;$B31&amp;"*")+COUNTIFS(구역9!H4:H73,"*교회차*",구역9!E4:E73,"*"&amp;$B31&amp;"*"))</f>
        <v/>
      </c>
      <c r="E12" s="42">
        <f>IF(COUNTIFS(구역9!G4:G73,"교회차1",구역9!E4:E73,"*"&amp;$B31&amp;"*")+COUNTIFS(구역9!G4:G73,"교회차2",구역9!E4:E73,"*"&amp;$B31&amp;"*")+COUNTIFS(구역9!G4:G73,"교회차3",구역9!E4:E73,"*"&amp;$B31&amp;"*")+COUNTIFS(구역9!G4:G73,"교회차4",구역9!E4:E73,"*"&amp;$B31&amp;"*")+COUNTIFS(구역9!G4:G73,"교회차5",구역9!E4:E73,"*"&amp;$B31&amp;"*")+COUNTIFS(구역9!J4:J73,"*교회차*",구역9!E4:E73,"*"&amp;$B31&amp;"*")=0,"",COUNTIFS(구역9!G4:G73,"교회차1",구역9!E4:E73,"*"&amp;$B31&amp;"*")+COUNTIFS(구역9!G4:G73,"교회차2",구역9!E4:E73,"*"&amp;$B31&amp;"*")+COUNTIFS(구역9!G4:G73,"교회차3",구역9!E4:E73,"*"&amp;$B31&amp;"*")+COUNTIFS(구역9!G4:G73,"교회차4",구역9!E4:E73,"*"&amp;$B31&amp;"*")+COUNTIFS(구역9!G4:G73,"교회차5",구역9!E4:E73,"*"&amp;$B31&amp;"*")+COUNTIFS(구역9!J4:J73,"*교회차*",구역9!E4:E73,"*"&amp;$B31&amp;"*"))</f>
        <v/>
      </c>
      <c r="F12" s="42">
        <f>IF(COUNTIFS(구역9!F4:F73,"타교회",구역9!E4:E73,"*"&amp;$B31&amp;"*")+COUNTIFS(구역9!H4:H73,"*타교회*",구역9!E4:E73,"*"&amp;$B31&amp;"*")=0,"",COUNTIFS(구역9!F4:F73,"타교회",구역9!E4:E73,"*"&amp;$B31&amp;"*")+COUNTIFS(구역9!H4:H73,"*타교회*",구역9!E4:E73,"*"&amp;$B31&amp;"*"))</f>
        <v/>
      </c>
      <c r="G12" s="42">
        <f>IF(COUNTIFS(구역9!G4:G73,"타교회",구역9!E4:E73,"*"&amp;$B31&amp;"*")+COUNTIFS(구역9!J4:J73,"*타교회*",구역9!E4:E73,"*"&amp;$B31&amp;"*")=0,"",COUNTIFS(구역9!G4:G73,"타교회",구역9!E4:E73,"*"&amp;$B31&amp;"*")+COUNTIFS(구역9!J4:J73,"*타교회*",구역9!E4:E73,"*"&amp;$B31&amp;"*"))</f>
        <v/>
      </c>
      <c r="H12" s="42">
        <f>IF(COUNTIFS(구역9!F4:F73,"개인차",구역9!E4:E73,"*"&amp;$B31&amp;"*")+(COUNTIFS(구역9!H4:H73,"?*",구역9!E4:E73,"*"&amp;$B31&amp;"*")-COUNTIFS(구역9!H4:H73,"*교회차*",구역9!E4:E73,"*"&amp;$B31&amp;"*")-COUNTIFS(구역9!H4:H73,"*타교회*",구역9!E4:E73,"*"&amp;$B31&amp;"*")-COUNTIFS(구역9!H4:H73,"*대중교통*",구역9!E4:E73,"*"&amp;$B31&amp;"*"))=0,"",COUNTIFS(구역9!F4:F73,"개인차",구역9!E4:E73,"*"&amp;$B31&amp;"*")+(COUNTIFS(구역9!H4:H73,"?*",구역9!E4:E73,"*"&amp;$B31&amp;"*")-COUNTIFS(구역9!H4:H73,"*교회차*",구역9!E4:E73,"*"&amp;$B31&amp;"*")-COUNTIFS(구역9!H4:H73,"*타교회*",구역9!E4:E73,"*"&amp;$B31&amp;"*")-COUNTIFS(구역9!H4:H73,"*대중교통*",구역9!E4:E73,"*"&amp;$B31&amp;"*")))</f>
        <v/>
      </c>
      <c r="I12" s="42">
        <f>IF(COUNTIFS(구역9!G4:G73,"개인차",구역9!E4:E73,"*"&amp;$B31&amp;"*")+(COUNTIFS(구역9!J4:J73,"?*",구역9!E4:E73,"*"&amp;$B31&amp;"*")-COUNTIFS(구역9!J4:J73,"*교회차*",구역9!E4:E73,"*"&amp;$B31&amp;"*")-COUNTIFS(구역9!J4:J73,"*타교회*",구역9!E4:E73,"*"&amp;$B31&amp;"*")-COUNTIFS(구역9!J4:J73,"*대중교통*",구역9!E4:E73,"*"&amp;$B31&amp;"*"))=0,"",COUNTIFS(구역9!G4:G73,"개인차",구역9!E4:E73,"*"&amp;$B31&amp;"*")+(COUNTIFS(구역9!J4:J73,"?*",구역9!E4:E73,"*"&amp;$B31&amp;"*")-COUNTIFS(구역9!J4:J73,"*교회차*",구역9!E4:E73,"*"&amp;$B31&amp;"*")-COUNTIFS(구역9!J4:J73,"*타교회*",구역9!E4:E73,"*"&amp;$B31&amp;"*")-COUNTIFS(구역9!J4:J73,"*대중교통*",구역9!E4:E73,"*"&amp;$B31&amp;"*")))</f>
        <v/>
      </c>
      <c r="J12" s="42">
        <f>IF(COUNTIFS(구역9!F4:F73,"대중교통",구역9!E4:E73,"*"&amp;$B31&amp;"*")+COUNTIFS(구역9!H4:H73,"*대중교통*",구역9!E4:E73,"*"&amp;$B31&amp;"*")=0,"",COUNTIFS(구역9!F4:F73,"대중교통",구역9!E4:E73,"*"&amp;$B31&amp;"*")+COUNTIFS(구역9!H4:H73,"*대중교통*",구역9!E4:E73,"*"&amp;$B31&amp;"*"))</f>
        <v/>
      </c>
      <c r="K12" s="42">
        <f>IF(COUNTIFS(구역9!G4:G73,"대중교통",구역9!E4:E73,"*"&amp;$B31&amp;"*")+COUNTIFS(구역9!J4:J73,"*대중교통*",구역9!E4:E73,"*"&amp;$B31&amp;"*")=0,"",COUNTIFS(구역9!G4:G73,"대중교통",구역9!E4:E73,"*"&amp;$B31&amp;"*")+COUNTIFS(구역9!J4:J73,"*대중교통*",구역9!E4:E73,"*"&amp;$B31&amp;"*"))</f>
        <v/>
      </c>
      <c r="L12" s="42">
        <f>IF(SUM(B12,D12,F12,H12,J12)=0,"",SUM(B12,D12,F12,H12,J12))</f>
        <v/>
      </c>
      <c r="M12" s="83" t="n"/>
      <c r="N12" s="81" t="n"/>
    </row>
    <row r="13" ht="21.75" customHeight="1" s="33">
      <c r="A13" s="44" t="inlineStr">
        <is>
          <t>구역10</t>
        </is>
      </c>
      <c r="B13" s="44">
        <f>IF(COUNTIFS(구역10!F4:F73,"1호차",구역10!E4:E73,"*"&amp;$B31&amp;"*")+COUNTIFS(구역10!F4:F73,"2호차",구역10!E4:E73,"*"&amp;$B31&amp;"*")+COUNTIFS(구역10!F4:F73,"3호차",구역10!E4:E73,"*"&amp;$B31&amp;"*")+COUNTIFS(구역10!F4:F73,"4호차",구역10!E4:E73,"*"&amp;$B31&amp;"*")+COUNTIFS(구역10!F4:F73,"5호차",구역10!E4:E73,"*"&amp;$B31&amp;"*")+COUNTIFS(구역10!F4:F73,"6호차",구역10!E4:E73,"*"&amp;$B31&amp;"*")+COUNTIFS(구역10!F4:F73,"7호차",구역10!E4:E73,"*"&amp;$B31&amp;"*")+COUNTIFS(구역10!F4:F73,"8호차",구역10!E4:E73,"*"&amp;$B31&amp;"*")+COUNTIFS(구역10!F4:F73,"9호차",구역10!E4:E73,"*"&amp;$B31&amp;"*")+COUNTIFS(구역10!F4:F73,"10호차",구역10!E4:E73,"*"&amp;$B31&amp;"*")=0,"",COUNTIFS(구역10!F4:F73,"1호차",구역10!E4:E73,"*"&amp;$B31&amp;"*")+COUNTIFS(구역10!F4:F73,"2호차",구역10!E4:E73,"*"&amp;$B31&amp;"*")+COUNTIFS(구역10!F4:F73,"3호차",구역10!E4:E73,"*"&amp;$B31&amp;"*")+COUNTIFS(구역10!F4:F73,"4호차",구역10!E4:E73,"*"&amp;$B31&amp;"*")+COUNTIFS(구역10!F4:F73,"5호차",구역10!E4:E73,"*"&amp;$B31&amp;"*")+COUNTIFS(구역10!F4:F73,"6호차",구역10!E4:E73,"*"&amp;$B31&amp;"*")+COUNTIFS(구역10!F4:F73,"7호차",구역10!E4:E73,"*"&amp;$B31&amp;"*")+COUNTIFS(구역10!F4:F73,"8호차",구역10!E4:E73,"*"&amp;$B31&amp;"*")+COUNTIFS(구역10!F4:F73,"9호차",구역10!E4:E73,"*"&amp;$B31&amp;"*")+COUNTIFS(구역10!F4:F73,"10호차",구역10!E4:E73,"*"&amp;$B31&amp;"*"))</f>
        <v/>
      </c>
      <c r="C13" s="44">
        <f>IF(COUNTIFS(구역10!G4:G73,"1호차",구역10!E4:E73,"*"&amp;$B31&amp;"*")+COUNTIFS(구역10!G4:G73,"2호차",구역10!E4:E73,"*"&amp;$B31&amp;"*")+COUNTIFS(구역10!G4:G73,"3호차",구역10!E4:E73,"*"&amp;$B31&amp;"*")+COUNTIFS(구역10!G4:G73,"4호차",구역10!E4:E73,"*"&amp;$B31&amp;"*")+COUNTIFS(구역10!G4:G73,"5호차",구역10!E4:E73,"*"&amp;$B31&amp;"*")+COUNTIFS(구역10!G4:G73,"6호차",구역10!E4:E73,"*"&amp;$B31&amp;"*")+COUNTIFS(구역10!G4:G73,"7호차",구역10!E4:E73,"*"&amp;$B31&amp;"*")+COUNTIFS(구역10!G4:G73,"8호차",구역10!E4:E73,"*"&amp;$B31&amp;"*")+COUNTIFS(구역10!G4:G73,"9호차",구역10!E4:E73,"*"&amp;$B31&amp;"*")+COUNTIFS(구역10!G4:G73,"10호차",구역10!E4:E73,"*"&amp;$B31&amp;"*")=0,"",COUNTIFS(구역10!G4:G73,"1호차",구역10!E4:E73,"*"&amp;$B31&amp;"*")+COUNTIFS(구역10!G4:G73,"2호차",구역10!E4:E73,"*"&amp;$B31&amp;"*")+COUNTIFS(구역10!G4:G73,"3호차",구역10!E4:E73,"*"&amp;$B31&amp;"*")+COUNTIFS(구역10!G4:G73,"4호차",구역10!E4:E73,"*"&amp;$B31&amp;"*")+COUNTIFS(구역10!G4:G73,"5호차",구역10!E4:E73,"*"&amp;$B31&amp;"*")+COUNTIFS(구역10!G4:G73,"6호차",구역10!E4:E73,"*"&amp;$B31&amp;"*")+COUNTIFS(구역10!G4:G73,"7호차",구역10!E4:E73,"*"&amp;$B31&amp;"*")+COUNTIFS(구역10!G4:G73,"8호차",구역10!E4:E73,"*"&amp;$B31&amp;"*")+COUNTIFS(구역10!G4:G73,"9호차",구역10!E4:E73,"*"&amp;$B31&amp;"*")+COUNTIFS(구역10!G4:G73,"10호차",구역10!E4:E73,"*"&amp;$B31&amp;"*"))</f>
        <v/>
      </c>
      <c r="D13" s="44">
        <f>IF(COUNTIFS(구역10!F4:F73,"교회차1",구역10!E4:E73,"*"&amp;$B31&amp;"*")+COUNTIFS(구역10!F4:F73,"교회차2",구역10!E4:E73,"*"&amp;$B31&amp;"*")+COUNTIFS(구역10!F4:F73,"교회차3",구역10!E4:E73,"*"&amp;$B31&amp;"*")+COUNTIFS(구역10!F4:F73,"교회차4",구역10!E4:E73,"*"&amp;$B31&amp;"*")+COUNTIFS(구역10!F4:F73,"교회차5",구역10!E4:E73,"*"&amp;$B31&amp;"*")+COUNTIFS(구역10!H4:H73,"*교회차*",구역10!E4:E73,"*"&amp;$B31&amp;"*")=0,"",COUNTIFS(구역10!F4:F73,"교회차1",구역10!E4:E73,"*"&amp;$B31&amp;"*")+COUNTIFS(구역10!F4:F73,"교회차2",구역10!E4:E73,"*"&amp;$B31&amp;"*")+COUNTIFS(구역10!F4:F73,"교회차3",구역10!E4:E73,"*"&amp;$B31&amp;"*")+COUNTIFS(구역10!F4:F73,"교회차4",구역10!E4:E73,"*"&amp;$B31&amp;"*")+COUNTIFS(구역10!F4:F73,"교회차5",구역10!E4:E73,"*"&amp;$B31&amp;"*")+COUNTIFS(구역10!H4:H73,"*교회차*",구역10!E4:E73,"*"&amp;$B31&amp;"*"))</f>
        <v/>
      </c>
      <c r="E13" s="44">
        <f>IF(COUNTIFS(구역10!G4:G73,"교회차1",구역10!E4:E73,"*"&amp;$B31&amp;"*")+COUNTIFS(구역10!G4:G73,"교회차2",구역10!E4:E73,"*"&amp;$B31&amp;"*")+COUNTIFS(구역10!G4:G73,"교회차3",구역10!E4:E73,"*"&amp;$B31&amp;"*")+COUNTIFS(구역10!G4:G73,"교회차4",구역10!E4:E73,"*"&amp;$B31&amp;"*")+COUNTIFS(구역10!G4:G73,"교회차5",구역10!E4:E73,"*"&amp;$B31&amp;"*")+COUNTIFS(구역10!J4:J73,"*교회차*",구역10!E4:E73,"*"&amp;$B31&amp;"*")=0,"",COUNTIFS(구역10!G4:G73,"교회차1",구역10!E4:E73,"*"&amp;$B31&amp;"*")+COUNTIFS(구역10!G4:G73,"교회차2",구역10!E4:E73,"*"&amp;$B31&amp;"*")+COUNTIFS(구역10!G4:G73,"교회차3",구역10!E4:E73,"*"&amp;$B31&amp;"*")+COUNTIFS(구역10!G4:G73,"교회차4",구역10!E4:E73,"*"&amp;$B31&amp;"*")+COUNTIFS(구역10!G4:G73,"교회차5",구역10!E4:E73,"*"&amp;$B31&amp;"*")+COUNTIFS(구역10!J4:J73,"*교회차*",구역10!E4:E73,"*"&amp;$B31&amp;"*"))</f>
        <v/>
      </c>
      <c r="F13" s="44">
        <f>IF(COUNTIFS(구역10!F4:F73,"타교회",구역10!E4:E73,"*"&amp;$B31&amp;"*")+COUNTIFS(구역10!H4:H73,"*타교회*",구역10!E4:E73,"*"&amp;$B31&amp;"*")=0,"",COUNTIFS(구역10!F4:F73,"타교회",구역10!E4:E73,"*"&amp;$B31&amp;"*")+COUNTIFS(구역10!H4:H73,"*타교회*",구역10!E4:E73,"*"&amp;$B31&amp;"*"))</f>
        <v/>
      </c>
      <c r="G13" s="44">
        <f>IF(COUNTIFS(구역10!G4:G73,"타교회",구역10!E4:E73,"*"&amp;$B31&amp;"*")+COUNTIFS(구역10!J4:J73,"*타교회*",구역10!E4:E73,"*"&amp;$B31&amp;"*")=0,"",COUNTIFS(구역10!G4:G73,"타교회",구역10!E4:E73,"*"&amp;$B31&amp;"*")+COUNTIFS(구역10!J4:J73,"*타교회*",구역10!E4:E73,"*"&amp;$B31&amp;"*"))</f>
        <v/>
      </c>
      <c r="H13" s="44">
        <f>IF(COUNTIFS(구역10!F4:F73,"개인차",구역10!E4:E73,"*"&amp;$B31&amp;"*")+(COUNTIFS(구역10!H4:H73,"?*",구역10!E4:E73,"*"&amp;$B31&amp;"*")-COUNTIFS(구역10!H4:H73,"*교회차*",구역10!E4:E73,"*"&amp;$B31&amp;"*")-COUNTIFS(구역10!H4:H73,"*타교회*",구역10!E4:E73,"*"&amp;$B31&amp;"*")-COUNTIFS(구역10!H4:H73,"*대중교통*",구역10!E4:E73,"*"&amp;$B31&amp;"*"))=0,"",COUNTIFS(구역10!F4:F73,"개인차",구역10!E4:E73,"*"&amp;$B31&amp;"*")+(COUNTIFS(구역10!H4:H73,"?*",구역10!E4:E73,"*"&amp;$B31&amp;"*")-COUNTIFS(구역10!H4:H73,"*교회차*",구역10!E4:E73,"*"&amp;$B31&amp;"*")-COUNTIFS(구역10!H4:H73,"*타교회*",구역10!E4:E73,"*"&amp;$B31&amp;"*")-COUNTIFS(구역10!H4:H73,"*대중교통*",구역10!E4:E73,"*"&amp;$B31&amp;"*")))</f>
        <v/>
      </c>
      <c r="I13" s="44">
        <f>IF(COUNTIFS(구역10!G4:G73,"개인차",구역10!E4:E73,"*"&amp;$B31&amp;"*")+(COUNTIFS(구역10!J4:J73,"?*",구역10!E4:E73,"*"&amp;$B31&amp;"*")-COUNTIFS(구역10!J4:J73,"*교회차*",구역10!E4:E73,"*"&amp;$B31&amp;"*")-COUNTIFS(구역10!J4:J73,"*타교회*",구역10!E4:E73,"*"&amp;$B31&amp;"*")-COUNTIFS(구역10!J4:J73,"*대중교통*",구역10!E4:E73,"*"&amp;$B31&amp;"*"))=0,"",COUNTIFS(구역10!G4:G73,"개인차",구역10!E4:E73,"*"&amp;$B31&amp;"*")+(COUNTIFS(구역10!J4:J73,"?*",구역10!E4:E73,"*"&amp;$B31&amp;"*")-COUNTIFS(구역10!J4:J73,"*교회차*",구역10!E4:E73,"*"&amp;$B31&amp;"*")-COUNTIFS(구역10!J4:J73,"*타교회*",구역10!E4:E73,"*"&amp;$B31&amp;"*")-COUNTIFS(구역10!J4:J73,"*대중교통*",구역10!E4:E73,"*"&amp;$B31&amp;"*")))</f>
        <v/>
      </c>
      <c r="J13" s="44">
        <f>IF(COUNTIFS(구역10!F4:F73,"대중교통",구역10!E4:E73,"*"&amp;$B31&amp;"*")+COUNTIFS(구역10!H4:H73,"*대중교통*",구역10!E4:E73,"*"&amp;$B31&amp;"*")=0,"",COUNTIFS(구역10!F4:F73,"대중교통",구역10!E4:E73,"*"&amp;$B31&amp;"*")+COUNTIFS(구역10!H4:H73,"*대중교통*",구역10!E4:E73,"*"&amp;$B31&amp;"*"))</f>
        <v/>
      </c>
      <c r="K13" s="44">
        <f>IF(COUNTIFS(구역10!G4:G73,"대중교통",구역10!E4:E73,"*"&amp;$B31&amp;"*")+COUNTIFS(구역10!J4:J73,"*대중교통*",구역10!E4:E73,"*"&amp;$B31&amp;"*")=0,"",COUNTIFS(구역10!G4:G73,"대중교통",구역10!E4:E73,"*"&amp;$B31&amp;"*")+COUNTIFS(구역10!J4:J73,"*대중교통*",구역10!E4:E73,"*"&amp;$B31&amp;"*"))</f>
        <v/>
      </c>
      <c r="L13" s="42">
        <f>IF(SUM(B13,D13,F13,H13,J13)=0,"",SUM(B13,D13,F13,H13,J13))</f>
        <v/>
      </c>
      <c r="M13" s="83" t="n"/>
      <c r="N13" s="81" t="n"/>
    </row>
    <row r="14" ht="15" customHeight="1" s="33">
      <c r="A14" s="61" t="inlineStr">
        <is>
          <t>구역11</t>
        </is>
      </c>
      <c r="B14" s="61">
        <f>IF(COUNTIFS(구역11!F4:F73,"1호차",구역11!E4:E73,"*"&amp;$B31&amp;"*")+COUNTIFS(구역11!F4:F73,"2호차",구역11!E4:E73,"*"&amp;$B31&amp;"*")+COUNTIFS(구역11!F4:F73,"3호차",구역11!E4:E73,"*"&amp;$B31&amp;"*")+COUNTIFS(구역11!F4:F73,"4호차",구역11!E4:E73,"*"&amp;$B31&amp;"*")+COUNTIFS(구역11!F4:F73,"5호차",구역11!E4:E73,"*"&amp;$B31&amp;"*")+COUNTIFS(구역11!F4:F73,"6호차",구역11!E4:E73,"*"&amp;$B31&amp;"*")+COUNTIFS(구역11!F4:F73,"7호차",구역11!E4:E73,"*"&amp;$B31&amp;"*")+COUNTIFS(구역11!F4:F73,"8호차",구역11!E4:E73,"*"&amp;$B31&amp;"*")+COUNTIFS(구역11!F4:F73,"9호차",구역11!E4:E73,"*"&amp;$B31&amp;"*")+COUNTIFS(구역11!F4:F73,"10호차",구역11!E4:E73,"*"&amp;$B31&amp;"*")=0,"",COUNTIFS(구역11!F4:F73,"1호차",구역11!E4:E73,"*"&amp;$B31&amp;"*")+COUNTIFS(구역11!F4:F73,"2호차",구역11!E4:E73,"*"&amp;$B31&amp;"*")+COUNTIFS(구역11!F4:F73,"3호차",구역11!E4:E73,"*"&amp;$B31&amp;"*")+COUNTIFS(구역11!F4:F73,"4호차",구역11!E4:E73,"*"&amp;$B31&amp;"*")+COUNTIFS(구역11!F4:F73,"5호차",구역11!E4:E73,"*"&amp;$B31&amp;"*")+COUNTIFS(구역11!F4:F73,"6호차",구역11!E4:E73,"*"&amp;$B31&amp;"*")+COUNTIFS(구역11!F4:F73,"7호차",구역11!E4:E73,"*"&amp;$B31&amp;"*")+COUNTIFS(구역11!F4:F73,"8호차",구역11!E4:E73,"*"&amp;$B31&amp;"*")+COUNTIFS(구역11!F4:F73,"9호차",구역11!E4:E73,"*"&amp;$B31&amp;"*")+COUNTIFS(구역11!F4:F73,"10호차",구역11!E4:E73,"*"&amp;$B31&amp;"*"))</f>
        <v/>
      </c>
      <c r="C14" s="61">
        <f>IF(COUNTIFS(구역11!G4:G73,"1호차",구역11!E4:E73,"*"&amp;$B31&amp;"*")+COUNTIFS(구역11!G4:G73,"2호차",구역11!E4:E73,"*"&amp;$B31&amp;"*")+COUNTIFS(구역11!G4:G73,"3호차",구역11!E4:E73,"*"&amp;$B31&amp;"*")+COUNTIFS(구역11!G4:G73,"4호차",구역11!E4:E73,"*"&amp;$B31&amp;"*")+COUNTIFS(구역11!G4:G73,"5호차",구역11!E4:E73,"*"&amp;$B31&amp;"*")+COUNTIFS(구역11!G4:G73,"6호차",구역11!E4:E73,"*"&amp;$B31&amp;"*")+COUNTIFS(구역11!G4:G73,"7호차",구역11!E4:E73,"*"&amp;$B31&amp;"*")+COUNTIFS(구역11!G4:G73,"8호차",구역11!E4:E73,"*"&amp;$B31&amp;"*")+COUNTIFS(구역11!G4:G73,"9호차",구역11!E4:E73,"*"&amp;$B31&amp;"*")+COUNTIFS(구역11!G4:G73,"10호차",구역11!E4:E73,"*"&amp;$B31&amp;"*")=0,"",COUNTIFS(구역11!G4:G73,"1호차",구역11!E4:E73,"*"&amp;$B31&amp;"*")+COUNTIFS(구역11!G4:G73,"2호차",구역11!E4:E73,"*"&amp;$B31&amp;"*")+COUNTIFS(구역11!G4:G73,"3호차",구역11!E4:E73,"*"&amp;$B31&amp;"*")+COUNTIFS(구역11!G4:G73,"4호차",구역11!E4:E73,"*"&amp;$B31&amp;"*")+COUNTIFS(구역11!G4:G73,"5호차",구역11!E4:E73,"*"&amp;$B31&amp;"*")+COUNTIFS(구역11!G4:G73,"6호차",구역11!E4:E73,"*"&amp;$B31&amp;"*")+COUNTIFS(구역11!G4:G73,"7호차",구역11!E4:E73,"*"&amp;$B31&amp;"*")+COUNTIFS(구역11!G4:G73,"8호차",구역11!E4:E73,"*"&amp;$B31&amp;"*")+COUNTIFS(구역11!G4:G73,"9호차",구역11!E4:E73,"*"&amp;$B31&amp;"*")+COUNTIFS(구역11!G4:G73,"10호차",구역11!E4:E73,"*"&amp;$B31&amp;"*"))</f>
        <v/>
      </c>
      <c r="D14" s="61">
        <f>IF(COUNTIFS(구역11!F4:F73,"교회차1",구역11!E4:E73,"*"&amp;$B31&amp;"*")+COUNTIFS(구역11!F4:F73,"교회차2",구역11!E4:E73,"*"&amp;$B31&amp;"*")+COUNTIFS(구역11!F4:F73,"교회차3",구역11!E4:E73,"*"&amp;$B31&amp;"*")+COUNTIFS(구역11!F4:F73,"교회차4",구역11!E4:E73,"*"&amp;$B31&amp;"*")+COUNTIFS(구역11!F4:F73,"교회차5",구역11!E4:E73,"*"&amp;$B31&amp;"*")+COUNTIFS(구역11!H4:H73,"*교회차*",구역11!E4:E73,"*"&amp;$B31&amp;"*")=0,"",COUNTIFS(구역11!F4:F73,"교회차1",구역11!E4:E73,"*"&amp;$B31&amp;"*")+COUNTIFS(구역11!F4:F73,"교회차2",구역11!E4:E73,"*"&amp;$B31&amp;"*")+COUNTIFS(구역11!F4:F73,"교회차3",구역11!E4:E73,"*"&amp;$B31&amp;"*")+COUNTIFS(구역11!F4:F73,"교회차4",구역11!E4:E73,"*"&amp;$B31&amp;"*")+COUNTIFS(구역11!F4:F73,"교회차5",구역11!E4:E73,"*"&amp;$B31&amp;"*")+COUNTIFS(구역11!H4:H73,"*교회차*",구역11!E4:E73,"*"&amp;$B31&amp;"*"))</f>
        <v/>
      </c>
      <c r="E14" s="61">
        <f>IF(COUNTIFS(구역11!G4:G73,"교회차1",구역11!E4:E73,"*"&amp;$B31&amp;"*")+COUNTIFS(구역11!G4:G73,"교회차2",구역11!E4:E73,"*"&amp;$B31&amp;"*")+COUNTIFS(구역11!G4:G73,"교회차3",구역11!E4:E73,"*"&amp;$B31&amp;"*")+COUNTIFS(구역11!G4:G73,"교회차4",구역11!E4:E73,"*"&amp;$B31&amp;"*")+COUNTIFS(구역11!G4:G73,"교회차5",구역11!E4:E73,"*"&amp;$B31&amp;"*")+COUNTIFS(구역11!J4:J73,"*교회차*",구역11!E4:E73,"*"&amp;$B31&amp;"*")=0,"",COUNTIFS(구역11!G4:G73,"교회차1",구역11!E4:E73,"*"&amp;$B31&amp;"*")+COUNTIFS(구역11!G4:G73,"교회차2",구역11!E4:E73,"*"&amp;$B31&amp;"*")+COUNTIFS(구역11!G4:G73,"교회차3",구역11!E4:E73,"*"&amp;$B31&amp;"*")+COUNTIFS(구역11!G4:G73,"교회차4",구역11!E4:E73,"*"&amp;$B31&amp;"*")+COUNTIFS(구역11!G4:G73,"교회차5",구역11!E4:E73,"*"&amp;$B31&amp;"*")+COUNTIFS(구역11!J4:J73,"*교회차*",구역11!E4:E73,"*"&amp;$B31&amp;"*"))</f>
        <v/>
      </c>
      <c r="F14" s="61">
        <f>IF(COUNTIFS(구역11!F4:F73,"타교회",구역11!E4:E73,"*"&amp;$B31&amp;"*")+COUNTIFS(구역11!H4:H73,"*타교회*",구역11!E4:E73,"*"&amp;$B31&amp;"*")=0,"",COUNTIFS(구역11!F4:F73,"타교회",구역11!E4:E73,"*"&amp;$B31&amp;"*")+COUNTIFS(구역11!H4:H73,"*타교회*",구역11!E4:E73,"*"&amp;$B31&amp;"*"))</f>
        <v/>
      </c>
      <c r="G14" s="61">
        <f>IF(COUNTIFS(구역11!G4:G73,"타교회",구역11!E4:E73,"*"&amp;$B31&amp;"*")+COUNTIFS(구역11!J4:J73,"*타교회*",구역11!E4:E73,"*"&amp;$B31&amp;"*")=0,"",COUNTIFS(구역11!G4:G73,"타교회",구역11!E4:E73,"*"&amp;$B31&amp;"*")+COUNTIFS(구역11!J4:J73,"*타교회*",구역11!E4:E73,"*"&amp;$B31&amp;"*"))</f>
        <v/>
      </c>
      <c r="H14" s="61">
        <f>IF(COUNTIFS(구역11!F4:F73,"개인차",구역11!E4:E73,"*"&amp;$B31&amp;"*")+(COUNTIFS(구역11!H4:H73,"?*",구역11!E4:E73,"*"&amp;$B31&amp;"*")-COUNTIFS(구역11!H4:H73,"*교회차*",구역11!E4:E73,"*"&amp;$B31&amp;"*")-COUNTIFS(구역11!H4:H73,"*타교회*",구역11!E4:E73,"*"&amp;$B31&amp;"*")-COUNTIFS(구역11!H4:H73,"*대중교통*",구역11!E4:E73,"*"&amp;$B31&amp;"*"))=0,"",COUNTIFS(구역11!F4:F73,"개인차",구역11!E4:E73,"*"&amp;$B31&amp;"*")+(COUNTIFS(구역11!H4:H73,"?*",구역11!E4:E73,"*"&amp;$B31&amp;"*")-COUNTIFS(구역11!H4:H73,"*교회차*",구역11!E4:E73,"*"&amp;$B31&amp;"*")-COUNTIFS(구역11!H4:H73,"*타교회*",구역11!E4:E73,"*"&amp;$B31&amp;"*")-COUNTIFS(구역11!H4:H73,"*대중교통*",구역11!E4:E73,"*"&amp;$B31&amp;"*")))</f>
        <v/>
      </c>
      <c r="I14" s="61">
        <f>IF(COUNTIFS(구역11!G4:G73,"개인차",구역11!E4:E73,"*"&amp;$B31&amp;"*")+(COUNTIFS(구역11!J4:J73,"?*",구역11!E4:E73,"*"&amp;$B31&amp;"*")-COUNTIFS(구역11!J4:J73,"*교회차*",구역11!E4:E73,"*"&amp;$B31&amp;"*")-COUNTIFS(구역11!J4:J73,"*타교회*",구역11!E4:E73,"*"&amp;$B31&amp;"*")-COUNTIFS(구역11!J4:J73,"*대중교통*",구역11!E4:E73,"*"&amp;$B31&amp;"*"))=0,"",COUNTIFS(구역11!G4:G73,"개인차",구역11!E4:E73,"*"&amp;$B31&amp;"*")+(COUNTIFS(구역11!J4:J73,"?*",구역11!E4:E73,"*"&amp;$B31&amp;"*")-COUNTIFS(구역11!J4:J73,"*교회차*",구역11!E4:E73,"*"&amp;$B31&amp;"*")-COUNTIFS(구역11!J4:J73,"*타교회*",구역11!E4:E73,"*"&amp;$B31&amp;"*")-COUNTIFS(구역11!J4:J73,"*대중교통*",구역11!E4:E73,"*"&amp;$B31&amp;"*")))</f>
        <v/>
      </c>
      <c r="J14" s="61">
        <f>IF(COUNTIFS(구역11!F4:F73,"대중교통",구역11!E4:E73,"*"&amp;$B31&amp;"*")+COUNTIFS(구역11!H4:H73,"*대중교통*",구역11!E4:E73,"*"&amp;$B31&amp;"*")=0,"",COUNTIFS(구역11!F4:F73,"대중교통",구역11!E4:E73,"*"&amp;$B31&amp;"*")+COUNTIFS(구역11!H4:H73,"*대중교통*",구역11!E4:E73,"*"&amp;$B31&amp;"*"))</f>
        <v/>
      </c>
      <c r="K14" s="61">
        <f>IF(COUNTIFS(구역11!G4:G73,"대중교통",구역11!E4:E73,"*"&amp;$B31&amp;"*")+COUNTIFS(구역11!J4:J73,"*대중교통*",구역11!E4:E73,"*"&amp;$B31&amp;"*")=0,"",COUNTIFS(구역11!G4:G73,"대중교통",구역11!E4:E73,"*"&amp;$B31&amp;"*")+COUNTIFS(구역11!J4:J73,"*대중교통*",구역11!E4:E73,"*"&amp;$B31&amp;"*"))</f>
        <v/>
      </c>
      <c r="L14" s="42">
        <f>IF(SUM(B14,D14,F14,H14,J14)=0,"",SUM(B14,D14,F14,H14,J14))</f>
        <v/>
      </c>
      <c r="M14" s="84" t="n"/>
      <c r="N14" s="81" t="n"/>
    </row>
    <row r="15">
      <c r="A15" s="32" t="inlineStr">
        <is>
          <t>구역12</t>
        </is>
      </c>
      <c r="B15" s="32">
        <f>IF(COUNTIFS(구역12!F4:F73,"1호차",구역12!E4:E73,"*"&amp;$B31&amp;"*")+COUNTIFS(구역12!F4:F73,"2호차",구역12!E4:E73,"*"&amp;$B31&amp;"*")+COUNTIFS(구역12!F4:F73,"3호차",구역12!E4:E73,"*"&amp;$B31&amp;"*")+COUNTIFS(구역12!F4:F73,"4호차",구역12!E4:E73,"*"&amp;$B31&amp;"*")+COUNTIFS(구역12!F4:F73,"5호차",구역12!E4:E73,"*"&amp;$B31&amp;"*")+COUNTIFS(구역12!F4:F73,"6호차",구역12!E4:E73,"*"&amp;$B31&amp;"*")+COUNTIFS(구역12!F4:F73,"7호차",구역12!E4:E73,"*"&amp;$B31&amp;"*")+COUNTIFS(구역12!F4:F73,"8호차",구역12!E4:E73,"*"&amp;$B31&amp;"*")+COUNTIFS(구역12!F4:F73,"9호차",구역12!E4:E73,"*"&amp;$B31&amp;"*")+COUNTIFS(구역12!F4:F73,"10호차",구역12!E4:E73,"*"&amp;$B31&amp;"*")=0,"",COUNTIFS(구역12!F4:F73,"1호차",구역12!E4:E73,"*"&amp;$B31&amp;"*")+COUNTIFS(구역12!F4:F73,"2호차",구역12!E4:E73,"*"&amp;$B31&amp;"*")+COUNTIFS(구역12!F4:F73,"3호차",구역12!E4:E73,"*"&amp;$B31&amp;"*")+COUNTIFS(구역12!F4:F73,"4호차",구역12!E4:E73,"*"&amp;$B31&amp;"*")+COUNTIFS(구역12!F4:F73,"5호차",구역12!E4:E73,"*"&amp;$B31&amp;"*")+COUNTIFS(구역12!F4:F73,"6호차",구역12!E4:E73,"*"&amp;$B31&amp;"*")+COUNTIFS(구역12!F4:F73,"7호차",구역12!E4:E73,"*"&amp;$B31&amp;"*")+COUNTIFS(구역12!F4:F73,"8호차",구역12!E4:E73,"*"&amp;$B31&amp;"*")+COUNTIFS(구역12!F4:F73,"9호차",구역12!E4:E73,"*"&amp;$B31&amp;"*")+COUNTIFS(구역12!F4:F73,"10호차",구역12!E4:E73,"*"&amp;$B31&amp;"*"))</f>
        <v/>
      </c>
      <c r="C15" s="32">
        <f>IF(COUNTIFS(구역12!G4:G73,"1호차",구역12!E4:E73,"*"&amp;$B31&amp;"*")+COUNTIFS(구역12!G4:G73,"2호차",구역12!E4:E73,"*"&amp;$B31&amp;"*")+COUNTIFS(구역12!G4:G73,"3호차",구역12!E4:E73,"*"&amp;$B31&amp;"*")+COUNTIFS(구역12!G4:G73,"4호차",구역12!E4:E73,"*"&amp;$B31&amp;"*")+COUNTIFS(구역12!G4:G73,"5호차",구역12!E4:E73,"*"&amp;$B31&amp;"*")+COUNTIFS(구역12!G4:G73,"6호차",구역12!E4:E73,"*"&amp;$B31&amp;"*")+COUNTIFS(구역12!G4:G73,"7호차",구역12!E4:E73,"*"&amp;$B31&amp;"*")+COUNTIFS(구역12!G4:G73,"8호차",구역12!E4:E73,"*"&amp;$B31&amp;"*")+COUNTIFS(구역12!G4:G73,"9호차",구역12!E4:E73,"*"&amp;$B31&amp;"*")+COUNTIFS(구역12!G4:G73,"10호차",구역12!E4:E73,"*"&amp;$B31&amp;"*")=0,"",COUNTIFS(구역12!G4:G73,"1호차",구역12!E4:E73,"*"&amp;$B31&amp;"*")+COUNTIFS(구역12!G4:G73,"2호차",구역12!E4:E73,"*"&amp;$B31&amp;"*")+COUNTIFS(구역12!G4:G73,"3호차",구역12!E4:E73,"*"&amp;$B31&amp;"*")+COUNTIFS(구역12!G4:G73,"4호차",구역12!E4:E73,"*"&amp;$B31&amp;"*")+COUNTIFS(구역12!G4:G73,"5호차",구역12!E4:E73,"*"&amp;$B31&amp;"*")+COUNTIFS(구역12!G4:G73,"6호차",구역12!E4:E73,"*"&amp;$B31&amp;"*")+COUNTIFS(구역12!G4:G73,"7호차",구역12!E4:E73,"*"&amp;$B31&amp;"*")+COUNTIFS(구역12!G4:G73,"8호차",구역12!E4:E73,"*"&amp;$B31&amp;"*")+COUNTIFS(구역12!G4:G73,"9호차",구역12!E4:E73,"*"&amp;$B31&amp;"*")+COUNTIFS(구역12!G4:G73,"10호차",구역12!E4:E73,"*"&amp;$B31&amp;"*"))</f>
        <v/>
      </c>
      <c r="D15" s="32">
        <f>IF(COUNTIFS(구역12!F4:F73,"교회차1",구역12!E4:E73,"*"&amp;$B31&amp;"*")+COUNTIFS(구역12!F4:F73,"교회차2",구역12!E4:E73,"*"&amp;$B31&amp;"*")+COUNTIFS(구역12!F4:F73,"교회차3",구역12!E4:E73,"*"&amp;$B31&amp;"*")+COUNTIFS(구역12!F4:F73,"교회차4",구역12!E4:E73,"*"&amp;$B31&amp;"*")+COUNTIFS(구역12!F4:F73,"교회차5",구역12!E4:E73,"*"&amp;$B31&amp;"*")+COUNTIFS(구역12!H4:H73,"*교회차*",구역12!E4:E73,"*"&amp;$B31&amp;"*")=0,"",COUNTIFS(구역12!F4:F73,"교회차1",구역12!E4:E73,"*"&amp;$B31&amp;"*")+COUNTIFS(구역12!F4:F73,"교회차2",구역12!E4:E73,"*"&amp;$B31&amp;"*")+COUNTIFS(구역12!F4:F73,"교회차3",구역12!E4:E73,"*"&amp;$B31&amp;"*")+COUNTIFS(구역12!F4:F73,"교회차4",구역12!E4:E73,"*"&amp;$B31&amp;"*")+COUNTIFS(구역12!F4:F73,"교회차5",구역12!E4:E73,"*"&amp;$B31&amp;"*")+COUNTIFS(구역12!H4:H73,"*교회차*",구역12!E4:E73,"*"&amp;$B31&amp;"*"))</f>
        <v/>
      </c>
      <c r="E15" s="32">
        <f>IF(COUNTIFS(구역12!G4:G73,"교회차1",구역12!E4:E73,"*"&amp;$B31&amp;"*")+COUNTIFS(구역12!G4:G73,"교회차2",구역12!E4:E73,"*"&amp;$B31&amp;"*")+COUNTIFS(구역12!G4:G73,"교회차3",구역12!E4:E73,"*"&amp;$B31&amp;"*")+COUNTIFS(구역12!G4:G73,"교회차4",구역12!E4:E73,"*"&amp;$B31&amp;"*")+COUNTIFS(구역12!G4:G73,"교회차5",구역12!E4:E73,"*"&amp;$B31&amp;"*")+COUNTIFS(구역12!J4:J73,"*교회차*",구역12!E4:E73,"*"&amp;$B31&amp;"*")=0,"",COUNTIFS(구역12!G4:G73,"교회차1",구역12!E4:E73,"*"&amp;$B31&amp;"*")+COUNTIFS(구역12!G4:G73,"교회차2",구역12!E4:E73,"*"&amp;$B31&amp;"*")+COUNTIFS(구역12!G4:G73,"교회차3",구역12!E4:E73,"*"&amp;$B31&amp;"*")+COUNTIFS(구역12!G4:G73,"교회차4",구역12!E4:E73,"*"&amp;$B31&amp;"*")+COUNTIFS(구역12!G4:G73,"교회차5",구역12!E4:E73,"*"&amp;$B31&amp;"*")+COUNTIFS(구역12!J4:J73,"*교회차*",구역12!E4:E73,"*"&amp;$B31&amp;"*"))</f>
        <v/>
      </c>
      <c r="F15" s="32">
        <f>IF(COUNTIFS(구역12!F4:F73,"타교회",구역12!E4:E73,"*"&amp;$B31&amp;"*")+COUNTIFS(구역12!H4:H73,"*타교회*",구역12!E4:E73,"*"&amp;$B31&amp;"*")=0,"",COUNTIFS(구역12!F4:F73,"타교회",구역12!E4:E73,"*"&amp;$B31&amp;"*")+COUNTIFS(구역12!H4:H73,"*타교회*",구역12!E4:E73,"*"&amp;$B31&amp;"*"))</f>
        <v/>
      </c>
      <c r="G15" s="32">
        <f>IF(COUNTIFS(구역12!G4:G73,"타교회",구역12!E4:E73,"*"&amp;$B31&amp;"*")+COUNTIFS(구역12!J4:J73,"*타교회*",구역12!E4:E73,"*"&amp;$B31&amp;"*")=0,"",COUNTIFS(구역12!G4:G73,"타교회",구역12!E4:E73,"*"&amp;$B31&amp;"*")+COUNTIFS(구역12!J4:J73,"*타교회*",구역12!E4:E73,"*"&amp;$B31&amp;"*"))</f>
        <v/>
      </c>
      <c r="H15" s="32">
        <f>IF(COUNTIFS(구역12!F4:F73,"개인차",구역12!E4:E73,"*"&amp;$B31&amp;"*")+(COUNTIFS(구역12!H4:H73,"?*",구역12!E4:E73,"*"&amp;$B31&amp;"*")-COUNTIFS(구역12!H4:H73,"*교회차*",구역12!E4:E73,"*"&amp;$B31&amp;"*")-COUNTIFS(구역12!H4:H73,"*타교회*",구역12!E4:E73,"*"&amp;$B31&amp;"*")-COUNTIFS(구역12!H4:H73,"*대중교통*",구역12!E4:E73,"*"&amp;$B31&amp;"*"))=0,"",COUNTIFS(구역12!F4:F73,"개인차",구역12!E4:E73,"*"&amp;$B31&amp;"*")+(COUNTIFS(구역12!H4:H73,"?*",구역12!E4:E73,"*"&amp;$B31&amp;"*")-COUNTIFS(구역12!H4:H73,"*교회차*",구역12!E4:E73,"*"&amp;$B31&amp;"*")-COUNTIFS(구역12!H4:H73,"*타교회*",구역12!E4:E73,"*"&amp;$B31&amp;"*")-COUNTIFS(구역12!H4:H73,"*대중교통*",구역12!E4:E73,"*"&amp;$B31&amp;"*")))</f>
        <v/>
      </c>
      <c r="I15" s="32">
        <f>IF(COUNTIFS(구역12!G4:G73,"개인차",구역12!E4:E73,"*"&amp;$B31&amp;"*")+(COUNTIFS(구역12!J4:J73,"?*",구역12!E4:E73,"*"&amp;$B31&amp;"*")-COUNTIFS(구역12!J4:J73,"*교회차*",구역12!E4:E73,"*"&amp;$B31&amp;"*")-COUNTIFS(구역12!J4:J73,"*타교회*",구역12!E4:E73,"*"&amp;$B31&amp;"*")-COUNTIFS(구역12!J4:J73,"*대중교통*",구역12!E4:E73,"*"&amp;$B31&amp;"*"))=0,"",COUNTIFS(구역12!G4:G73,"개인차",구역12!E4:E73,"*"&amp;$B31&amp;"*")+(COUNTIFS(구역12!J4:J73,"?*",구역12!E4:E73,"*"&amp;$B31&amp;"*")-COUNTIFS(구역12!J4:J73,"*교회차*",구역12!E4:E73,"*"&amp;$B31&amp;"*")-COUNTIFS(구역12!J4:J73,"*타교회*",구역12!E4:E73,"*"&amp;$B31&amp;"*")-COUNTIFS(구역12!J4:J73,"*대중교통*",구역12!E4:E73,"*"&amp;$B31&amp;"*")))</f>
        <v/>
      </c>
      <c r="J15" s="32">
        <f>IF(COUNTIFS(구역12!F4:F73,"대중교통",구역12!E4:E73,"*"&amp;$B31&amp;"*")+COUNTIFS(구역12!H4:H73,"*대중교통*",구역12!E4:E73,"*"&amp;$B31&amp;"*")=0,"",COUNTIFS(구역12!F4:F73,"대중교통",구역12!E4:E73,"*"&amp;$B31&amp;"*")+COUNTIFS(구역12!H4:H73,"*대중교통*",구역12!E4:E73,"*"&amp;$B31&amp;"*"))</f>
        <v/>
      </c>
      <c r="K15" s="32">
        <f>IF(COUNTIFS(구역12!G4:G73,"대중교통",구역12!E4:E73,"*"&amp;$B31&amp;"*")+COUNTIFS(구역12!J4:J73,"*대중교통*",구역12!E4:E73,"*"&amp;$B31&amp;"*")=0,"",COUNTIFS(구역12!G4:G73,"대중교통",구역12!E4:E73,"*"&amp;$B31&amp;"*")+COUNTIFS(구역12!J4:J73,"*대중교통*",구역12!E4:E73,"*"&amp;$B31&amp;"*"))</f>
        <v/>
      </c>
      <c r="L15" s="42">
        <f>IF(SUM(B15,D15,F15,H15,J15)=0,"",SUM(B15,D15,F15,H15,J15))</f>
        <v/>
      </c>
      <c r="M15" s="85" t="n"/>
      <c r="N15" s="81" t="n"/>
    </row>
    <row r="16" ht="19.4" customHeight="1" s="33">
      <c r="A16" s="62" t="inlineStr">
        <is>
          <t>구역13</t>
        </is>
      </c>
      <c r="B16" s="32">
        <f>IF(COUNTIFS(구역13!F4:F73,"1호차",구역13!E4:E73,"*"&amp;$B31&amp;"*")+COUNTIFS(구역13!F4:F73,"2호차",구역13!E4:E73,"*"&amp;$B31&amp;"*")+COUNTIFS(구역13!F4:F73,"3호차",구역13!E4:E73,"*"&amp;$B31&amp;"*")+COUNTIFS(구역13!F4:F73,"4호차",구역13!E4:E73,"*"&amp;$B31&amp;"*")+COUNTIFS(구역13!F4:F73,"5호차",구역13!E4:E73,"*"&amp;$B31&amp;"*")+COUNTIFS(구역13!F4:F73,"6호차",구역13!E4:E73,"*"&amp;$B31&amp;"*")+COUNTIFS(구역13!F4:F73,"7호차",구역13!E4:E73,"*"&amp;$B31&amp;"*")+COUNTIFS(구역13!F4:F73,"8호차",구역13!E4:E73,"*"&amp;$B31&amp;"*")+COUNTIFS(구역13!F4:F73,"9호차",구역13!E4:E73,"*"&amp;$B31&amp;"*")+COUNTIFS(구역13!F4:F73,"10호차",구역13!E4:E73,"*"&amp;$B31&amp;"*")=0,"",COUNTIFS(구역13!F4:F73,"1호차",구역13!E4:E73,"*"&amp;$B31&amp;"*")+COUNTIFS(구역13!F4:F73,"2호차",구역13!E4:E73,"*"&amp;$B31&amp;"*")+COUNTIFS(구역13!F4:F73,"3호차",구역13!E4:E73,"*"&amp;$B31&amp;"*")+COUNTIFS(구역13!F4:F73,"4호차",구역13!E4:E73,"*"&amp;$B31&amp;"*")+COUNTIFS(구역13!F4:F73,"5호차",구역13!E4:E73,"*"&amp;$B31&amp;"*")+COUNTIFS(구역13!F4:F73,"6호차",구역13!E4:E73,"*"&amp;$B31&amp;"*")+COUNTIFS(구역13!F4:F73,"7호차",구역13!E4:E73,"*"&amp;$B31&amp;"*")+COUNTIFS(구역13!F4:F73,"8호차",구역13!E4:E73,"*"&amp;$B31&amp;"*")+COUNTIFS(구역13!F4:F73,"9호차",구역13!E4:E73,"*"&amp;$B31&amp;"*")+COUNTIFS(구역13!F4:F73,"10호차",구역13!E4:E73,"*"&amp;$B31&amp;"*"))</f>
        <v/>
      </c>
      <c r="C16" s="32">
        <f>IF(COUNTIFS(구역13!G4:G73,"1호차",구역13!E4:E73,"*"&amp;$B31&amp;"*")+COUNTIFS(구역13!G4:G73,"2호차",구역13!E4:E73,"*"&amp;$B31&amp;"*")+COUNTIFS(구역13!G4:G73,"3호차",구역13!E4:E73,"*"&amp;$B31&amp;"*")+COUNTIFS(구역13!G4:G73,"4호차",구역13!E4:E73,"*"&amp;$B31&amp;"*")+COUNTIFS(구역13!G4:G73,"5호차",구역13!E4:E73,"*"&amp;$B31&amp;"*")+COUNTIFS(구역13!G4:G73,"6호차",구역13!E4:E73,"*"&amp;$B31&amp;"*")+COUNTIFS(구역13!G4:G73,"7호차",구역13!E4:E73,"*"&amp;$B31&amp;"*")+COUNTIFS(구역13!G4:G73,"8호차",구역13!E4:E73,"*"&amp;$B31&amp;"*")+COUNTIFS(구역13!G4:G73,"9호차",구역13!E4:E73,"*"&amp;$B31&amp;"*")+COUNTIFS(구역13!G4:G73,"10호차",구역13!E4:E73,"*"&amp;$B31&amp;"*")=0,"",COUNTIFS(구역13!G4:G73,"1호차",구역13!E4:E73,"*"&amp;$B31&amp;"*")+COUNTIFS(구역13!G4:G73,"2호차",구역13!E4:E73,"*"&amp;$B31&amp;"*")+COUNTIFS(구역13!G4:G73,"3호차",구역13!E4:E73,"*"&amp;$B31&amp;"*")+COUNTIFS(구역13!G4:G73,"4호차",구역13!E4:E73,"*"&amp;$B31&amp;"*")+COUNTIFS(구역13!G4:G73,"5호차",구역13!E4:E73,"*"&amp;$B31&amp;"*")+COUNTIFS(구역13!G4:G73,"6호차",구역13!E4:E73,"*"&amp;$B31&amp;"*")+COUNTIFS(구역13!G4:G73,"7호차",구역13!E4:E73,"*"&amp;$B31&amp;"*")+COUNTIFS(구역13!G4:G73,"8호차",구역13!E4:E73,"*"&amp;$B31&amp;"*")+COUNTIFS(구역13!G4:G73,"9호차",구역13!E4:E73,"*"&amp;$B31&amp;"*")+COUNTIFS(구역13!G4:G73,"10호차",구역13!E4:E73,"*"&amp;$B31&amp;"*"))</f>
        <v/>
      </c>
      <c r="D16" s="32">
        <f>IF(COUNTIFS(구역13!F4:F73,"교회차1",구역13!E4:E73,"*"&amp;$B31&amp;"*")+COUNTIFS(구역13!F4:F73,"교회차2",구역13!E4:E73,"*"&amp;$B31&amp;"*")+COUNTIFS(구역13!F4:F73,"교회차3",구역13!E4:E73,"*"&amp;$B31&amp;"*")+COUNTIFS(구역13!F4:F73,"교회차4",구역13!E4:E73,"*"&amp;$B31&amp;"*")+COUNTIFS(구역13!F4:F73,"교회차5",구역13!E4:E73,"*"&amp;$B31&amp;"*")+COUNTIFS(구역13!H4:H73,"*교회차*",구역13!E4:E73,"*"&amp;$B31&amp;"*")=0,"",COUNTIFS(구역13!F4:F73,"교회차1",구역13!E4:E73,"*"&amp;$B31&amp;"*")+COUNTIFS(구역13!F4:F73,"교회차2",구역13!E4:E73,"*"&amp;$B31&amp;"*")+COUNTIFS(구역13!F4:F73,"교회차3",구역13!E4:E73,"*"&amp;$B31&amp;"*")+COUNTIFS(구역13!F4:F73,"교회차4",구역13!E4:E73,"*"&amp;$B31&amp;"*")+COUNTIFS(구역13!F4:F73,"교회차5",구역13!E4:E73,"*"&amp;$B31&amp;"*")+COUNTIFS(구역13!H4:H73,"*교회차*",구역13!E4:E73,"*"&amp;$B31&amp;"*"))</f>
        <v/>
      </c>
      <c r="E16" s="32">
        <f>IF(COUNTIFS(구역13!G4:G73,"교회차1",구역13!E4:E73,"*"&amp;$B31&amp;"*")+COUNTIFS(구역13!G4:G73,"교회차2",구역13!E4:E73,"*"&amp;$B31&amp;"*")+COUNTIFS(구역13!G4:G73,"교회차3",구역13!E4:E73,"*"&amp;$B31&amp;"*")+COUNTIFS(구역13!G4:G73,"교회차4",구역13!E4:E73,"*"&amp;$B31&amp;"*")+COUNTIFS(구역13!G4:G73,"교회차5",구역13!E4:E73,"*"&amp;$B31&amp;"*")+COUNTIFS(구역13!J4:J73,"*교회차*",구역13!E4:E73,"*"&amp;$B31&amp;"*")=0,"",COUNTIFS(구역13!G4:G73,"교회차1",구역13!E4:E73,"*"&amp;$B31&amp;"*")+COUNTIFS(구역13!G4:G73,"교회차2",구역13!E4:E73,"*"&amp;$B31&amp;"*")+COUNTIFS(구역13!G4:G73,"교회차3",구역13!E4:E73,"*"&amp;$B31&amp;"*")+COUNTIFS(구역13!G4:G73,"교회차4",구역13!E4:E73,"*"&amp;$B31&amp;"*")+COUNTIFS(구역13!G4:G73,"교회차5",구역13!E4:E73,"*"&amp;$B31&amp;"*")+COUNTIFS(구역13!J4:J73,"*교회차*",구역13!E4:E73,"*"&amp;$B31&amp;"*"))</f>
        <v/>
      </c>
      <c r="F16" s="32">
        <f>IF(COUNTIFS(구역13!F4:F73,"타교회",구역13!E4:E73,"*"&amp;$B31&amp;"*")+COUNTIFS(구역13!H4:H73,"*타교회*",구역13!E4:E73,"*"&amp;$B31&amp;"*")=0,"",COUNTIFS(구역13!F4:F73,"타교회",구역13!E4:E73,"*"&amp;$B31&amp;"*")+COUNTIFS(구역13!H4:H73,"*타교회*",구역13!E4:E73,"*"&amp;$B31&amp;"*"))</f>
        <v/>
      </c>
      <c r="G16" s="32">
        <f>IF(COUNTIFS(구역13!G4:G73,"타교회",구역13!E4:E73,"*"&amp;$B31&amp;"*")+COUNTIFS(구역13!J4:J73,"*타교회*",구역13!E4:E73,"*"&amp;$B31&amp;"*")=0,"",COUNTIFS(구역13!G4:G73,"타교회",구역13!E4:E73,"*"&amp;$B31&amp;"*")+COUNTIFS(구역13!J4:J73,"*타교회*",구역13!E4:E73,"*"&amp;$B31&amp;"*"))</f>
        <v/>
      </c>
      <c r="H16" s="32">
        <f>IF(COUNTIFS(구역13!F4:F73,"개인차",구역13!E4:E73,"*"&amp;$B31&amp;"*")+(COUNTIFS(구역13!H4:H73,"?*",구역13!E4:E73,"*"&amp;$B31&amp;"*")-COUNTIFS(구역13!H4:H73,"*교회차*",구역13!E4:E73,"*"&amp;$B31&amp;"*")-COUNTIFS(구역13!H4:H73,"*타교회*",구역13!E4:E73,"*"&amp;$B31&amp;"*")-COUNTIFS(구역13!H4:H73,"*대중교통*",구역13!E4:E73,"*"&amp;$B31&amp;"*"))=0,"",COUNTIFS(구역13!F4:F73,"개인차",구역13!E4:E73,"*"&amp;$B31&amp;"*")+(COUNTIFS(구역13!H4:H73,"?*",구역13!E4:E73,"*"&amp;$B31&amp;"*")-COUNTIFS(구역13!H4:H73,"*교회차*",구역13!E4:E73,"*"&amp;$B31&amp;"*")-COUNTIFS(구역13!H4:H73,"*타교회*",구역13!E4:E73,"*"&amp;$B31&amp;"*")-COUNTIFS(구역13!H4:H73,"*대중교통*",구역13!E4:E73,"*"&amp;$B31&amp;"*")))</f>
        <v/>
      </c>
      <c r="I16" s="32">
        <f>IF(COUNTIFS(구역13!G4:G73,"개인차",구역13!E4:E73,"*"&amp;$B31&amp;"*")+(COUNTIFS(구역13!J4:J73,"?*",구역13!E4:E73,"*"&amp;$B31&amp;"*")-COUNTIFS(구역13!J4:J73,"*교회차*",구역13!E4:E73,"*"&amp;$B31&amp;"*")-COUNTIFS(구역13!J4:J73,"*타교회*",구역13!E4:E73,"*"&amp;$B31&amp;"*")-COUNTIFS(구역13!J4:J73,"*대중교통*",구역13!E4:E73,"*"&amp;$B31&amp;"*"))=0,"",COUNTIFS(구역13!G4:G73,"개인차",구역13!E4:E73,"*"&amp;$B31&amp;"*")+(COUNTIFS(구역13!J4:J73,"?*",구역13!E4:E73,"*"&amp;$B31&amp;"*")-COUNTIFS(구역13!J4:J73,"*교회차*",구역13!E4:E73,"*"&amp;$B31&amp;"*")-COUNTIFS(구역13!J4:J73,"*타교회*",구역13!E4:E73,"*"&amp;$B31&amp;"*")-COUNTIFS(구역13!J4:J73,"*대중교통*",구역13!E4:E73,"*"&amp;$B31&amp;"*")))</f>
        <v/>
      </c>
      <c r="J16" s="32">
        <f>IF(COUNTIFS(구역13!F4:F73,"대중교통",구역13!E4:E73,"*"&amp;$B31&amp;"*")+COUNTIFS(구역13!H4:H73,"*대중교통*",구역13!E4:E73,"*"&amp;$B31&amp;"*")=0,"",COUNTIFS(구역13!F4:F73,"대중교통",구역13!E4:E73,"*"&amp;$B31&amp;"*")+COUNTIFS(구역13!H4:H73,"*대중교통*",구역13!E4:E73,"*"&amp;$B31&amp;"*"))</f>
        <v/>
      </c>
      <c r="K16" s="32">
        <f>IF(COUNTIFS(구역13!G4:G73,"대중교통",구역13!E4:E73,"*"&amp;$B31&amp;"*")+COUNTIFS(구역13!J4:J73,"*대중교통*",구역13!E4:E73,"*"&amp;$B31&amp;"*")=0,"",COUNTIFS(구역13!G4:G73,"대중교통",구역13!E4:E73,"*"&amp;$B31&amp;"*")+COUNTIFS(구역13!J4:J73,"*대중교통*",구역13!E4:E73,"*"&amp;$B31&amp;"*"))</f>
        <v/>
      </c>
      <c r="L16" s="42">
        <f>IF(SUM(B16,D16,F16,H16,J16)=0,"",SUM(B16,D16,F16,H16,J16))</f>
        <v/>
      </c>
      <c r="M16" s="85" t="n"/>
      <c r="N16" s="81" t="n"/>
    </row>
    <row r="17" ht="15" customHeight="1" s="33">
      <c r="A17" s="49" t="inlineStr">
        <is>
          <t>구역14</t>
        </is>
      </c>
      <c r="B17" s="48">
        <f>IF(COUNTIFS(구역14!F4:F73,"1호차",구역14!E4:E73,"*"&amp;$B31&amp;"*")+COUNTIFS(구역14!F4:F73,"2호차",구역14!E4:E73,"*"&amp;$B31&amp;"*")+COUNTIFS(구역14!F4:F73,"3호차",구역14!E4:E73,"*"&amp;$B31&amp;"*")+COUNTIFS(구역14!F4:F73,"4호차",구역14!E4:E73,"*"&amp;$B31&amp;"*")+COUNTIFS(구역14!F4:F73,"5호차",구역14!E4:E73,"*"&amp;$B31&amp;"*")+COUNTIFS(구역14!F4:F73,"6호차",구역14!E4:E73,"*"&amp;$B31&amp;"*")+COUNTIFS(구역14!F4:F73,"7호차",구역14!E4:E73,"*"&amp;$B31&amp;"*")+COUNTIFS(구역14!F4:F73,"8호차",구역14!E4:E73,"*"&amp;$B31&amp;"*")+COUNTIFS(구역14!F4:F73,"9호차",구역14!E4:E73,"*"&amp;$B31&amp;"*")+COUNTIFS(구역14!F4:F73,"10호차",구역14!E4:E73,"*"&amp;$B31&amp;"*")=0,"",COUNTIFS(구역14!F4:F73,"1호차",구역14!E4:E73,"*"&amp;$B31&amp;"*")+COUNTIFS(구역14!F4:F73,"2호차",구역14!E4:E73,"*"&amp;$B31&amp;"*")+COUNTIFS(구역14!F4:F73,"3호차",구역14!E4:E73,"*"&amp;$B31&amp;"*")+COUNTIFS(구역14!F4:F73,"4호차",구역14!E4:E73,"*"&amp;$B31&amp;"*")+COUNTIFS(구역14!F4:F73,"5호차",구역14!E4:E73,"*"&amp;$B31&amp;"*")+COUNTIFS(구역14!F4:F73,"6호차",구역14!E4:E73,"*"&amp;$B31&amp;"*")+COUNTIFS(구역14!F4:F73,"7호차",구역14!E4:E73,"*"&amp;$B31&amp;"*")+COUNTIFS(구역14!F4:F73,"8호차",구역14!E4:E73,"*"&amp;$B31&amp;"*")+COUNTIFS(구역14!F4:F73,"9호차",구역14!E4:E73,"*"&amp;$B31&amp;"*")+COUNTIFS(구역14!F4:F73,"10호차",구역14!E4:E73,"*"&amp;$B31&amp;"*"))</f>
        <v/>
      </c>
      <c r="C17" s="48">
        <f>IF(COUNTIFS(구역14!G4:G73,"1호차",구역14!E4:E73,"*"&amp;$B31&amp;"*")+COUNTIFS(구역14!G4:G73,"2호차",구역14!E4:E73,"*"&amp;$B31&amp;"*")+COUNTIFS(구역14!G4:G73,"3호차",구역14!E4:E73,"*"&amp;$B31&amp;"*")+COUNTIFS(구역14!G4:G73,"4호차",구역14!E4:E73,"*"&amp;$B31&amp;"*")+COUNTIFS(구역14!G4:G73,"5호차",구역14!E4:E73,"*"&amp;$B31&amp;"*")+COUNTIFS(구역14!G4:G73,"6호차",구역14!E4:E73,"*"&amp;$B31&amp;"*")+COUNTIFS(구역14!G4:G73,"7호차",구역14!E4:E73,"*"&amp;$B31&amp;"*")+COUNTIFS(구역14!G4:G73,"8호차",구역14!E4:E73,"*"&amp;$B31&amp;"*")+COUNTIFS(구역14!G4:G73,"9호차",구역14!E4:E73,"*"&amp;$B31&amp;"*")+COUNTIFS(구역14!G4:G73,"10호차",구역14!E4:E73,"*"&amp;$B31&amp;"*")=0,"",COUNTIFS(구역14!G4:G73,"1호차",구역14!E4:E73,"*"&amp;$B31&amp;"*")+COUNTIFS(구역14!G4:G73,"2호차",구역14!E4:E73,"*"&amp;$B31&amp;"*")+COUNTIFS(구역14!G4:G73,"3호차",구역14!E4:E73,"*"&amp;$B31&amp;"*")+COUNTIFS(구역14!G4:G73,"4호차",구역14!E4:E73,"*"&amp;$B31&amp;"*")+COUNTIFS(구역14!G4:G73,"5호차",구역14!E4:E73,"*"&amp;$B31&amp;"*")+COUNTIFS(구역14!G4:G73,"6호차",구역14!E4:E73,"*"&amp;$B31&amp;"*")+COUNTIFS(구역14!G4:G73,"7호차",구역14!E4:E73,"*"&amp;$B31&amp;"*")+COUNTIFS(구역14!G4:G73,"8호차",구역14!E4:E73,"*"&amp;$B31&amp;"*")+COUNTIFS(구역14!G4:G73,"9호차",구역14!E4:E73,"*"&amp;$B31&amp;"*")+COUNTIFS(구역14!G4:G73,"10호차",구역14!E4:E73,"*"&amp;$B31&amp;"*"))</f>
        <v/>
      </c>
      <c r="D17" s="48">
        <f>IF(COUNTIFS(구역14!F4:F73,"교회차1",구역14!E4:E73,"*"&amp;$B31&amp;"*")+COUNTIFS(구역14!F4:F73,"교회차2",구역14!E4:E73,"*"&amp;$B31&amp;"*")+COUNTIFS(구역14!F4:F73,"교회차3",구역14!E4:E73,"*"&amp;$B31&amp;"*")+COUNTIFS(구역14!F4:F73,"교회차4",구역14!E4:E73,"*"&amp;$B31&amp;"*")+COUNTIFS(구역14!F4:F73,"교회차5",구역14!E4:E73,"*"&amp;$B31&amp;"*")+COUNTIFS(구역14!H4:H73,"*교회차*",구역14!E4:E73,"*"&amp;$B31&amp;"*")=0,"",COUNTIFS(구역14!F4:F73,"교회차1",구역14!E4:E73,"*"&amp;$B31&amp;"*")+COUNTIFS(구역14!F4:F73,"교회차2",구역14!E4:E73,"*"&amp;$B31&amp;"*")+COUNTIFS(구역14!F4:F73,"교회차3",구역14!E4:E73,"*"&amp;$B31&amp;"*")+COUNTIFS(구역14!F4:F73,"교회차4",구역14!E4:E73,"*"&amp;$B31&amp;"*")+COUNTIFS(구역14!F4:F73,"교회차5",구역14!E4:E73,"*"&amp;$B31&amp;"*")+COUNTIFS(구역14!H4:H73,"*교회차*",구역14!E4:E73,"*"&amp;$B31&amp;"*"))</f>
        <v/>
      </c>
      <c r="E17" s="48">
        <f>IF(COUNTIFS(구역14!G4:G73,"교회차1",구역14!E4:E73,"*"&amp;$B31&amp;"*")+COUNTIFS(구역14!G4:G73,"교회차2",구역14!E4:E73,"*"&amp;$B31&amp;"*")+COUNTIFS(구역14!G4:G73,"교회차3",구역14!E4:E73,"*"&amp;$B31&amp;"*")+COUNTIFS(구역14!G4:G73,"교회차4",구역14!E4:E73,"*"&amp;$B31&amp;"*")+COUNTIFS(구역14!G4:G73,"교회차5",구역14!E4:E73,"*"&amp;$B31&amp;"*")+COUNTIFS(구역14!J4:J73,"*교회차*",구역14!E4:E73,"*"&amp;$B31&amp;"*")=0,"",COUNTIFS(구역14!G4:G73,"교회차1",구역14!E4:E73,"*"&amp;$B31&amp;"*")+COUNTIFS(구역14!G4:G73,"교회차2",구역14!E4:E73,"*"&amp;$B31&amp;"*")+COUNTIFS(구역14!G4:G73,"교회차3",구역14!E4:E73,"*"&amp;$B31&amp;"*")+COUNTIFS(구역14!G4:G73,"교회차4",구역14!E4:E73,"*"&amp;$B31&amp;"*")+COUNTIFS(구역14!G4:G73,"교회차5",구역14!E4:E73,"*"&amp;$B31&amp;"*")+COUNTIFS(구역14!J4:J73,"*교회차*",구역14!E4:E73,"*"&amp;$B31&amp;"*"))</f>
        <v/>
      </c>
      <c r="F17" s="48">
        <f>IF(COUNTIFS(구역14!F4:F73,"타교회",구역14!E4:E73,"*"&amp;$B31&amp;"*")+COUNTIFS(구역14!H4:H73,"*타교회*",구역14!E4:E73,"*"&amp;$B31&amp;"*")=0,"",COUNTIFS(구역14!F4:F73,"타교회",구역14!E4:E73,"*"&amp;$B31&amp;"*")+COUNTIFS(구역14!H4:H73,"*타교회*",구역14!E4:E73,"*"&amp;$B31&amp;"*"))</f>
        <v/>
      </c>
      <c r="G17" s="48">
        <f>IF(COUNTIFS(구역14!G4:G73,"타교회",구역14!E4:E73,"*"&amp;$B31&amp;"*")+COUNTIFS(구역14!J4:J73,"*타교회*",구역14!E4:E73,"*"&amp;$B31&amp;"*")=0,"",COUNTIFS(구역14!G4:G73,"타교회",구역14!E4:E73,"*"&amp;$B31&amp;"*")+COUNTIFS(구역14!J4:J73,"*타교회*",구역14!E4:E73,"*"&amp;$B31&amp;"*"))</f>
        <v/>
      </c>
      <c r="H17" s="48">
        <f>IF(COUNTIFS(구역14!F4:F73,"개인차",구역14!E4:E73,"*"&amp;$B31&amp;"*")+(COUNTIFS(구역14!H4:H73,"?*",구역14!E4:E73,"*"&amp;$B31&amp;"*")-COUNTIFS(구역14!H4:H73,"*교회차*",구역14!E4:E73,"*"&amp;$B31&amp;"*")-COUNTIFS(구역14!H4:H73,"*타교회*",구역14!E4:E73,"*"&amp;$B31&amp;"*")-COUNTIFS(구역14!H4:H73,"*대중교통*",구역14!E4:E73,"*"&amp;$B31&amp;"*"))=0,"",COUNTIFS(구역14!F4:F73,"개인차",구역14!E4:E73,"*"&amp;$B31&amp;"*")+(COUNTIFS(구역14!H4:H73,"?*",구역14!E4:E73,"*"&amp;$B31&amp;"*")-COUNTIFS(구역14!H4:H73,"*교회차*",구역14!E4:E73,"*"&amp;$B31&amp;"*")-COUNTIFS(구역14!H4:H73,"*타교회*",구역14!E4:E73,"*"&amp;$B31&amp;"*")-COUNTIFS(구역14!H4:H73,"*대중교통*",구역14!E4:E73,"*"&amp;$B31&amp;"*")))</f>
        <v/>
      </c>
      <c r="I17" s="48">
        <f>IF(COUNTIFS(구역14!G4:G73,"개인차",구역14!E4:E73,"*"&amp;$B31&amp;"*")+(COUNTIFS(구역14!J4:J73,"?*",구역14!E4:E73,"*"&amp;$B31&amp;"*")-COUNTIFS(구역14!J4:J73,"*교회차*",구역14!E4:E73,"*"&amp;$B31&amp;"*")-COUNTIFS(구역14!J4:J73,"*타교회*",구역14!E4:E73,"*"&amp;$B31&amp;"*")-COUNTIFS(구역14!J4:J73,"*대중교통*",구역14!E4:E73,"*"&amp;$B31&amp;"*"))=0,"",COUNTIFS(구역14!G4:G73,"개인차",구역14!E4:E73,"*"&amp;$B31&amp;"*")+(COUNTIFS(구역14!J4:J73,"?*",구역14!E4:E73,"*"&amp;$B31&amp;"*")-COUNTIFS(구역14!J4:J73,"*교회차*",구역14!E4:E73,"*"&amp;$B31&amp;"*")-COUNTIFS(구역14!J4:J73,"*타교회*",구역14!E4:E73,"*"&amp;$B31&amp;"*")-COUNTIFS(구역14!J4:J73,"*대중교통*",구역14!E4:E73,"*"&amp;$B31&amp;"*")))</f>
        <v/>
      </c>
      <c r="J17" s="49">
        <f>IF(COUNTIFS(구역14!F4:F73,"대중교통",구역14!E4:E73,"*"&amp;$B31&amp;"*")+COUNTIFS(구역14!H4:H73,"*대중교통*",구역14!E4:E73,"*"&amp;$B31&amp;"*")=0,"",COUNTIFS(구역14!F4:F73,"대중교통",구역14!E4:E73,"*"&amp;$B31&amp;"*")+COUNTIFS(구역14!H4:H73,"*대중교통*",구역14!E4:E73,"*"&amp;$B31&amp;"*"))</f>
        <v/>
      </c>
      <c r="K17" s="32">
        <f>IF(COUNTIFS(구역14!G4:G73,"대중교통",구역14!E4:E73,"*"&amp;$B31&amp;"*")+COUNTIFS(구역14!J4:J73,"*대중교통*",구역14!E4:E73,"*"&amp;$B31&amp;"*")=0,"",COUNTIFS(구역14!G4:G73,"대중교통",구역14!E4:E73,"*"&amp;$B31&amp;"*")+COUNTIFS(구역14!J4:J73,"*대중교통*",구역14!E4:E73,"*"&amp;$B31&amp;"*"))</f>
        <v/>
      </c>
      <c r="L17" s="42">
        <f>IF(SUM(B17,D17,F17,H17,J17)=0,"",SUM(B17,D17,F17,H17,J17))</f>
        <v/>
      </c>
      <c r="M17" s="81" t="n"/>
      <c r="N17" s="81" t="n"/>
    </row>
    <row r="18" ht="15" customHeight="1" s="33">
      <c r="A18" s="49" t="inlineStr">
        <is>
          <t>구역15</t>
        </is>
      </c>
      <c r="B18" s="32">
        <f>IF(COUNTIFS(구역15!F4:F73,"1호차",구역15!E4:E73,"*"&amp;$B31&amp;"*")+COUNTIFS(구역15!F4:F73,"2호차",구역15!E4:E73,"*"&amp;$B31&amp;"*")+COUNTIFS(구역15!F4:F73,"3호차",구역15!E4:E73,"*"&amp;$B31&amp;"*")+COUNTIFS(구역15!F4:F73,"4호차",구역15!E4:E73,"*"&amp;$B31&amp;"*")+COUNTIFS(구역15!F4:F73,"5호차",구역15!E4:E73,"*"&amp;$B31&amp;"*")+COUNTIFS(구역15!F4:F73,"6호차",구역15!E4:E73,"*"&amp;$B31&amp;"*")+COUNTIFS(구역15!F4:F73,"7호차",구역15!E4:E73,"*"&amp;$B31&amp;"*")+COUNTIFS(구역15!F4:F73,"8호차",구역15!E4:E73,"*"&amp;$B31&amp;"*")+COUNTIFS(구역15!F4:F73,"9호차",구역15!E4:E73,"*"&amp;$B31&amp;"*")+COUNTIFS(구역15!F4:F73,"10호차",구역15!E4:E73,"*"&amp;$B31&amp;"*")=0,"",COUNTIFS(구역15!F4:F73,"1호차",구역15!E4:E73,"*"&amp;$B31&amp;"*")+COUNTIFS(구역15!F4:F73,"2호차",구역15!E4:E73,"*"&amp;$B31&amp;"*")+COUNTIFS(구역15!F4:F73,"3호차",구역15!E4:E73,"*"&amp;$B31&amp;"*")+COUNTIFS(구역15!F4:F73,"4호차",구역15!E4:E73,"*"&amp;$B31&amp;"*")+COUNTIFS(구역15!F4:F73,"5호차",구역15!E4:E73,"*"&amp;$B31&amp;"*")+COUNTIFS(구역15!F4:F73,"6호차",구역15!E4:E73,"*"&amp;$B31&amp;"*")+COUNTIFS(구역15!F4:F73,"7호차",구역15!E4:E73,"*"&amp;$B31&amp;"*")+COUNTIFS(구역15!F4:F73,"8호차",구역15!E4:E73,"*"&amp;$B31&amp;"*")+COUNTIFS(구역15!F4:F73,"9호차",구역15!E4:E73,"*"&amp;$B31&amp;"*")+COUNTIFS(구역15!F4:F73,"10호차",구역15!E4:E73,"*"&amp;$B31&amp;"*"))</f>
        <v/>
      </c>
      <c r="C18" s="32">
        <f>IF(COUNTIFS(구역15!G4:G73,"1호차",구역15!E4:E73,"*"&amp;$B31&amp;"*")+COUNTIFS(구역15!G4:G73,"2호차",구역15!E4:E73,"*"&amp;$B31&amp;"*")+COUNTIFS(구역15!G4:G73,"3호차",구역15!E4:E73,"*"&amp;$B31&amp;"*")+COUNTIFS(구역15!G4:G73,"4호차",구역15!E4:E73,"*"&amp;$B31&amp;"*")+COUNTIFS(구역15!G4:G73,"5호차",구역15!E4:E73,"*"&amp;$B31&amp;"*")+COUNTIFS(구역15!G4:G73,"6호차",구역15!E4:E73,"*"&amp;$B31&amp;"*")+COUNTIFS(구역15!G4:G73,"7호차",구역15!E4:E73,"*"&amp;$B31&amp;"*")+COUNTIFS(구역15!G4:G73,"8호차",구역15!E4:E73,"*"&amp;$B31&amp;"*")+COUNTIFS(구역15!G4:G73,"9호차",구역15!E4:E73,"*"&amp;$B31&amp;"*")+COUNTIFS(구역15!G4:G73,"10호차",구역15!E4:E73,"*"&amp;$B31&amp;"*")=0,"",COUNTIFS(구역15!G4:G73,"1호차",구역15!E4:E73,"*"&amp;$B31&amp;"*")+COUNTIFS(구역15!G4:G73,"2호차",구역15!E4:E73,"*"&amp;$B31&amp;"*")+COUNTIFS(구역15!G4:G73,"3호차",구역15!E4:E73,"*"&amp;$B31&amp;"*")+COUNTIFS(구역15!G4:G73,"4호차",구역15!E4:E73,"*"&amp;$B31&amp;"*")+COUNTIFS(구역15!G4:G73,"5호차",구역15!E4:E73,"*"&amp;$B31&amp;"*")+COUNTIFS(구역15!G4:G73,"6호차",구역15!E4:E73,"*"&amp;$B31&amp;"*")+COUNTIFS(구역15!G4:G73,"7호차",구역15!E4:E73,"*"&amp;$B31&amp;"*")+COUNTIFS(구역15!G4:G73,"8호차",구역15!E4:E73,"*"&amp;$B31&amp;"*")+COUNTIFS(구역15!G4:G73,"9호차",구역15!E4:E73,"*"&amp;$B31&amp;"*")+COUNTIFS(구역15!G4:G73,"10호차",구역15!E4:E73,"*"&amp;$B31&amp;"*"))</f>
        <v/>
      </c>
      <c r="D18" s="32">
        <f>IF(COUNTIFS(구역15!F4:F73,"교회차1",구역15!E4:E73,"*"&amp;$B31&amp;"*")+COUNTIFS(구역15!F4:F73,"교회차2",구역15!E4:E73,"*"&amp;$B31&amp;"*")+COUNTIFS(구역15!F4:F73,"교회차3",구역15!E4:E73,"*"&amp;$B31&amp;"*")+COUNTIFS(구역15!F4:F73,"교회차4",구역15!E4:E73,"*"&amp;$B31&amp;"*")+COUNTIFS(구역15!F4:F73,"교회차5",구역15!E4:E73,"*"&amp;$B31&amp;"*")+COUNTIFS(구역15!H4:H73,"*교회차*",구역15!E4:E73,"*"&amp;$B31&amp;"*")=0,"",COUNTIFS(구역15!F4:F73,"교회차1",구역15!E4:E73,"*"&amp;$B31&amp;"*")+COUNTIFS(구역15!F4:F73,"교회차2",구역15!E4:E73,"*"&amp;$B31&amp;"*")+COUNTIFS(구역15!F4:F73,"교회차3",구역15!E4:E73,"*"&amp;$B31&amp;"*")+COUNTIFS(구역15!F4:F73,"교회차4",구역15!E4:E73,"*"&amp;$B31&amp;"*")+COUNTIFS(구역15!F4:F73,"교회차5",구역15!E4:E73,"*"&amp;$B31&amp;"*")+COUNTIFS(구역15!H4:H73,"*교회차*",구역15!E4:E73,"*"&amp;$B31&amp;"*"))</f>
        <v/>
      </c>
      <c r="E18" s="32">
        <f>IF(COUNTIFS(구역15!G4:G73,"교회차1",구역15!E4:E73,"*"&amp;$B31&amp;"*")+COUNTIFS(구역15!G4:G73,"교회차2",구역15!E4:E73,"*"&amp;$B31&amp;"*")+COUNTIFS(구역15!G4:G73,"교회차3",구역15!E4:E73,"*"&amp;$B31&amp;"*")+COUNTIFS(구역15!G4:G73,"교회차4",구역15!E4:E73,"*"&amp;$B31&amp;"*")+COUNTIFS(구역15!G4:G73,"교회차5",구역15!E4:E73,"*"&amp;$B31&amp;"*")+COUNTIFS(구역15!J4:J73,"*교회차*",구역15!E4:E73,"*"&amp;$B31&amp;"*")=0,"",COUNTIFS(구역15!G4:G73,"교회차1",구역15!E4:E73,"*"&amp;$B31&amp;"*")+COUNTIFS(구역15!G4:G73,"교회차2",구역15!E4:E73,"*"&amp;$B31&amp;"*")+COUNTIFS(구역15!G4:G73,"교회차3",구역15!E4:E73,"*"&amp;$B31&amp;"*")+COUNTIFS(구역15!G4:G73,"교회차4",구역15!E4:E73,"*"&amp;$B31&amp;"*")+COUNTIFS(구역15!G4:G73,"교회차5",구역15!E4:E73,"*"&amp;$B31&amp;"*")+COUNTIFS(구역15!J4:J73,"*교회차*",구역15!E4:E73,"*"&amp;$B31&amp;"*"))</f>
        <v/>
      </c>
      <c r="F18" s="32">
        <f>IF(COUNTIFS(구역15!F4:F73,"타교회",구역15!E4:E73,"*"&amp;$B31&amp;"*")+COUNTIFS(구역15!H4:H73,"*타교회*",구역15!E4:E73,"*"&amp;$B31&amp;"*")=0,"",COUNTIFS(구역15!F4:F73,"타교회",구역15!E4:E73,"*"&amp;$B31&amp;"*")+COUNTIFS(구역15!H4:H73,"*타교회*",구역15!E4:E73,"*"&amp;$B31&amp;"*"))</f>
        <v/>
      </c>
      <c r="G18" s="32">
        <f>IF(COUNTIFS(구역15!G4:G73,"타교회",구역15!E4:E73,"*"&amp;$B31&amp;"*")+COUNTIFS(구역15!J4:J73,"*타교회*",구역15!E4:E73,"*"&amp;$B31&amp;"*")=0,"",COUNTIFS(구역15!G4:G73,"타교회",구역15!E4:E73,"*"&amp;$B31&amp;"*")+COUNTIFS(구역15!J4:J73,"*타교회*",구역15!E4:E73,"*"&amp;$B31&amp;"*"))</f>
        <v/>
      </c>
      <c r="H18" s="32">
        <f>IF(COUNTIFS(구역15!F4:F73,"개인차",구역15!E4:E73,"*"&amp;$B31&amp;"*")+(COUNTIFS(구역15!H4:H73,"?*",구역15!E4:E73,"*"&amp;$B31&amp;"*")-COUNTIFS(구역15!H4:H73,"*교회차*",구역15!E4:E73,"*"&amp;$B31&amp;"*")-COUNTIFS(구역15!H4:H73,"*타교회*",구역15!E4:E73,"*"&amp;$B31&amp;"*")-COUNTIFS(구역15!H4:H73,"*대중교통*",구역15!E4:E73,"*"&amp;$B31&amp;"*"))=0,"",COUNTIFS(구역15!F4:F73,"개인차",구역15!E4:E73,"*"&amp;$B31&amp;"*")+(COUNTIFS(구역15!H4:H73,"?*",구역15!E4:E73,"*"&amp;$B31&amp;"*")-COUNTIFS(구역15!H4:H73,"*교회차*",구역15!E4:E73,"*"&amp;$B31&amp;"*")-COUNTIFS(구역15!H4:H73,"*타교회*",구역15!E4:E73,"*"&amp;$B31&amp;"*")-COUNTIFS(구역15!H4:H73,"*대중교통*",구역15!E4:E73,"*"&amp;$B31&amp;"*")))</f>
        <v/>
      </c>
      <c r="I18" s="32">
        <f>IF(COUNTIFS(구역15!G4:G73,"개인차",구역15!E4:E73,"*"&amp;$B31&amp;"*")+(COUNTIFS(구역15!J4:J73,"?*",구역15!E4:E73,"*"&amp;$B31&amp;"*")-COUNTIFS(구역15!J4:J73,"*교회차*",구역15!E4:E73,"*"&amp;$B31&amp;"*")-COUNTIFS(구역15!J4:J73,"*타교회*",구역15!E4:E73,"*"&amp;$B31&amp;"*")-COUNTIFS(구역15!J4:J73,"*대중교통*",구역15!E4:E73,"*"&amp;$B31&amp;"*"))=0,"",COUNTIFS(구역15!G4:G73,"개인차",구역15!E4:E73,"*"&amp;$B31&amp;"*")+(COUNTIFS(구역15!J4:J73,"?*",구역15!E4:E73,"*"&amp;$B31&amp;"*")-COUNTIFS(구역15!J4:J73,"*교회차*",구역15!E4:E73,"*"&amp;$B31&amp;"*")-COUNTIFS(구역15!J4:J73,"*타교회*",구역15!E4:E73,"*"&amp;$B31&amp;"*")-COUNTIFS(구역15!J4:J73,"*대중교통*",구역15!E4:E73,"*"&amp;$B31&amp;"*")))</f>
        <v/>
      </c>
      <c r="J18" s="32">
        <f>IF(COUNTIFS(구역15!F4:F73,"대중교통",구역15!E4:E73,"*"&amp;$B31&amp;"*")+COUNTIFS(구역15!H4:H73,"*대중교통*",구역15!E4:E73,"*"&amp;$B31&amp;"*")=0,"",COUNTIFS(구역15!F4:F73,"대중교통",구역15!E4:E73,"*"&amp;$B31&amp;"*")+COUNTIFS(구역15!H4:H73,"*대중교통*",구역15!E4:E73,"*"&amp;$B31&amp;"*"))</f>
        <v/>
      </c>
      <c r="K18" s="32">
        <f>IF(COUNTIFS(구역15!G4:G73,"대중교통",구역15!E4:E73,"*"&amp;$B31&amp;"*")+COUNTIFS(구역15!J4:J73,"*대중교통*",구역15!E4:E73,"*"&amp;$B31&amp;"*")=0,"",COUNTIFS(구역15!G4:G73,"대중교통",구역15!E4:E73,"*"&amp;$B31&amp;"*")+COUNTIFS(구역15!J4:J73,"*대중교통*",구역15!E4:E73,"*"&amp;$B31&amp;"*"))</f>
        <v/>
      </c>
      <c r="L18" s="42">
        <f>IF(SUM(B18,D18,F18,H18,J18)=0,"",SUM(B18,D18,F18,H18,J18))</f>
        <v/>
      </c>
      <c r="M18" s="81" t="n"/>
      <c r="N18" s="81" t="n"/>
    </row>
    <row r="19">
      <c r="A19" s="32" t="inlineStr">
        <is>
          <t>구역16</t>
        </is>
      </c>
      <c r="B19" s="32">
        <f>IF(COUNTIFS(구역16!F4:F73,"1호차",구역16!E4:E73,"*"&amp;$B31&amp;"*")+COUNTIFS(구역16!F4:F73,"2호차",구역16!E4:E73,"*"&amp;$B31&amp;"*")+COUNTIFS(구역16!F4:F73,"3호차",구역16!E4:E73,"*"&amp;$B31&amp;"*")+COUNTIFS(구역16!F4:F73,"4호차",구역16!E4:E73,"*"&amp;$B31&amp;"*")+COUNTIFS(구역16!F4:F73,"5호차",구역16!E4:E73,"*"&amp;$B31&amp;"*")+COUNTIFS(구역16!F4:F73,"6호차",구역16!E4:E73,"*"&amp;$B31&amp;"*")+COUNTIFS(구역16!F4:F73,"7호차",구역16!E4:E73,"*"&amp;$B31&amp;"*")+COUNTIFS(구역16!F4:F73,"8호차",구역16!E4:E73,"*"&amp;$B31&amp;"*")+COUNTIFS(구역16!F4:F73,"9호차",구역16!E4:E73,"*"&amp;$B31&amp;"*")+COUNTIFS(구역16!F4:F73,"10호차",구역16!E4:E73,"*"&amp;$B31&amp;"*")=0,"",COUNTIFS(구역16!F4:F73,"1호차",구역16!E4:E73,"*"&amp;$B31&amp;"*")+COUNTIFS(구역16!F4:F73,"2호차",구역16!E4:E73,"*"&amp;$B31&amp;"*")+COUNTIFS(구역16!F4:F73,"3호차",구역16!E4:E73,"*"&amp;$B31&amp;"*")+COUNTIFS(구역16!F4:F73,"4호차",구역16!E4:E73,"*"&amp;$B31&amp;"*")+COUNTIFS(구역16!F4:F73,"5호차",구역16!E4:E73,"*"&amp;$B31&amp;"*")+COUNTIFS(구역16!F4:F73,"6호차",구역16!E4:E73,"*"&amp;$B31&amp;"*")+COUNTIFS(구역16!F4:F73,"7호차",구역16!E4:E73,"*"&amp;$B31&amp;"*")+COUNTIFS(구역16!F4:F73,"8호차",구역16!E4:E73,"*"&amp;$B31&amp;"*")+COUNTIFS(구역16!F4:F73,"9호차",구역16!E4:E73,"*"&amp;$B31&amp;"*")+COUNTIFS(구역16!F4:F73,"10호차",구역16!E4:E73,"*"&amp;$B31&amp;"*"))</f>
        <v/>
      </c>
      <c r="C19" s="32">
        <f>IF(COUNTIFS(구역16!G4:G73,"1호차",구역16!E4:E73,"*"&amp;$B31&amp;"*")+COUNTIFS(구역16!G4:G73,"2호차",구역16!E4:E73,"*"&amp;$B31&amp;"*")+COUNTIFS(구역16!G4:G73,"3호차",구역16!E4:E73,"*"&amp;$B31&amp;"*")+COUNTIFS(구역16!G4:G73,"4호차",구역16!E4:E73,"*"&amp;$B31&amp;"*")+COUNTIFS(구역16!G4:G73,"5호차",구역16!E4:E73,"*"&amp;$B31&amp;"*")+COUNTIFS(구역16!G4:G73,"6호차",구역16!E4:E73,"*"&amp;$B31&amp;"*")+COUNTIFS(구역16!G4:G73,"7호차",구역16!E4:E73,"*"&amp;$B31&amp;"*")+COUNTIFS(구역16!G4:G73,"8호차",구역16!E4:E73,"*"&amp;$B31&amp;"*")+COUNTIFS(구역16!G4:G73,"9호차",구역16!E4:E73,"*"&amp;$B31&amp;"*")+COUNTIFS(구역16!G4:G73,"10호차",구역16!E4:E73,"*"&amp;$B31&amp;"*")=0,"",COUNTIFS(구역16!G4:G73,"1호차",구역16!E4:E73,"*"&amp;$B31&amp;"*")+COUNTIFS(구역16!G4:G73,"2호차",구역16!E4:E73,"*"&amp;$B31&amp;"*")+COUNTIFS(구역16!G4:G73,"3호차",구역16!E4:E73,"*"&amp;$B31&amp;"*")+COUNTIFS(구역16!G4:G73,"4호차",구역16!E4:E73,"*"&amp;$B31&amp;"*")+COUNTIFS(구역16!G4:G73,"5호차",구역16!E4:E73,"*"&amp;$B31&amp;"*")+COUNTIFS(구역16!G4:G73,"6호차",구역16!E4:E73,"*"&amp;$B31&amp;"*")+COUNTIFS(구역16!G4:G73,"7호차",구역16!E4:E73,"*"&amp;$B31&amp;"*")+COUNTIFS(구역16!G4:G73,"8호차",구역16!E4:E73,"*"&amp;$B31&amp;"*")+COUNTIFS(구역16!G4:G73,"9호차",구역16!E4:E73,"*"&amp;$B31&amp;"*")+COUNTIFS(구역16!G4:G73,"10호차",구역16!E4:E73,"*"&amp;$B31&amp;"*"))</f>
        <v/>
      </c>
      <c r="D19" s="32">
        <f>IF(COUNTIFS(구역16!F4:F73,"교회차1",구역16!E4:E73,"*"&amp;$B31&amp;"*")+COUNTIFS(구역16!F4:F73,"교회차2",구역16!E4:E73,"*"&amp;$B31&amp;"*")+COUNTIFS(구역16!F4:F73,"교회차3",구역16!E4:E73,"*"&amp;$B31&amp;"*")+COUNTIFS(구역16!F4:F73,"교회차4",구역16!E4:E73,"*"&amp;$B31&amp;"*")+COUNTIFS(구역16!F4:F73,"교회차5",구역16!E4:E73,"*"&amp;$B31&amp;"*")+COUNTIFS(구역16!H4:H73,"*교회차*",구역16!E4:E73,"*"&amp;$B31&amp;"*")=0,"",COUNTIFS(구역16!F4:F73,"교회차1",구역16!E4:E73,"*"&amp;$B31&amp;"*")+COUNTIFS(구역16!F4:F73,"교회차2",구역16!E4:E73,"*"&amp;$B31&amp;"*")+COUNTIFS(구역16!F4:F73,"교회차3",구역16!E4:E73,"*"&amp;$B31&amp;"*")+COUNTIFS(구역16!F4:F73,"교회차4",구역16!E4:E73,"*"&amp;$B31&amp;"*")+COUNTIFS(구역16!F4:F73,"교회차5",구역16!E4:E73,"*"&amp;$B31&amp;"*")+COUNTIFS(구역16!H4:H73,"*교회차*",구역16!E4:E73,"*"&amp;$B31&amp;"*"))</f>
        <v/>
      </c>
      <c r="E19" s="32">
        <f>IF(COUNTIFS(구역16!G4:G73,"교회차1",구역16!E4:E73,"*"&amp;$B31&amp;"*")+COUNTIFS(구역16!G4:G73,"교회차2",구역16!E4:E73,"*"&amp;$B31&amp;"*")+COUNTIFS(구역16!G4:G73,"교회차3",구역16!E4:E73,"*"&amp;$B31&amp;"*")+COUNTIFS(구역16!G4:G73,"교회차4",구역16!E4:E73,"*"&amp;$B31&amp;"*")+COUNTIFS(구역16!G4:G73,"교회차5",구역16!E4:E73,"*"&amp;$B31&amp;"*")+COUNTIFS(구역16!J4:J73,"*교회차*",구역16!E4:E73,"*"&amp;$B31&amp;"*")=0,"",COUNTIFS(구역16!G4:G73,"교회차1",구역16!E4:E73,"*"&amp;$B31&amp;"*")+COUNTIFS(구역16!G4:G73,"교회차2",구역16!E4:E73,"*"&amp;$B31&amp;"*")+COUNTIFS(구역16!G4:G73,"교회차3",구역16!E4:E73,"*"&amp;$B31&amp;"*")+COUNTIFS(구역16!G4:G73,"교회차4",구역16!E4:E73,"*"&amp;$B31&amp;"*")+COUNTIFS(구역16!G4:G73,"교회차5",구역16!E4:E73,"*"&amp;$B31&amp;"*")+COUNTIFS(구역16!J4:J73,"*교회차*",구역16!E4:E73,"*"&amp;$B31&amp;"*"))</f>
        <v/>
      </c>
      <c r="F19" s="32">
        <f>IF(COUNTIFS(구역16!F4:F73,"타교회",구역16!E4:E73,"*"&amp;$B31&amp;"*")+COUNTIFS(구역16!H4:H73,"*타교회*",구역16!E4:E73,"*"&amp;$B31&amp;"*")=0,"",COUNTIFS(구역16!F4:F73,"타교회",구역16!E4:E73,"*"&amp;$B31&amp;"*")+COUNTIFS(구역16!H4:H73,"*타교회*",구역16!E4:E73,"*"&amp;$B31&amp;"*"))</f>
        <v/>
      </c>
      <c r="G19" s="32">
        <f>IF(COUNTIFS(구역16!G4:G73,"타교회",구역16!E4:E73,"*"&amp;$B31&amp;"*")+COUNTIFS(구역16!J4:J73,"*타교회*",구역16!E4:E73,"*"&amp;$B31&amp;"*")=0,"",COUNTIFS(구역16!G4:G73,"타교회",구역16!E4:E73,"*"&amp;$B31&amp;"*")+COUNTIFS(구역16!J4:J73,"*타교회*",구역16!E4:E73,"*"&amp;$B31&amp;"*"))</f>
        <v/>
      </c>
      <c r="H19" s="32">
        <f>IF(COUNTIFS(구역16!F4:F73,"개인차",구역16!E4:E73,"*"&amp;$B31&amp;"*")+(COUNTIFS(구역16!H4:H73,"?*",구역16!E4:E73,"*"&amp;$B31&amp;"*")-COUNTIFS(구역16!H4:H73,"*교회차*",구역16!E4:E73,"*"&amp;$B31&amp;"*")-COUNTIFS(구역16!H4:H73,"*타교회*",구역16!E4:E73,"*"&amp;$B31&amp;"*")-COUNTIFS(구역16!H4:H73,"*대중교통*",구역16!E4:E73,"*"&amp;$B31&amp;"*"))=0,"",COUNTIFS(구역16!F4:F73,"개인차",구역16!E4:E73,"*"&amp;$B31&amp;"*")+(COUNTIFS(구역16!H4:H73,"?*",구역16!E4:E73,"*"&amp;$B31&amp;"*")-COUNTIFS(구역16!H4:H73,"*교회차*",구역16!E4:E73,"*"&amp;$B31&amp;"*")-COUNTIFS(구역16!H4:H73,"*타교회*",구역16!E4:E73,"*"&amp;$B31&amp;"*")-COUNTIFS(구역16!H4:H73,"*대중교통*",구역16!E4:E73,"*"&amp;$B31&amp;"*")))</f>
        <v/>
      </c>
      <c r="I19" s="32">
        <f>IF(COUNTIFS(구역16!G4:G73,"개인차",구역16!E4:E73,"*"&amp;$B31&amp;"*")+(COUNTIFS(구역16!J4:J73,"?*",구역16!E4:E73,"*"&amp;$B31&amp;"*")-COUNTIFS(구역16!J4:J73,"*교회차*",구역16!E4:E73,"*"&amp;$B31&amp;"*")-COUNTIFS(구역16!J4:J73,"*타교회*",구역16!E4:E73,"*"&amp;$B31&amp;"*")-COUNTIFS(구역16!J4:J73,"*대중교통*",구역16!E4:E73,"*"&amp;$B31&amp;"*"))=0,"",COUNTIFS(구역16!G4:G73,"개인차",구역16!E4:E73,"*"&amp;$B31&amp;"*")+(COUNTIFS(구역16!J4:J73,"?*",구역16!E4:E73,"*"&amp;$B31&amp;"*")-COUNTIFS(구역16!J4:J73,"*교회차*",구역16!E4:E73,"*"&amp;$B31&amp;"*")-COUNTIFS(구역16!J4:J73,"*타교회*",구역16!E4:E73,"*"&amp;$B31&amp;"*")-COUNTIFS(구역16!J4:J73,"*대중교통*",구역16!E4:E73,"*"&amp;$B31&amp;"*")))</f>
        <v/>
      </c>
      <c r="J19" s="32">
        <f>IF(COUNTIFS(구역16!F4:F73,"대중교통",구역16!E4:E73,"*"&amp;$B31&amp;"*")+COUNTIFS(구역16!H4:H73,"*대중교통*",구역16!E4:E73,"*"&amp;$B31&amp;"*")=0,"",COUNTIFS(구역16!F4:F73,"대중교통",구역16!E4:E73,"*"&amp;$B31&amp;"*")+COUNTIFS(구역16!H4:H73,"*대중교통*",구역16!E4:E73,"*"&amp;$B31&amp;"*"))</f>
        <v/>
      </c>
      <c r="K19" s="32">
        <f>IF(COUNTIFS(구역16!G4:G73,"대중교통",구역16!E4:E73,"*"&amp;$B31&amp;"*")+COUNTIFS(구역16!J4:J73,"*대중교통*",구역16!E4:E73,"*"&amp;$B31&amp;"*")=0,"",COUNTIFS(구역16!G4:G73,"대중교통",구역16!E4:E73,"*"&amp;$B31&amp;"*")+COUNTIFS(구역16!J4:J73,"*대중교통*",구역16!E4:E73,"*"&amp;$B31&amp;"*"))</f>
        <v/>
      </c>
      <c r="L19" s="42">
        <f>IF(SUM(B19,D19,F19,H19,J19)=0,"",SUM(B19,D19,F19,H19,J19))</f>
        <v/>
      </c>
      <c r="M19" s="81" t="n"/>
      <c r="N19" s="81" t="n"/>
    </row>
    <row r="20">
      <c r="A20" s="32" t="inlineStr">
        <is>
          <t>구역17</t>
        </is>
      </c>
      <c r="B20" s="32">
        <f>IF(COUNTIFS(구역17!F4:F73,"1호차",구역17!E4:E73,"*"&amp;$B31&amp;"*")+COUNTIFS(구역17!F4:F73,"2호차",구역17!E4:E73,"*"&amp;$B31&amp;"*")+COUNTIFS(구역17!F4:F73,"3호차",구역17!E4:E73,"*"&amp;$B31&amp;"*")+COUNTIFS(구역17!F4:F73,"4호차",구역17!E4:E73,"*"&amp;$B31&amp;"*")+COUNTIFS(구역17!F4:F73,"5호차",구역17!E4:E73,"*"&amp;$B31&amp;"*")+COUNTIFS(구역17!F4:F73,"6호차",구역17!E4:E73,"*"&amp;$B31&amp;"*")+COUNTIFS(구역17!F4:F73,"7호차",구역17!E4:E73,"*"&amp;$B31&amp;"*")+COUNTIFS(구역17!F4:F73,"8호차",구역17!E4:E73,"*"&amp;$B31&amp;"*")+COUNTIFS(구역17!F4:F73,"9호차",구역17!E4:E73,"*"&amp;$B31&amp;"*")+COUNTIFS(구역17!F4:F73,"10호차",구역17!E4:E73,"*"&amp;$B31&amp;"*")=0,"",COUNTIFS(구역17!F4:F73,"1호차",구역17!E4:E73,"*"&amp;$B31&amp;"*")+COUNTIFS(구역17!F4:F73,"2호차",구역17!E4:E73,"*"&amp;$B31&amp;"*")+COUNTIFS(구역17!F4:F73,"3호차",구역17!E4:E73,"*"&amp;$B31&amp;"*")+COUNTIFS(구역17!F4:F73,"4호차",구역17!E4:E73,"*"&amp;$B31&amp;"*")+COUNTIFS(구역17!F4:F73,"5호차",구역17!E4:E73,"*"&amp;$B31&amp;"*")+COUNTIFS(구역17!F4:F73,"6호차",구역17!E4:E73,"*"&amp;$B31&amp;"*")+COUNTIFS(구역17!F4:F73,"7호차",구역17!E4:E73,"*"&amp;$B31&amp;"*")+COUNTIFS(구역17!F4:F73,"8호차",구역17!E4:E73,"*"&amp;$B31&amp;"*")+COUNTIFS(구역17!F4:F73,"9호차",구역17!E4:E73,"*"&amp;$B31&amp;"*")+COUNTIFS(구역17!F4:F73,"10호차",구역17!E4:E73,"*"&amp;$B31&amp;"*"))</f>
        <v/>
      </c>
      <c r="C20" s="32">
        <f>IF(COUNTIFS(구역17!G4:G73,"1호차",구역17!E4:E73,"*"&amp;$B31&amp;"*")+COUNTIFS(구역17!G4:G73,"2호차",구역17!E4:E73,"*"&amp;$B31&amp;"*")+COUNTIFS(구역17!G4:G73,"3호차",구역17!E4:E73,"*"&amp;$B31&amp;"*")+COUNTIFS(구역17!G4:G73,"4호차",구역17!E4:E73,"*"&amp;$B31&amp;"*")+COUNTIFS(구역17!G4:G73,"5호차",구역17!E4:E73,"*"&amp;$B31&amp;"*")+COUNTIFS(구역17!G4:G73,"6호차",구역17!E4:E73,"*"&amp;$B31&amp;"*")+COUNTIFS(구역17!G4:G73,"7호차",구역17!E4:E73,"*"&amp;$B31&amp;"*")+COUNTIFS(구역17!G4:G73,"8호차",구역17!E4:E73,"*"&amp;$B31&amp;"*")+COUNTIFS(구역17!G4:G73,"9호차",구역17!E4:E73,"*"&amp;$B31&amp;"*")+COUNTIFS(구역17!G4:G73,"10호차",구역17!E4:E73,"*"&amp;$B31&amp;"*")=0,"",COUNTIFS(구역17!G4:G73,"1호차",구역17!E4:E73,"*"&amp;$B31&amp;"*")+COUNTIFS(구역17!G4:G73,"2호차",구역17!E4:E73,"*"&amp;$B31&amp;"*")+COUNTIFS(구역17!G4:G73,"3호차",구역17!E4:E73,"*"&amp;$B31&amp;"*")+COUNTIFS(구역17!G4:G73,"4호차",구역17!E4:E73,"*"&amp;$B31&amp;"*")+COUNTIFS(구역17!G4:G73,"5호차",구역17!E4:E73,"*"&amp;$B31&amp;"*")+COUNTIFS(구역17!G4:G73,"6호차",구역17!E4:E73,"*"&amp;$B31&amp;"*")+COUNTIFS(구역17!G4:G73,"7호차",구역17!E4:E73,"*"&amp;$B31&amp;"*")+COUNTIFS(구역17!G4:G73,"8호차",구역17!E4:E73,"*"&amp;$B31&amp;"*")+COUNTIFS(구역17!G4:G73,"9호차",구역17!E4:E73,"*"&amp;$B31&amp;"*")+COUNTIFS(구역17!G4:G73,"10호차",구역17!E4:E73,"*"&amp;$B31&amp;"*"))</f>
        <v/>
      </c>
      <c r="D20" s="32">
        <f>IF(COUNTIFS(구역17!F4:F73,"교회차1",구역17!E4:E73,"*"&amp;$B31&amp;"*")+COUNTIFS(구역17!F4:F73,"교회차2",구역17!E4:E73,"*"&amp;$B31&amp;"*")+COUNTIFS(구역17!F4:F73,"교회차3",구역17!E4:E73,"*"&amp;$B31&amp;"*")+COUNTIFS(구역17!F4:F73,"교회차4",구역17!E4:E73,"*"&amp;$B31&amp;"*")+COUNTIFS(구역17!F4:F73,"교회차5",구역17!E4:E73,"*"&amp;$B31&amp;"*")+COUNTIFS(구역17!H4:H73,"*교회차*",구역17!E4:E73,"*"&amp;$B31&amp;"*")=0,"",COUNTIFS(구역17!F4:F73,"교회차1",구역17!E4:E73,"*"&amp;$B31&amp;"*")+COUNTIFS(구역17!F4:F73,"교회차2",구역17!E4:E73,"*"&amp;$B31&amp;"*")+COUNTIFS(구역17!F4:F73,"교회차3",구역17!E4:E73,"*"&amp;$B31&amp;"*")+COUNTIFS(구역17!F4:F73,"교회차4",구역17!E4:E73,"*"&amp;$B31&amp;"*")+COUNTIFS(구역17!F4:F73,"교회차5",구역17!E4:E73,"*"&amp;$B31&amp;"*")+COUNTIFS(구역17!H4:H73,"*교회차*",구역17!E4:E73,"*"&amp;$B31&amp;"*"))</f>
        <v/>
      </c>
      <c r="E20" s="32">
        <f>IF(COUNTIFS(구역17!G4:G73,"교회차1",구역17!E4:E73,"*"&amp;$B31&amp;"*")+COUNTIFS(구역17!G4:G73,"교회차2",구역17!E4:E73,"*"&amp;$B31&amp;"*")+COUNTIFS(구역17!G4:G73,"교회차3",구역17!E4:E73,"*"&amp;$B31&amp;"*")+COUNTIFS(구역17!G4:G73,"교회차4",구역17!E4:E73,"*"&amp;$B31&amp;"*")+COUNTIFS(구역17!G4:G73,"교회차5",구역17!E4:E73,"*"&amp;$B31&amp;"*")+COUNTIFS(구역17!J4:J73,"*교회차*",구역17!E4:E73,"*"&amp;$B31&amp;"*")=0,"",COUNTIFS(구역17!G4:G73,"교회차1",구역17!E4:E73,"*"&amp;$B31&amp;"*")+COUNTIFS(구역17!G4:G73,"교회차2",구역17!E4:E73,"*"&amp;$B31&amp;"*")+COUNTIFS(구역17!G4:G73,"교회차3",구역17!E4:E73,"*"&amp;$B31&amp;"*")+COUNTIFS(구역17!G4:G73,"교회차4",구역17!E4:E73,"*"&amp;$B31&amp;"*")+COUNTIFS(구역17!G4:G73,"교회차5",구역17!E4:E73,"*"&amp;$B31&amp;"*")+COUNTIFS(구역17!J4:J73,"*교회차*",구역17!E4:E73,"*"&amp;$B31&amp;"*"))</f>
        <v/>
      </c>
      <c r="F20" s="32">
        <f>IF(COUNTIFS(구역17!F4:F73,"타교회",구역17!E4:E73,"*"&amp;$B31&amp;"*")+COUNTIFS(구역17!H4:H73,"*타교회*",구역17!E4:E73,"*"&amp;$B31&amp;"*")=0,"",COUNTIFS(구역17!F4:F73,"타교회",구역17!E4:E73,"*"&amp;$B31&amp;"*")+COUNTIFS(구역17!H4:H73,"*타교회*",구역17!E4:E73,"*"&amp;$B31&amp;"*"))</f>
        <v/>
      </c>
      <c r="G20" s="32">
        <f>IF(COUNTIFS(구역17!G4:G73,"타교회",구역17!E4:E73,"*"&amp;$B31&amp;"*")+COUNTIFS(구역17!J4:J73,"*타교회*",구역17!E4:E73,"*"&amp;$B31&amp;"*")=0,"",COUNTIFS(구역17!G4:G73,"타교회",구역17!E4:E73,"*"&amp;$B31&amp;"*")+COUNTIFS(구역17!J4:J73,"*타교회*",구역17!E4:E73,"*"&amp;$B31&amp;"*"))</f>
        <v/>
      </c>
      <c r="H20" s="32">
        <f>IF(COUNTIFS(구역17!F4:F73,"개인차",구역17!E4:E73,"*"&amp;$B31&amp;"*")+(COUNTIFS(구역17!H4:H73,"?*",구역17!E4:E73,"*"&amp;$B31&amp;"*")-COUNTIFS(구역17!H4:H73,"*교회차*",구역17!E4:E73,"*"&amp;$B31&amp;"*")-COUNTIFS(구역17!H4:H73,"*타교회*",구역17!E4:E73,"*"&amp;$B31&amp;"*")-COUNTIFS(구역17!H4:H73,"*대중교통*",구역17!E4:E73,"*"&amp;$B31&amp;"*"))=0,"",COUNTIFS(구역17!F4:F73,"개인차",구역17!E4:E73,"*"&amp;$B31&amp;"*")+(COUNTIFS(구역17!H4:H73,"?*",구역17!E4:E73,"*"&amp;$B31&amp;"*")-COUNTIFS(구역17!H4:H73,"*교회차*",구역17!E4:E73,"*"&amp;$B31&amp;"*")-COUNTIFS(구역17!H4:H73,"*타교회*",구역17!E4:E73,"*"&amp;$B31&amp;"*")-COUNTIFS(구역17!H4:H73,"*대중교통*",구역17!E4:E73,"*"&amp;$B31&amp;"*")))</f>
        <v/>
      </c>
      <c r="I20" s="32">
        <f>IF(COUNTIFS(구역17!G4:G73,"개인차",구역17!E4:E73,"*"&amp;$B31&amp;"*")+(COUNTIFS(구역17!J4:J73,"?*",구역17!E4:E73,"*"&amp;$B31&amp;"*")-COUNTIFS(구역17!J4:J73,"*교회차*",구역17!E4:E73,"*"&amp;$B31&amp;"*")-COUNTIFS(구역17!J4:J73,"*타교회*",구역17!E4:E73,"*"&amp;$B31&amp;"*")-COUNTIFS(구역17!J4:J73,"*대중교통*",구역17!E4:E73,"*"&amp;$B31&amp;"*"))=0,"",COUNTIFS(구역17!G4:G73,"개인차",구역17!E4:E73,"*"&amp;$B31&amp;"*")+(COUNTIFS(구역17!J4:J73,"?*",구역17!E4:E73,"*"&amp;$B31&amp;"*")-COUNTIFS(구역17!J4:J73,"*교회차*",구역17!E4:E73,"*"&amp;$B31&amp;"*")-COUNTIFS(구역17!J4:J73,"*타교회*",구역17!E4:E73,"*"&amp;$B31&amp;"*")-COUNTIFS(구역17!J4:J73,"*대중교통*",구역17!E4:E73,"*"&amp;$B31&amp;"*")))</f>
        <v/>
      </c>
      <c r="J20" s="32">
        <f>IF(COUNTIFS(구역17!F4:F73,"대중교통",구역17!E4:E73,"*"&amp;$B31&amp;"*")+COUNTIFS(구역17!H4:H73,"*대중교통*",구역17!E4:E73,"*"&amp;$B31&amp;"*")=0,"",COUNTIFS(구역17!F4:F73,"대중교통",구역17!E4:E73,"*"&amp;$B31&amp;"*")+COUNTIFS(구역17!H4:H73,"*대중교통*",구역17!E4:E73,"*"&amp;$B31&amp;"*"))</f>
        <v/>
      </c>
      <c r="K20" s="32">
        <f>IF(COUNTIFS(구역17!G4:G73,"대중교통",구역17!E4:E73,"*"&amp;$B31&amp;"*")+COUNTIFS(구역17!J4:J73,"*대중교통*",구역17!E4:E73,"*"&amp;$B31&amp;"*")=0,"",COUNTIFS(구역17!G4:G73,"대중교통",구역17!E4:E73,"*"&amp;$B31&amp;"*")+COUNTIFS(구역17!J4:J73,"*대중교통*",구역17!E4:E73,"*"&amp;$B31&amp;"*"))</f>
        <v/>
      </c>
      <c r="L20" s="42">
        <f>IF(SUM(B20,D20,F20,H20,J20)=0,"",SUM(B20,D20,F20,H20,J20))</f>
        <v/>
      </c>
      <c r="M20" s="81" t="n"/>
      <c r="N20" s="81" t="n"/>
    </row>
    <row r="21">
      <c r="A21" s="32" t="inlineStr">
        <is>
          <t>구역18</t>
        </is>
      </c>
      <c r="B21" s="32">
        <f>IF(COUNTIFS(구역18!F4:F73,"1호차",구역18!E4:E73,"*"&amp;$B31&amp;"*")+COUNTIFS(구역18!F4:F73,"2호차",구역18!E4:E73,"*"&amp;$B31&amp;"*")+COUNTIFS(구역18!F4:F73,"3호차",구역18!E4:E73,"*"&amp;$B31&amp;"*")+COUNTIFS(구역18!F4:F73,"4호차",구역18!E4:E73,"*"&amp;$B31&amp;"*")+COUNTIFS(구역18!F4:F73,"5호차",구역18!E4:E73,"*"&amp;$B31&amp;"*")+COUNTIFS(구역18!F4:F73,"6호차",구역18!E4:E73,"*"&amp;$B31&amp;"*")+COUNTIFS(구역18!F4:F73,"7호차",구역18!E4:E73,"*"&amp;$B31&amp;"*")+COUNTIFS(구역18!F4:F73,"8호차",구역18!E4:E73,"*"&amp;$B31&amp;"*")+COUNTIFS(구역18!F4:F73,"9호차",구역18!E4:E73,"*"&amp;$B31&amp;"*")+COUNTIFS(구역18!F4:F73,"10호차",구역18!E4:E73,"*"&amp;$B31&amp;"*")=0,"",COUNTIFS(구역18!F4:F73,"1호차",구역18!E4:E73,"*"&amp;$B31&amp;"*")+COUNTIFS(구역18!F4:F73,"2호차",구역18!E4:E73,"*"&amp;$B31&amp;"*")+COUNTIFS(구역18!F4:F73,"3호차",구역18!E4:E73,"*"&amp;$B31&amp;"*")+COUNTIFS(구역18!F4:F73,"4호차",구역18!E4:E73,"*"&amp;$B31&amp;"*")+COUNTIFS(구역18!F4:F73,"5호차",구역18!E4:E73,"*"&amp;$B31&amp;"*")+COUNTIFS(구역18!F4:F73,"6호차",구역18!E4:E73,"*"&amp;$B31&amp;"*")+COUNTIFS(구역18!F4:F73,"7호차",구역18!E4:E73,"*"&amp;$B31&amp;"*")+COUNTIFS(구역18!F4:F73,"8호차",구역18!E4:E73,"*"&amp;$B31&amp;"*")+COUNTIFS(구역18!F4:F73,"9호차",구역18!E4:E73,"*"&amp;$B31&amp;"*")+COUNTIFS(구역18!F4:F73,"10호차",구역18!E4:E73,"*"&amp;$B31&amp;"*"))</f>
        <v/>
      </c>
      <c r="C21" s="32">
        <f>IF(COUNTIFS(구역18!G4:G73,"1호차",구역18!E4:E73,"*"&amp;$B31&amp;"*")+COUNTIFS(구역18!G4:G73,"2호차",구역18!E4:E73,"*"&amp;$B31&amp;"*")+COUNTIFS(구역18!G4:G73,"3호차",구역18!E4:E73,"*"&amp;$B31&amp;"*")+COUNTIFS(구역18!G4:G73,"4호차",구역18!E4:E73,"*"&amp;$B31&amp;"*")+COUNTIFS(구역18!G4:G73,"5호차",구역18!E4:E73,"*"&amp;$B31&amp;"*")+COUNTIFS(구역18!G4:G73,"6호차",구역18!E4:E73,"*"&amp;$B31&amp;"*")+COUNTIFS(구역18!G4:G73,"7호차",구역18!E4:E73,"*"&amp;$B31&amp;"*")+COUNTIFS(구역18!G4:G73,"8호차",구역18!E4:E73,"*"&amp;$B31&amp;"*")+COUNTIFS(구역18!G4:G73,"9호차",구역18!E4:E73,"*"&amp;$B31&amp;"*")+COUNTIFS(구역18!G4:G73,"10호차",구역18!E4:E73,"*"&amp;$B31&amp;"*")=0,"",COUNTIFS(구역18!G4:G73,"1호차",구역18!E4:E73,"*"&amp;$B31&amp;"*")+COUNTIFS(구역18!G4:G73,"2호차",구역18!E4:E73,"*"&amp;$B31&amp;"*")+COUNTIFS(구역18!G4:G73,"3호차",구역18!E4:E73,"*"&amp;$B31&amp;"*")+COUNTIFS(구역18!G4:G73,"4호차",구역18!E4:E73,"*"&amp;$B31&amp;"*")+COUNTIFS(구역18!G4:G73,"5호차",구역18!E4:E73,"*"&amp;$B31&amp;"*")+COUNTIFS(구역18!G4:G73,"6호차",구역18!E4:E73,"*"&amp;$B31&amp;"*")+COUNTIFS(구역18!G4:G73,"7호차",구역18!E4:E73,"*"&amp;$B31&amp;"*")+COUNTIFS(구역18!G4:G73,"8호차",구역18!E4:E73,"*"&amp;$B31&amp;"*")+COUNTIFS(구역18!G4:G73,"9호차",구역18!E4:E73,"*"&amp;$B31&amp;"*")+COUNTIFS(구역18!G4:G73,"10호차",구역18!E4:E73,"*"&amp;$B31&amp;"*"))</f>
        <v/>
      </c>
      <c r="D21" s="32">
        <f>IF(COUNTIFS(구역18!F4:F73,"교회차1",구역18!E4:E73,"*"&amp;$B31&amp;"*")+COUNTIFS(구역18!F4:F73,"교회차2",구역18!E4:E73,"*"&amp;$B31&amp;"*")+COUNTIFS(구역18!F4:F73,"교회차3",구역18!E4:E73,"*"&amp;$B31&amp;"*")+COUNTIFS(구역18!F4:F73,"교회차4",구역18!E4:E73,"*"&amp;$B31&amp;"*")+COUNTIFS(구역18!F4:F73,"교회차5",구역18!E4:E73,"*"&amp;$B31&amp;"*")+COUNTIFS(구역18!H4:H73,"*교회차*",구역18!E4:E73,"*"&amp;$B31&amp;"*")=0,"",COUNTIFS(구역18!F4:F73,"교회차1",구역18!E4:E73,"*"&amp;$B31&amp;"*")+COUNTIFS(구역18!F4:F73,"교회차2",구역18!E4:E73,"*"&amp;$B31&amp;"*")+COUNTIFS(구역18!F4:F73,"교회차3",구역18!E4:E73,"*"&amp;$B31&amp;"*")+COUNTIFS(구역18!F4:F73,"교회차4",구역18!E4:E73,"*"&amp;$B31&amp;"*")+COUNTIFS(구역18!F4:F73,"교회차5",구역18!E4:E73,"*"&amp;$B31&amp;"*")+COUNTIFS(구역18!H4:H73,"*교회차*",구역18!E4:E73,"*"&amp;$B31&amp;"*"))</f>
        <v/>
      </c>
      <c r="E21" s="32">
        <f>IF(COUNTIFS(구역18!G4:G73,"교회차1",구역18!E4:E73,"*"&amp;$B31&amp;"*")+COUNTIFS(구역18!G4:G73,"교회차2",구역18!E4:E73,"*"&amp;$B31&amp;"*")+COUNTIFS(구역18!G4:G73,"교회차3",구역18!E4:E73,"*"&amp;$B31&amp;"*")+COUNTIFS(구역18!G4:G73,"교회차4",구역18!E4:E73,"*"&amp;$B31&amp;"*")+COUNTIFS(구역18!G4:G73,"교회차5",구역18!E4:E73,"*"&amp;$B31&amp;"*")+COUNTIFS(구역18!J4:J73,"*교회차*",구역18!E4:E73,"*"&amp;$B31&amp;"*")=0,"",COUNTIFS(구역18!G4:G73,"교회차1",구역18!E4:E73,"*"&amp;$B31&amp;"*")+COUNTIFS(구역18!G4:G73,"교회차2",구역18!E4:E73,"*"&amp;$B31&amp;"*")+COUNTIFS(구역18!G4:G73,"교회차3",구역18!E4:E73,"*"&amp;$B31&amp;"*")+COUNTIFS(구역18!G4:G73,"교회차4",구역18!E4:E73,"*"&amp;$B31&amp;"*")+COUNTIFS(구역18!G4:G73,"교회차5",구역18!E4:E73,"*"&amp;$B31&amp;"*")+COUNTIFS(구역18!J4:J73,"*교회차*",구역18!E4:E73,"*"&amp;$B31&amp;"*"))</f>
        <v/>
      </c>
      <c r="F21" s="32">
        <f>IF(COUNTIFS(구역18!F4:F73,"타교회",구역18!E4:E73,"*"&amp;$B31&amp;"*")+COUNTIFS(구역18!H4:H73,"*타교회*",구역18!E4:E73,"*"&amp;$B31&amp;"*")=0,"",COUNTIFS(구역18!F4:F73,"타교회",구역18!E4:E73,"*"&amp;$B31&amp;"*")+COUNTIFS(구역18!H4:H73,"*타교회*",구역18!E4:E73,"*"&amp;$B31&amp;"*"))</f>
        <v/>
      </c>
      <c r="G21" s="32">
        <f>IF(COUNTIFS(구역18!G4:G73,"타교회",구역18!E4:E73,"*"&amp;$B31&amp;"*")+COUNTIFS(구역18!J4:J73,"*타교회*",구역18!E4:E73,"*"&amp;$B31&amp;"*")=0,"",COUNTIFS(구역18!G4:G73,"타교회",구역18!E4:E73,"*"&amp;$B31&amp;"*")+COUNTIFS(구역18!J4:J73,"*타교회*",구역18!E4:E73,"*"&amp;$B31&amp;"*"))</f>
        <v/>
      </c>
      <c r="H21" s="32">
        <f>IF(COUNTIFS(구역18!F4:F73,"개인차",구역18!E4:E73,"*"&amp;$B31&amp;"*")+(COUNTIFS(구역18!H4:H73,"?*",구역18!E4:E73,"*"&amp;$B31&amp;"*")-COUNTIFS(구역18!H4:H73,"*교회차*",구역18!E4:E73,"*"&amp;$B31&amp;"*")-COUNTIFS(구역18!H4:H73,"*타교회*",구역18!E4:E73,"*"&amp;$B31&amp;"*")-COUNTIFS(구역18!H4:H73,"*대중교통*",구역18!E4:E73,"*"&amp;$B31&amp;"*"))=0,"",COUNTIFS(구역18!F4:F73,"개인차",구역18!E4:E73,"*"&amp;$B31&amp;"*")+(COUNTIFS(구역18!H4:H73,"?*",구역18!E4:E73,"*"&amp;$B31&amp;"*")-COUNTIFS(구역18!H4:H73,"*교회차*",구역18!E4:E73,"*"&amp;$B31&amp;"*")-COUNTIFS(구역18!H4:H73,"*타교회*",구역18!E4:E73,"*"&amp;$B31&amp;"*")-COUNTIFS(구역18!H4:H73,"*대중교통*",구역18!E4:E73,"*"&amp;$B31&amp;"*")))</f>
        <v/>
      </c>
      <c r="I21" s="32">
        <f>IF(COUNTIFS(구역18!G4:G73,"개인차",구역18!E4:E73,"*"&amp;$B31&amp;"*")+(COUNTIFS(구역18!J4:J73,"?*",구역18!E4:E73,"*"&amp;$B31&amp;"*")-COUNTIFS(구역18!J4:J73,"*교회차*",구역18!E4:E73,"*"&amp;$B31&amp;"*")-COUNTIFS(구역18!J4:J73,"*타교회*",구역18!E4:E73,"*"&amp;$B31&amp;"*")-COUNTIFS(구역18!J4:J73,"*대중교통*",구역18!E4:E73,"*"&amp;$B31&amp;"*"))=0,"",COUNTIFS(구역18!G4:G73,"개인차",구역18!E4:E73,"*"&amp;$B31&amp;"*")+(COUNTIFS(구역18!J4:J73,"?*",구역18!E4:E73,"*"&amp;$B31&amp;"*")-COUNTIFS(구역18!J4:J73,"*교회차*",구역18!E4:E73,"*"&amp;$B31&amp;"*")-COUNTIFS(구역18!J4:J73,"*타교회*",구역18!E4:E73,"*"&amp;$B31&amp;"*")-COUNTIFS(구역18!J4:J73,"*대중교통*",구역18!E4:E73,"*"&amp;$B31&amp;"*")))</f>
        <v/>
      </c>
      <c r="J21" s="32">
        <f>IF(COUNTIFS(구역18!F4:F73,"대중교통",구역18!E4:E73,"*"&amp;$B31&amp;"*")+COUNTIFS(구역18!H4:H73,"*대중교통*",구역18!E4:E73,"*"&amp;$B31&amp;"*")=0,"",COUNTIFS(구역18!F4:F73,"대중교통",구역18!E4:E73,"*"&amp;$B31&amp;"*")+COUNTIFS(구역18!H4:H73,"*대중교통*",구역18!E4:E73,"*"&amp;$B31&amp;"*"))</f>
        <v/>
      </c>
      <c r="K21" s="32">
        <f>IF(COUNTIFS(구역18!G4:G73,"대중교통",구역18!E4:E73,"*"&amp;$B31&amp;"*")+COUNTIFS(구역18!J4:J73,"*대중교통*",구역18!E4:E73,"*"&amp;$B31&amp;"*")=0,"",COUNTIFS(구역18!G4:G73,"대중교통",구역18!E4:E73,"*"&amp;$B31&amp;"*")+COUNTIFS(구역18!J4:J73,"*대중교통*",구역18!E4:E73,"*"&amp;$B31&amp;"*"))</f>
        <v/>
      </c>
      <c r="L21" s="42">
        <f>IF(SUM(B21,D21,F21,H21,J21)=0,"",SUM(B21,D21,F21,H21,J21))</f>
        <v/>
      </c>
      <c r="M21" s="81" t="n"/>
      <c r="N21" s="81" t="n"/>
    </row>
    <row r="22">
      <c r="A22" s="32" t="inlineStr">
        <is>
          <t>구역19</t>
        </is>
      </c>
      <c r="B22" s="32">
        <f>IF(COUNTIFS(구역19!F4:F73,"1호차",구역19!E4:E73,"*"&amp;$B31&amp;"*")+COUNTIFS(구역19!F4:F73,"2호차",구역19!E4:E73,"*"&amp;$B31&amp;"*")+COUNTIFS(구역19!F4:F73,"3호차",구역19!E4:E73,"*"&amp;$B31&amp;"*")+COUNTIFS(구역19!F4:F73,"4호차",구역19!E4:E73,"*"&amp;$B31&amp;"*")+COUNTIFS(구역19!F4:F73,"5호차",구역19!E4:E73,"*"&amp;$B31&amp;"*")+COUNTIFS(구역19!F4:F73,"6호차",구역19!E4:E73,"*"&amp;$B31&amp;"*")+COUNTIFS(구역19!F4:F73,"7호차",구역19!E4:E73,"*"&amp;$B31&amp;"*")+COUNTIFS(구역19!F4:F73,"8호차",구역19!E4:E73,"*"&amp;$B31&amp;"*")+COUNTIFS(구역19!F4:F73,"9호차",구역19!E4:E73,"*"&amp;$B31&amp;"*")+COUNTIFS(구역19!F4:F73,"10호차",구역19!E4:E73,"*"&amp;$B31&amp;"*")=0,"",COUNTIFS(구역19!F4:F73,"1호차",구역19!E4:E73,"*"&amp;$B31&amp;"*")+COUNTIFS(구역19!F4:F73,"2호차",구역19!E4:E73,"*"&amp;$B31&amp;"*")+COUNTIFS(구역19!F4:F73,"3호차",구역19!E4:E73,"*"&amp;$B31&amp;"*")+COUNTIFS(구역19!F4:F73,"4호차",구역19!E4:E73,"*"&amp;$B31&amp;"*")+COUNTIFS(구역19!F4:F73,"5호차",구역19!E4:E73,"*"&amp;$B31&amp;"*")+COUNTIFS(구역19!F4:F73,"6호차",구역19!E4:E73,"*"&amp;$B31&amp;"*")+COUNTIFS(구역19!F4:F73,"7호차",구역19!E4:E73,"*"&amp;$B31&amp;"*")+COUNTIFS(구역19!F4:F73,"8호차",구역19!E4:E73,"*"&amp;$B31&amp;"*")+COUNTIFS(구역19!F4:F73,"9호차",구역19!E4:E73,"*"&amp;$B31&amp;"*")+COUNTIFS(구역19!F4:F73,"10호차",구역19!E4:E73,"*"&amp;$B31&amp;"*"))</f>
        <v/>
      </c>
      <c r="C22" s="32">
        <f>IF(COUNTIFS(구역19!G4:G73,"1호차",구역19!E4:E73,"*"&amp;$B31&amp;"*")+COUNTIFS(구역19!G4:G73,"2호차",구역19!E4:E73,"*"&amp;$B31&amp;"*")+COUNTIFS(구역19!G4:G73,"3호차",구역19!E4:E73,"*"&amp;$B31&amp;"*")+COUNTIFS(구역19!G4:G73,"4호차",구역19!E4:E73,"*"&amp;$B31&amp;"*")+COUNTIFS(구역19!G4:G73,"5호차",구역19!E4:E73,"*"&amp;$B31&amp;"*")+COUNTIFS(구역19!G4:G73,"6호차",구역19!E4:E73,"*"&amp;$B31&amp;"*")+COUNTIFS(구역19!G4:G73,"7호차",구역19!E4:E73,"*"&amp;$B31&amp;"*")+COUNTIFS(구역19!G4:G73,"8호차",구역19!E4:E73,"*"&amp;$B31&amp;"*")+COUNTIFS(구역19!G4:G73,"9호차",구역19!E4:E73,"*"&amp;$B31&amp;"*")+COUNTIFS(구역19!G4:G73,"10호차",구역19!E4:E73,"*"&amp;$B31&amp;"*")=0,"",COUNTIFS(구역19!G4:G73,"1호차",구역19!E4:E73,"*"&amp;$B31&amp;"*")+COUNTIFS(구역19!G4:G73,"2호차",구역19!E4:E73,"*"&amp;$B31&amp;"*")+COUNTIFS(구역19!G4:G73,"3호차",구역19!E4:E73,"*"&amp;$B31&amp;"*")+COUNTIFS(구역19!G4:G73,"4호차",구역19!E4:E73,"*"&amp;$B31&amp;"*")+COUNTIFS(구역19!G4:G73,"5호차",구역19!E4:E73,"*"&amp;$B31&amp;"*")+COUNTIFS(구역19!G4:G73,"6호차",구역19!E4:E73,"*"&amp;$B31&amp;"*")+COUNTIFS(구역19!G4:G73,"7호차",구역19!E4:E73,"*"&amp;$B31&amp;"*")+COUNTIFS(구역19!G4:G73,"8호차",구역19!E4:E73,"*"&amp;$B31&amp;"*")+COUNTIFS(구역19!G4:G73,"9호차",구역19!E4:E73,"*"&amp;$B31&amp;"*")+COUNTIFS(구역19!G4:G73,"10호차",구역19!E4:E73,"*"&amp;$B31&amp;"*"))</f>
        <v/>
      </c>
      <c r="D22" s="32">
        <f>IF(COUNTIFS(구역19!F4:F73,"교회차1",구역19!E4:E73,"*"&amp;$B31&amp;"*")+COUNTIFS(구역19!F4:F73,"교회차2",구역19!E4:E73,"*"&amp;$B31&amp;"*")+COUNTIFS(구역19!F4:F73,"교회차3",구역19!E4:E73,"*"&amp;$B31&amp;"*")+COUNTIFS(구역19!F4:F73,"교회차4",구역19!E4:E73,"*"&amp;$B31&amp;"*")+COUNTIFS(구역19!F4:F73,"교회차5",구역19!E4:E73,"*"&amp;$B31&amp;"*")+COUNTIFS(구역19!H4:H73,"*교회차*",구역19!E4:E73,"*"&amp;$B31&amp;"*")=0,"",COUNTIFS(구역19!F4:F73,"교회차1",구역19!E4:E73,"*"&amp;$B31&amp;"*")+COUNTIFS(구역19!F4:F73,"교회차2",구역19!E4:E73,"*"&amp;$B31&amp;"*")+COUNTIFS(구역19!F4:F73,"교회차3",구역19!E4:E73,"*"&amp;$B31&amp;"*")+COUNTIFS(구역19!F4:F73,"교회차4",구역19!E4:E73,"*"&amp;$B31&amp;"*")+COUNTIFS(구역19!F4:F73,"교회차5",구역19!E4:E73,"*"&amp;$B31&amp;"*")+COUNTIFS(구역19!H4:H73,"*교회차*",구역19!E4:E73,"*"&amp;$B31&amp;"*"))</f>
        <v/>
      </c>
      <c r="E22" s="32">
        <f>IF(COUNTIFS(구역19!G4:G73,"교회차1",구역19!E4:E73,"*"&amp;$B31&amp;"*")+COUNTIFS(구역19!G4:G73,"교회차2",구역19!E4:E73,"*"&amp;$B31&amp;"*")+COUNTIFS(구역19!G4:G73,"교회차3",구역19!E4:E73,"*"&amp;$B31&amp;"*")+COUNTIFS(구역19!G4:G73,"교회차4",구역19!E4:E73,"*"&amp;$B31&amp;"*")+COUNTIFS(구역19!G4:G73,"교회차5",구역19!E4:E73,"*"&amp;$B31&amp;"*")+COUNTIFS(구역19!J4:J73,"*교회차*",구역19!E4:E73,"*"&amp;$B31&amp;"*")=0,"",COUNTIFS(구역19!G4:G73,"교회차1",구역19!E4:E73,"*"&amp;$B31&amp;"*")+COUNTIFS(구역19!G4:G73,"교회차2",구역19!E4:E73,"*"&amp;$B31&amp;"*")+COUNTIFS(구역19!G4:G73,"교회차3",구역19!E4:E73,"*"&amp;$B31&amp;"*")+COUNTIFS(구역19!G4:G73,"교회차4",구역19!E4:E73,"*"&amp;$B31&amp;"*")+COUNTIFS(구역19!G4:G73,"교회차5",구역19!E4:E73,"*"&amp;$B31&amp;"*")+COUNTIFS(구역19!J4:J73,"*교회차*",구역19!E4:E73,"*"&amp;$B31&amp;"*"))</f>
        <v/>
      </c>
      <c r="F22" s="32">
        <f>IF(COUNTIFS(구역19!F4:F73,"타교회",구역19!E4:E73,"*"&amp;$B31&amp;"*")+COUNTIFS(구역19!H4:H73,"*타교회*",구역19!E4:E73,"*"&amp;$B31&amp;"*")=0,"",COUNTIFS(구역19!F4:F73,"타교회",구역19!E4:E73,"*"&amp;$B31&amp;"*")+COUNTIFS(구역19!H4:H73,"*타교회*",구역19!E4:E73,"*"&amp;$B31&amp;"*"))</f>
        <v/>
      </c>
      <c r="G22" s="32">
        <f>IF(COUNTIFS(구역19!G4:G73,"타교회",구역19!E4:E73,"*"&amp;$B31&amp;"*")+COUNTIFS(구역19!J4:J73,"*타교회*",구역19!E4:E73,"*"&amp;$B31&amp;"*")=0,"",COUNTIFS(구역19!G4:G73,"타교회",구역19!E4:E73,"*"&amp;$B31&amp;"*")+COUNTIFS(구역19!J4:J73,"*타교회*",구역19!E4:E73,"*"&amp;$B31&amp;"*"))</f>
        <v/>
      </c>
      <c r="H22" s="32">
        <f>IF(COUNTIFS(구역19!F4:F73,"개인차",구역19!E4:E73,"*"&amp;$B31&amp;"*")+(COUNTIFS(구역19!H4:H73,"?*",구역19!E4:E73,"*"&amp;$B31&amp;"*")-COUNTIFS(구역19!H4:H73,"*교회차*",구역19!E4:E73,"*"&amp;$B31&amp;"*")-COUNTIFS(구역19!H4:H73,"*타교회*",구역19!E4:E73,"*"&amp;$B31&amp;"*")-COUNTIFS(구역19!H4:H73,"*대중교통*",구역19!E4:E73,"*"&amp;$B31&amp;"*"))=0,"",COUNTIFS(구역19!F4:F73,"개인차",구역19!E4:E73,"*"&amp;$B31&amp;"*")+(COUNTIFS(구역19!H4:H73,"?*",구역19!E4:E73,"*"&amp;$B31&amp;"*")-COUNTIFS(구역19!H4:H73,"*교회차*",구역19!E4:E73,"*"&amp;$B31&amp;"*")-COUNTIFS(구역19!H4:H73,"*타교회*",구역19!E4:E73,"*"&amp;$B31&amp;"*")-COUNTIFS(구역19!H4:H73,"*대중교통*",구역19!E4:E73,"*"&amp;$B31&amp;"*")))</f>
        <v/>
      </c>
      <c r="I22" s="32">
        <f>IF(COUNTIFS(구역19!G4:G73,"개인차",구역19!E4:E73,"*"&amp;$B31&amp;"*")+(COUNTIFS(구역19!J4:J73,"?*",구역19!E4:E73,"*"&amp;$B31&amp;"*")-COUNTIFS(구역19!J4:J73,"*교회차*",구역19!E4:E73,"*"&amp;$B31&amp;"*")-COUNTIFS(구역19!J4:J73,"*타교회*",구역19!E4:E73,"*"&amp;$B31&amp;"*")-COUNTIFS(구역19!J4:J73,"*대중교통*",구역19!E4:E73,"*"&amp;$B31&amp;"*"))=0,"",COUNTIFS(구역19!G4:G73,"개인차",구역19!E4:E73,"*"&amp;$B31&amp;"*")+(COUNTIFS(구역19!J4:J73,"?*",구역19!E4:E73,"*"&amp;$B31&amp;"*")-COUNTIFS(구역19!J4:J73,"*교회차*",구역19!E4:E73,"*"&amp;$B31&amp;"*")-COUNTIFS(구역19!J4:J73,"*타교회*",구역19!E4:E73,"*"&amp;$B31&amp;"*")-COUNTIFS(구역19!J4:J73,"*대중교통*",구역19!E4:E73,"*"&amp;$B31&amp;"*")))</f>
        <v/>
      </c>
      <c r="J22" s="32">
        <f>IF(COUNTIFS(구역19!F4:F73,"대중교통",구역19!E4:E73,"*"&amp;$B31&amp;"*")+COUNTIFS(구역19!H4:H73,"*대중교통*",구역19!E4:E73,"*"&amp;$B31&amp;"*")=0,"",COUNTIFS(구역19!F4:F73,"대중교통",구역19!E4:E73,"*"&amp;$B31&amp;"*")+COUNTIFS(구역19!H4:H73,"*대중교통*",구역19!E4:E73,"*"&amp;$B31&amp;"*"))</f>
        <v/>
      </c>
      <c r="K22" s="32">
        <f>IF(COUNTIFS(구역19!G4:G73,"대중교통",구역19!E4:E73,"*"&amp;$B31&amp;"*")+COUNTIFS(구역19!J4:J73,"*대중교통*",구역19!E4:E73,"*"&amp;$B31&amp;"*")=0,"",COUNTIFS(구역19!G4:G73,"대중교통",구역19!E4:E73,"*"&amp;$B31&amp;"*")+COUNTIFS(구역19!J4:J73,"*대중교통*",구역19!E4:E73,"*"&amp;$B31&amp;"*"))</f>
        <v/>
      </c>
      <c r="L22" s="42">
        <f>IF(SUM(B22,D22,F22,H22,J22)=0,"",SUM(B22,D22,F22,H22,J22))</f>
        <v/>
      </c>
      <c r="M22" s="81" t="n"/>
      <c r="N22" s="81" t="n"/>
    </row>
    <row r="23">
      <c r="A23" s="32" t="inlineStr">
        <is>
          <t>구역20</t>
        </is>
      </c>
      <c r="B23" s="32">
        <f>IF(COUNTIFS(구역20!F4:F73,"1호차",구역20!E4:E73,"*"&amp;$B31&amp;"*")+COUNTIFS(구역20!F4:F73,"2호차",구역20!E4:E73,"*"&amp;$B31&amp;"*")+COUNTIFS(구역20!F4:F73,"3호차",구역20!E4:E73,"*"&amp;$B31&amp;"*")+COUNTIFS(구역20!F4:F73,"4호차",구역20!E4:E73,"*"&amp;$B31&amp;"*")+COUNTIFS(구역20!F4:F73,"5호차",구역20!E4:E73,"*"&amp;$B31&amp;"*")+COUNTIFS(구역20!F4:F73,"6호차",구역20!E4:E73,"*"&amp;$B31&amp;"*")+COUNTIFS(구역20!F4:F73,"7호차",구역20!E4:E73,"*"&amp;$B31&amp;"*")+COUNTIFS(구역20!F4:F73,"8호차",구역20!E4:E73,"*"&amp;$B31&amp;"*")+COUNTIFS(구역20!F4:F73,"9호차",구역20!E4:E73,"*"&amp;$B31&amp;"*")+COUNTIFS(구역20!F4:F73,"10호차",구역20!E4:E73,"*"&amp;$B31&amp;"*")=0,"",COUNTIFS(구역20!F4:F73,"1호차",구역20!E4:E73,"*"&amp;$B31&amp;"*")+COUNTIFS(구역20!F4:F73,"2호차",구역20!E4:E73,"*"&amp;$B31&amp;"*")+COUNTIFS(구역20!F4:F73,"3호차",구역20!E4:E73,"*"&amp;$B31&amp;"*")+COUNTIFS(구역20!F4:F73,"4호차",구역20!E4:E73,"*"&amp;$B31&amp;"*")+COUNTIFS(구역20!F4:F73,"5호차",구역20!E4:E73,"*"&amp;$B31&amp;"*")+COUNTIFS(구역20!F4:F73,"6호차",구역20!E4:E73,"*"&amp;$B31&amp;"*")+COUNTIFS(구역20!F4:F73,"7호차",구역20!E4:E73,"*"&amp;$B31&amp;"*")+COUNTIFS(구역20!F4:F73,"8호차",구역20!E4:E73,"*"&amp;$B31&amp;"*")+COUNTIFS(구역20!F4:F73,"9호차",구역20!E4:E73,"*"&amp;$B31&amp;"*")+COUNTIFS(구역20!F4:F73,"10호차",구역20!E4:E73,"*"&amp;$B31&amp;"*"))</f>
        <v/>
      </c>
      <c r="C23" s="32">
        <f>IF(COUNTIFS(구역20!G4:G73,"1호차",구역20!E4:E73,"*"&amp;$B31&amp;"*")+COUNTIFS(구역20!G4:G73,"2호차",구역20!E4:E73,"*"&amp;$B31&amp;"*")+COUNTIFS(구역20!G4:G73,"3호차",구역20!E4:E73,"*"&amp;$B31&amp;"*")+COUNTIFS(구역20!G4:G73,"4호차",구역20!E4:E73,"*"&amp;$B31&amp;"*")+COUNTIFS(구역20!G4:G73,"5호차",구역20!E4:E73,"*"&amp;$B31&amp;"*")+COUNTIFS(구역20!G4:G73,"6호차",구역20!E4:E73,"*"&amp;$B31&amp;"*")+COUNTIFS(구역20!G4:G73,"7호차",구역20!E4:E73,"*"&amp;$B31&amp;"*")+COUNTIFS(구역20!G4:G73,"8호차",구역20!E4:E73,"*"&amp;$B31&amp;"*")+COUNTIFS(구역20!G4:G73,"9호차",구역20!E4:E73,"*"&amp;$B31&amp;"*")+COUNTIFS(구역20!G4:G73,"10호차",구역20!E4:E73,"*"&amp;$B31&amp;"*")=0,"",COUNTIFS(구역20!G4:G73,"1호차",구역20!E4:E73,"*"&amp;$B31&amp;"*")+COUNTIFS(구역20!G4:G73,"2호차",구역20!E4:E73,"*"&amp;$B31&amp;"*")+COUNTIFS(구역20!G4:G73,"3호차",구역20!E4:E73,"*"&amp;$B31&amp;"*")+COUNTIFS(구역20!G4:G73,"4호차",구역20!E4:E73,"*"&amp;$B31&amp;"*")+COUNTIFS(구역20!G4:G73,"5호차",구역20!E4:E73,"*"&amp;$B31&amp;"*")+COUNTIFS(구역20!G4:G73,"6호차",구역20!E4:E73,"*"&amp;$B31&amp;"*")+COUNTIFS(구역20!G4:G73,"7호차",구역20!E4:E73,"*"&amp;$B31&amp;"*")+COUNTIFS(구역20!G4:G73,"8호차",구역20!E4:E73,"*"&amp;$B31&amp;"*")+COUNTIFS(구역20!G4:G73,"9호차",구역20!E4:E73,"*"&amp;$B31&amp;"*")+COUNTIFS(구역20!G4:G73,"10호차",구역20!E4:E73,"*"&amp;$B31&amp;"*"))</f>
        <v/>
      </c>
      <c r="D23" s="32">
        <f>IF(COUNTIFS(구역20!F4:F73,"교회차1",구역20!E4:E73,"*"&amp;$B31&amp;"*")+COUNTIFS(구역20!F4:F73,"교회차2",구역20!E4:E73,"*"&amp;$B31&amp;"*")+COUNTIFS(구역20!F4:F73,"교회차3",구역20!E4:E73,"*"&amp;$B31&amp;"*")+COUNTIFS(구역20!F4:F73,"교회차4",구역20!E4:E73,"*"&amp;$B31&amp;"*")+COUNTIFS(구역20!F4:F73,"교회차5",구역20!E4:E73,"*"&amp;$B31&amp;"*")+COUNTIFS(구역20!H4:H73,"*교회차*",구역20!E4:E73,"*"&amp;$B31&amp;"*")=0,"",COUNTIFS(구역20!F4:F73,"교회차1",구역20!E4:E73,"*"&amp;$B31&amp;"*")+COUNTIFS(구역20!F4:F73,"교회차2",구역20!E4:E73,"*"&amp;$B31&amp;"*")+COUNTIFS(구역20!F4:F73,"교회차3",구역20!E4:E73,"*"&amp;$B31&amp;"*")+COUNTIFS(구역20!F4:F73,"교회차4",구역20!E4:E73,"*"&amp;$B31&amp;"*")+COUNTIFS(구역20!F4:F73,"교회차5",구역20!E4:E73,"*"&amp;$B31&amp;"*")+COUNTIFS(구역20!H4:H73,"*교회차*",구역20!E4:E73,"*"&amp;$B31&amp;"*"))</f>
        <v/>
      </c>
      <c r="E23" s="32">
        <f>IF(COUNTIFS(구역20!G4:G73,"교회차1",구역20!E4:E73,"*"&amp;$B31&amp;"*")+COUNTIFS(구역20!G4:G73,"교회차2",구역20!E4:E73,"*"&amp;$B31&amp;"*")+COUNTIFS(구역20!G4:G73,"교회차3",구역20!E4:E73,"*"&amp;$B31&amp;"*")+COUNTIFS(구역20!G4:G73,"교회차4",구역20!E4:E73,"*"&amp;$B31&amp;"*")+COUNTIFS(구역20!G4:G73,"교회차5",구역20!E4:E73,"*"&amp;$B31&amp;"*")+COUNTIFS(구역20!J4:J73,"*교회차*",구역20!E4:E73,"*"&amp;$B31&amp;"*")=0,"",COUNTIFS(구역20!G4:G73,"교회차1",구역20!E4:E73,"*"&amp;$B31&amp;"*")+COUNTIFS(구역20!G4:G73,"교회차2",구역20!E4:E73,"*"&amp;$B31&amp;"*")+COUNTIFS(구역20!G4:G73,"교회차3",구역20!E4:E73,"*"&amp;$B31&amp;"*")+COUNTIFS(구역20!G4:G73,"교회차4",구역20!E4:E73,"*"&amp;$B31&amp;"*")+COUNTIFS(구역20!G4:G73,"교회차5",구역20!E4:E73,"*"&amp;$B31&amp;"*")+COUNTIFS(구역20!J4:J73,"*교회차*",구역20!E4:E73,"*"&amp;$B31&amp;"*"))</f>
        <v/>
      </c>
      <c r="F23" s="32">
        <f>IF(COUNTIFS(구역20!F4:F73,"타교회",구역20!E4:E73,"*"&amp;$B31&amp;"*")+COUNTIFS(구역20!H4:H73,"*타교회*",구역20!E4:E73,"*"&amp;$B31&amp;"*")=0,"",COUNTIFS(구역20!F4:F73,"타교회",구역20!E4:E73,"*"&amp;$B31&amp;"*")+COUNTIFS(구역20!H4:H73,"*타교회*",구역20!E4:E73,"*"&amp;$B31&amp;"*"))</f>
        <v/>
      </c>
      <c r="G23" s="32">
        <f>IF(COUNTIFS(구역20!G4:G73,"타교회",구역20!E4:E73,"*"&amp;$B31&amp;"*")+COUNTIFS(구역20!J4:J73,"*타교회*",구역20!E4:E73,"*"&amp;$B31&amp;"*")=0,"",COUNTIFS(구역20!G4:G73,"타교회",구역20!E4:E73,"*"&amp;$B31&amp;"*")+COUNTIFS(구역20!J4:J73,"*타교회*",구역20!E4:E73,"*"&amp;$B31&amp;"*"))</f>
        <v/>
      </c>
      <c r="H23" s="32">
        <f>IF(COUNTIFS(구역20!F4:F73,"개인차",구역20!E4:E73,"*"&amp;$B31&amp;"*")+(COUNTIFS(구역20!H4:H73,"?*",구역20!E4:E73,"*"&amp;$B31&amp;"*")-COUNTIFS(구역20!H4:H73,"*교회차*",구역20!E4:E73,"*"&amp;$B31&amp;"*")-COUNTIFS(구역20!H4:H73,"*타교회*",구역20!E4:E73,"*"&amp;$B31&amp;"*")-COUNTIFS(구역20!H4:H73,"*대중교통*",구역20!E4:E73,"*"&amp;$B31&amp;"*"))=0,"",COUNTIFS(구역20!F4:F73,"개인차",구역20!E4:E73,"*"&amp;$B31&amp;"*")+(COUNTIFS(구역20!H4:H73,"?*",구역20!E4:E73,"*"&amp;$B31&amp;"*")-COUNTIFS(구역20!H4:H73,"*교회차*",구역20!E4:E73,"*"&amp;$B31&amp;"*")-COUNTIFS(구역20!H4:H73,"*타교회*",구역20!E4:E73,"*"&amp;$B31&amp;"*")-COUNTIFS(구역20!H4:H73,"*대중교통*",구역20!E4:E73,"*"&amp;$B31&amp;"*")))</f>
        <v/>
      </c>
      <c r="I23" s="32">
        <f>IF(COUNTIFS(구역20!G4:G73,"개인차",구역20!E4:E73,"*"&amp;$B31&amp;"*")+(COUNTIFS(구역20!J4:J73,"?*",구역20!E4:E73,"*"&amp;$B31&amp;"*")-COUNTIFS(구역20!J4:J73,"*교회차*",구역20!E4:E73,"*"&amp;$B31&amp;"*")-COUNTIFS(구역20!J4:J73,"*타교회*",구역20!E4:E73,"*"&amp;$B31&amp;"*")-COUNTIFS(구역20!J4:J73,"*대중교통*",구역20!E4:E73,"*"&amp;$B31&amp;"*"))=0,"",COUNTIFS(구역20!G4:G73,"개인차",구역20!E4:E73,"*"&amp;$B31&amp;"*")+(COUNTIFS(구역20!J4:J73,"?*",구역20!E4:E73,"*"&amp;$B31&amp;"*")-COUNTIFS(구역20!J4:J73,"*교회차*",구역20!E4:E73,"*"&amp;$B31&amp;"*")-COUNTIFS(구역20!J4:J73,"*타교회*",구역20!E4:E73,"*"&amp;$B31&amp;"*")-COUNTIFS(구역20!J4:J73,"*대중교통*",구역20!E4:E73,"*"&amp;$B31&amp;"*")))</f>
        <v/>
      </c>
      <c r="J23" s="32">
        <f>IF(COUNTIFS(구역20!F4:F73,"대중교통",구역20!E4:E73,"*"&amp;$B31&amp;"*")+COUNTIFS(구역20!H4:H73,"*대중교통*",구역20!E4:E73,"*"&amp;$B31&amp;"*")=0,"",COUNTIFS(구역20!F4:F73,"대중교통",구역20!E4:E73,"*"&amp;$B31&amp;"*")+COUNTIFS(구역20!H4:H73,"*대중교통*",구역20!E4:E73,"*"&amp;$B31&amp;"*"))</f>
        <v/>
      </c>
      <c r="K23" s="32">
        <f>IF(COUNTIFS(구역20!G4:G73,"대중교통",구역20!E4:E73,"*"&amp;$B31&amp;"*")+COUNTIFS(구역20!J4:J73,"*대중교통*",구역20!E4:E73,"*"&amp;$B31&amp;"*")=0,"",COUNTIFS(구역20!G4:G73,"대중교통",구역20!E4:E73,"*"&amp;$B31&amp;"*")+COUNTIFS(구역20!J4:J73,"*대중교통*",구역20!E4:E73,"*"&amp;$B31&amp;"*"))</f>
        <v/>
      </c>
      <c r="L23" s="42">
        <f>IF(SUM(B23,D23,F23,H23,J23)=0,"",SUM(B23,D23,F23,H23,J23))</f>
        <v/>
      </c>
      <c r="M23" s="81" t="n"/>
      <c r="N23" s="81" t="n"/>
    </row>
    <row r="24" ht="20" customHeight="1" s="33">
      <c r="A24" s="86" t="inlineStr">
        <is>
          <t>합  계</t>
        </is>
      </c>
      <c r="B24" s="86">
        <f>IF(SUM(B4:B23)=0,"",SUM(B4:B23))</f>
        <v/>
      </c>
      <c r="C24" s="86">
        <f>IF(SUM(C4:C23)=0,"",SUM(C4:C23))</f>
        <v/>
      </c>
      <c r="D24" s="86">
        <f>IF(SUM(D4:D23)=0,"",SUM(D4:D23))</f>
        <v/>
      </c>
      <c r="E24" s="86">
        <f>IF(SUM(E4:E23)=0,"",SUM(E4:E23))</f>
        <v/>
      </c>
      <c r="F24" s="86">
        <f>IF(SUM(F4:F23)=0,"",SUM(F4:F23))</f>
        <v/>
      </c>
      <c r="G24" s="86">
        <f>IF(SUM(G4:G23)=0,"",SUM(G4:G23))</f>
        <v/>
      </c>
      <c r="H24" s="86">
        <f>IF(SUM(H4:H23)=0,"",SUM(H4:H23))</f>
        <v/>
      </c>
      <c r="I24" s="86">
        <f>IF(SUM(I4:I23)=0,"",SUM(I4:I23))</f>
        <v/>
      </c>
      <c r="J24" s="86">
        <f>IF(SUM(J4:J23)=0,"",SUM(J4:J23))</f>
        <v/>
      </c>
      <c r="K24" s="86">
        <f>IF(SUM(K4:K23)=0,"",SUM(K4:K23))</f>
        <v/>
      </c>
      <c r="L24" s="86">
        <f>IF(SUM(L4:L23)=0,"",SUM(L4:L23))</f>
        <v/>
      </c>
      <c r="M24" s="81" t="n"/>
      <c r="N24" s="81" t="n"/>
    </row>
    <row r="25">
      <c r="M25" s="81" t="n"/>
      <c r="N25" s="81" t="n"/>
    </row>
    <row r="26" ht="22" customHeight="1" s="33">
      <c r="A26" s="71" t="inlineStr">
        <is>
          <t>차수별 접수인원</t>
        </is>
      </c>
      <c r="M26" s="81" t="n"/>
      <c r="N26" s="81" t="n"/>
    </row>
    <row r="27" ht="20" customHeight="1" s="33">
      <c r="A27" s="72" t="inlineStr">
        <is>
          <t>차수</t>
        </is>
      </c>
      <c r="B27" s="72" t="inlineStr">
        <is>
          <t>1차</t>
        </is>
      </c>
      <c r="C27" s="72" t="inlineStr">
        <is>
          <t>2차</t>
        </is>
      </c>
      <c r="D27" s="72" t="inlineStr">
        <is>
          <t>3차</t>
        </is>
      </c>
      <c r="E27" s="72" t="inlineStr">
        <is>
          <t>4차</t>
        </is>
      </c>
      <c r="F27" s="72" t="inlineStr">
        <is>
          <t>5차</t>
        </is>
      </c>
      <c r="G27" s="72" t="inlineStr">
        <is>
          <t>6차</t>
        </is>
      </c>
      <c r="H27" s="72" t="inlineStr">
        <is>
          <t>7차</t>
        </is>
      </c>
      <c r="I27" s="72" t="inlineStr">
        <is>
          <t>8차</t>
        </is>
      </c>
      <c r="J27" s="72" t="inlineStr">
        <is>
          <t>계</t>
        </is>
      </c>
      <c r="M27" s="81" t="n"/>
      <c r="N27" s="81" t="n"/>
    </row>
    <row r="28" ht="20" customHeight="1" s="33">
      <c r="A28" s="72" t="inlineStr">
        <is>
          <t>접수인원</t>
        </is>
      </c>
      <c r="B28" s="73">
        <f>IF(COUNTIF(구역1!E4:E73,"*1차*")+COUNTIF(구역2!E4:E73,"*1차*")+COUNTIF(구역3!E4:E73,"*1차*")+COUNTIF(구역4!E4:E73,"*1차*")+COUNTIF(구역5!E4:E73,"*1차*")+COUNTIF(구역6!E4:E73,"*1차*")+COUNTIF(구역7!E4:E73,"*1차*")+COUNTIF(구역8!E4:E73,"*1차*")+COUNTIF(구역9!E4:E73,"*1차*")+COUNTIF(구역10!E4:E73,"*1차*")+COUNTIF(구역11!E4:E73,"*1차*")+COUNTIF(구역12!E4:E73,"*1차*")+COUNTIF(구역13!E4:E73,"*1차*")+COUNTIF(구역14!E4:E73,"*1차*")+COUNTIF(구역15!E4:E73,"*1차*")+COUNTIF(구역16!E4:E73,"*1차*")+COUNTIF(구역17!E4:E73,"*1차*")+COUNTIF(구역18!E4:E73,"*1차*")+COUNTIF(구역19!E4:E73,"*1차*")+COUNTIF(구역20!E4:E73,"*1차*")=0,"",COUNTIF(구역1!E4:E73,"*1차*")+COUNTIF(구역2!E4:E73,"*1차*")+COUNTIF(구역3!E4:E73,"*1차*")+COUNTIF(구역4!E4:E73,"*1차*")+COUNTIF(구역5!E4:E73,"*1차*")+COUNTIF(구역6!E4:E73,"*1차*")+COUNTIF(구역7!E4:E73,"*1차*")+COUNTIF(구역8!E4:E73,"*1차*")+COUNTIF(구역9!E4:E73,"*1차*")+COUNTIF(구역10!E4:E73,"*1차*")+COUNTIF(구역11!E4:E73,"*1차*")+COUNTIF(구역12!E4:E73,"*1차*")+COUNTIF(구역13!E4:E73,"*1차*")+COUNTIF(구역14!E4:E73,"*1차*")+COUNTIF(구역15!E4:E73,"*1차*")+COUNTIF(구역16!E4:E73,"*1차*")+COUNTIF(구역17!E4:E73,"*1차*")+COUNTIF(구역18!E4:E73,"*1차*")+COUNTIF(구역19!E4:E73,"*1차*")+COUNTIF(구역20!E4:E73,"*1차*"))</f>
        <v/>
      </c>
      <c r="C28" s="73">
        <f>IF(COUNTIF(구역1!E4:E73,"*2차*")+COUNTIF(구역2!E4:E73,"*2차*")+COUNTIF(구역3!E4:E73,"*2차*")+COUNTIF(구역4!E4:E73,"*2차*")+COUNTIF(구역5!E4:E73,"*2차*")+COUNTIF(구역6!E4:E73,"*2차*")+COUNTIF(구역7!E4:E73,"*2차*")+COUNTIF(구역8!E4:E73,"*2차*")+COUNTIF(구역9!E4:E73,"*2차*")+COUNTIF(구역10!E4:E73,"*2차*")+COUNTIF(구역11!E4:E73,"*2차*")+COUNTIF(구역12!E4:E73,"*2차*")+COUNTIF(구역13!E4:E73,"*2차*")+COUNTIF(구역14!E4:E73,"*2차*")+COUNTIF(구역15!E4:E73,"*2차*")+COUNTIF(구역16!E4:E73,"*2차*")+COUNTIF(구역17!E4:E73,"*2차*")+COUNTIF(구역18!E4:E73,"*2차*")+COUNTIF(구역19!E4:E73,"*2차*")+COUNTIF(구역20!E4:E73,"*2차*")=0,"",COUNTIF(구역1!E4:E73,"*2차*")+COUNTIF(구역2!E4:E73,"*2차*")+COUNTIF(구역3!E4:E73,"*2차*")+COUNTIF(구역4!E4:E73,"*2차*")+COUNTIF(구역5!E4:E73,"*2차*")+COUNTIF(구역6!E4:E73,"*2차*")+COUNTIF(구역7!E4:E73,"*2차*")+COUNTIF(구역8!E4:E73,"*2차*")+COUNTIF(구역9!E4:E73,"*2차*")+COUNTIF(구역10!E4:E73,"*2차*")+COUNTIF(구역11!E4:E73,"*2차*")+COUNTIF(구역12!E4:E73,"*2차*")+COUNTIF(구역13!E4:E73,"*2차*")+COUNTIF(구역14!E4:E73,"*2차*")+COUNTIF(구역15!E4:E73,"*2차*")+COUNTIF(구역16!E4:E73,"*2차*")+COUNTIF(구역17!E4:E73,"*2차*")+COUNTIF(구역18!E4:E73,"*2차*")+COUNTIF(구역19!E4:E73,"*2차*")+COUNTIF(구역20!E4:E73,"*2차*"))</f>
        <v/>
      </c>
      <c r="D28" s="73">
        <f>IF(COUNTIF(구역1!E4:E73,"*3차*")+COUNTIF(구역2!E4:E73,"*3차*")+COUNTIF(구역3!E4:E73,"*3차*")+COUNTIF(구역4!E4:E73,"*3차*")+COUNTIF(구역5!E4:E73,"*3차*")+COUNTIF(구역6!E4:E73,"*3차*")+COUNTIF(구역7!E4:E73,"*3차*")+COUNTIF(구역8!E4:E73,"*3차*")+COUNTIF(구역9!E4:E73,"*3차*")+COUNTIF(구역10!E4:E73,"*3차*")+COUNTIF(구역11!E4:E73,"*3차*")+COUNTIF(구역12!E4:E73,"*3차*")+COUNTIF(구역13!E4:E73,"*3차*")+COUNTIF(구역14!E4:E73,"*3차*")+COUNTIF(구역15!E4:E73,"*3차*")+COUNTIF(구역16!E4:E73,"*3차*")+COUNTIF(구역17!E4:E73,"*3차*")+COUNTIF(구역18!E4:E73,"*3차*")+COUNTIF(구역19!E4:E73,"*3차*")+COUNTIF(구역20!E4:E73,"*3차*")=0,"",COUNTIF(구역1!E4:E73,"*3차*")+COUNTIF(구역2!E4:E73,"*3차*")+COUNTIF(구역3!E4:E73,"*3차*")+COUNTIF(구역4!E4:E73,"*3차*")+COUNTIF(구역5!E4:E73,"*3차*")+COUNTIF(구역6!E4:E73,"*3차*")+COUNTIF(구역7!E4:E73,"*3차*")+COUNTIF(구역8!E4:E73,"*3차*")+COUNTIF(구역9!E4:E73,"*3차*")+COUNTIF(구역10!E4:E73,"*3차*")+COUNTIF(구역11!E4:E73,"*3차*")+COUNTIF(구역12!E4:E73,"*3차*")+COUNTIF(구역13!E4:E73,"*3차*")+COUNTIF(구역14!E4:E73,"*3차*")+COUNTIF(구역15!E4:E73,"*3차*")+COUNTIF(구역16!E4:E73,"*3차*")+COUNTIF(구역17!E4:E73,"*3차*")+COUNTIF(구역18!E4:E73,"*3차*")+COUNTIF(구역19!E4:E73,"*3차*")+COUNTIF(구역20!E4:E73,"*3차*"))</f>
        <v/>
      </c>
      <c r="E28" s="73">
        <f>IF(COUNTIF(구역1!E4:E73,"*4차*")+COUNTIF(구역2!E4:E73,"*4차*")+COUNTIF(구역3!E4:E73,"*4차*")+COUNTIF(구역4!E4:E73,"*4차*")+COUNTIF(구역5!E4:E73,"*4차*")+COUNTIF(구역6!E4:E73,"*4차*")+COUNTIF(구역7!E4:E73,"*4차*")+COUNTIF(구역8!E4:E73,"*4차*")+COUNTIF(구역9!E4:E73,"*4차*")+COUNTIF(구역10!E4:E73,"*4차*")+COUNTIF(구역11!E4:E73,"*4차*")+COUNTIF(구역12!E4:E73,"*4차*")+COUNTIF(구역13!E4:E73,"*4차*")+COUNTIF(구역14!E4:E73,"*4차*")+COUNTIF(구역15!E4:E73,"*4차*")+COUNTIF(구역16!E4:E73,"*4차*")+COUNTIF(구역17!E4:E73,"*4차*")+COUNTIF(구역18!E4:E73,"*4차*")+COUNTIF(구역19!E4:E73,"*4차*")+COUNTIF(구역20!E4:E73,"*4차*")=0,"",COUNTIF(구역1!E4:E73,"*4차*")+COUNTIF(구역2!E4:E73,"*4차*")+COUNTIF(구역3!E4:E73,"*4차*")+COUNTIF(구역4!E4:E73,"*4차*")+COUNTIF(구역5!E4:E73,"*4차*")+COUNTIF(구역6!E4:E73,"*4차*")+COUNTIF(구역7!E4:E73,"*4차*")+COUNTIF(구역8!E4:E73,"*4차*")+COUNTIF(구역9!E4:E73,"*4차*")+COUNTIF(구역10!E4:E73,"*4차*")+COUNTIF(구역11!E4:E73,"*4차*")+COUNTIF(구역12!E4:E73,"*4차*")+COUNTIF(구역13!E4:E73,"*4차*")+COUNTIF(구역14!E4:E73,"*4차*")+COUNTIF(구역15!E4:E73,"*4차*")+COUNTIF(구역16!E4:E73,"*4차*")+COUNTIF(구역17!E4:E73,"*4차*")+COUNTIF(구역18!E4:E73,"*4차*")+COUNTIF(구역19!E4:E73,"*4차*")+COUNTIF(구역20!E4:E73,"*4차*"))</f>
        <v/>
      </c>
      <c r="F28" s="73">
        <f>IF(COUNTIF(구역1!E4:E73,"*5차*")+COUNTIF(구역2!E4:E73,"*5차*")+COUNTIF(구역3!E4:E73,"*5차*")+COUNTIF(구역4!E4:E73,"*5차*")+COUNTIF(구역5!E4:E73,"*5차*")+COUNTIF(구역6!E4:E73,"*5차*")+COUNTIF(구역7!E4:E73,"*5차*")+COUNTIF(구역8!E4:E73,"*5차*")+COUNTIF(구역9!E4:E73,"*5차*")+COUNTIF(구역10!E4:E73,"*5차*")+COUNTIF(구역11!E4:E73,"*5차*")+COUNTIF(구역12!E4:E73,"*5차*")+COUNTIF(구역13!E4:E73,"*5차*")+COUNTIF(구역14!E4:E73,"*5차*")+COUNTIF(구역15!E4:E73,"*5차*")+COUNTIF(구역16!E4:E73,"*5차*")+COUNTIF(구역17!E4:E73,"*5차*")+COUNTIF(구역18!E4:E73,"*5차*")+COUNTIF(구역19!E4:E73,"*5차*")+COUNTIF(구역20!E4:E73,"*5차*")=0,"",COUNTIF(구역1!E4:E73,"*5차*")+COUNTIF(구역2!E4:E73,"*5차*")+COUNTIF(구역3!E4:E73,"*5차*")+COUNTIF(구역4!E4:E73,"*5차*")+COUNTIF(구역5!E4:E73,"*5차*")+COUNTIF(구역6!E4:E73,"*5차*")+COUNTIF(구역7!E4:E73,"*5차*")+COUNTIF(구역8!E4:E73,"*5차*")+COUNTIF(구역9!E4:E73,"*5차*")+COUNTIF(구역10!E4:E73,"*5차*")+COUNTIF(구역11!E4:E73,"*5차*")+COUNTIF(구역12!E4:E73,"*5차*")+COUNTIF(구역13!E4:E73,"*5차*")+COUNTIF(구역14!E4:E73,"*5차*")+COUNTIF(구역15!E4:E73,"*5차*")+COUNTIF(구역16!E4:E73,"*5차*")+COUNTIF(구역17!E4:E73,"*5차*")+COUNTIF(구역18!E4:E73,"*5차*")+COUNTIF(구역19!E4:E73,"*5차*")+COUNTIF(구역20!E4:E73,"*5차*"))</f>
        <v/>
      </c>
      <c r="G28" s="73">
        <f>IF(COUNTIF(구역1!E4:E73,"*6차*")+COUNTIF(구역2!E4:E73,"*6차*")+COUNTIF(구역3!E4:E73,"*6차*")+COUNTIF(구역4!E4:E73,"*6차*")+COUNTIF(구역5!E4:E73,"*6차*")+COUNTIF(구역6!E4:E73,"*6차*")+COUNTIF(구역7!E4:E73,"*6차*")+COUNTIF(구역8!E4:E73,"*6차*")+COUNTIF(구역9!E4:E73,"*6차*")+COUNTIF(구역10!E4:E73,"*6차*")+COUNTIF(구역11!E4:E73,"*6차*")+COUNTIF(구역12!E4:E73,"*6차*")+COUNTIF(구역13!E4:E73,"*6차*")+COUNTIF(구역14!E4:E73,"*6차*")+COUNTIF(구역15!E4:E73,"*6차*")+COUNTIF(구역16!E4:E73,"*6차*")+COUNTIF(구역17!E4:E73,"*6차*")+COUNTIF(구역18!E4:E73,"*6차*")+COUNTIF(구역19!E4:E73,"*6차*")+COUNTIF(구역20!E4:E73,"*6차*")=0,"",COUNTIF(구역1!E4:E73,"*6차*")+COUNTIF(구역2!E4:E73,"*6차*")+COUNTIF(구역3!E4:E73,"*6차*")+COUNTIF(구역4!E4:E73,"*6차*")+COUNTIF(구역5!E4:E73,"*6차*")+COUNTIF(구역6!E4:E73,"*6차*")+COUNTIF(구역7!E4:E73,"*6차*")+COUNTIF(구역8!E4:E73,"*6차*")+COUNTIF(구역9!E4:E73,"*6차*")+COUNTIF(구역10!E4:E73,"*6차*")+COUNTIF(구역11!E4:E73,"*6차*")+COUNTIF(구역12!E4:E73,"*6차*")+COUNTIF(구역13!E4:E73,"*6차*")+COUNTIF(구역14!E4:E73,"*6차*")+COUNTIF(구역15!E4:E73,"*6차*")+COUNTIF(구역16!E4:E73,"*6차*")+COUNTIF(구역17!E4:E73,"*6차*")+COUNTIF(구역18!E4:E73,"*6차*")+COUNTIF(구역19!E4:E73,"*6차*")+COUNTIF(구역20!E4:E73,"*6차*"))</f>
        <v/>
      </c>
      <c r="H28" s="73">
        <f>IF(COUNTIF(구역1!E4:E73,"*7차*")+COUNTIF(구역2!E4:E73,"*7차*")+COUNTIF(구역3!E4:E73,"*7차*")+COUNTIF(구역4!E4:E73,"*7차*")+COUNTIF(구역5!E4:E73,"*7차*")+COUNTIF(구역6!E4:E73,"*7차*")+COUNTIF(구역7!E4:E73,"*7차*")+COUNTIF(구역8!E4:E73,"*7차*")+COUNTIF(구역9!E4:E73,"*7차*")+COUNTIF(구역10!E4:E73,"*7차*")+COUNTIF(구역11!E4:E73,"*7차*")+COUNTIF(구역12!E4:E73,"*7차*")+COUNTIF(구역13!E4:E73,"*7차*")+COUNTIF(구역14!E4:E73,"*7차*")+COUNTIF(구역15!E4:E73,"*7차*")+COUNTIF(구역16!E4:E73,"*7차*")+COUNTIF(구역17!E4:E73,"*7차*")+COUNTIF(구역18!E4:E73,"*7차*")+COUNTIF(구역19!E4:E73,"*7차*")+COUNTIF(구역20!E4:E73,"*7차*")=0,"",COUNTIF(구역1!E4:E73,"*7차*")+COUNTIF(구역2!E4:E73,"*7차*")+COUNTIF(구역3!E4:E73,"*7차*")+COUNTIF(구역4!E4:E73,"*7차*")+COUNTIF(구역5!E4:E73,"*7차*")+COUNTIF(구역6!E4:E73,"*7차*")+COUNTIF(구역7!E4:E73,"*7차*")+COUNTIF(구역8!E4:E73,"*7차*")+COUNTIF(구역9!E4:E73,"*7차*")+COUNTIF(구역10!E4:E73,"*7차*")+COUNTIF(구역11!E4:E73,"*7차*")+COUNTIF(구역12!E4:E73,"*7차*")+COUNTIF(구역13!E4:E73,"*7차*")+COUNTIF(구역14!E4:E73,"*7차*")+COUNTIF(구역15!E4:E73,"*7차*")+COUNTIF(구역16!E4:E73,"*7차*")+COUNTIF(구역17!E4:E73,"*7차*")+COUNTIF(구역18!E4:E73,"*7차*")+COUNTIF(구역19!E4:E73,"*7차*")+COUNTIF(구역20!E4:E73,"*7차*"))</f>
        <v/>
      </c>
      <c r="I28" s="73">
        <f>IF(COUNTIF(구역1!E4:E73,"*8차*")+COUNTIF(구역2!E4:E73,"*8차*")+COUNTIF(구역3!E4:E73,"*8차*")+COUNTIF(구역4!E4:E73,"*8차*")+COUNTIF(구역5!E4:E73,"*8차*")+COUNTIF(구역6!E4:E73,"*8차*")+COUNTIF(구역7!E4:E73,"*8차*")+COUNTIF(구역8!E4:E73,"*8차*")+COUNTIF(구역9!E4:E73,"*8차*")+COUNTIF(구역10!E4:E73,"*8차*")+COUNTIF(구역11!E4:E73,"*8차*")+COUNTIF(구역12!E4:E73,"*8차*")+COUNTIF(구역13!E4:E73,"*8차*")+COUNTIF(구역14!E4:E73,"*8차*")+COUNTIF(구역15!E4:E73,"*8차*")+COUNTIF(구역16!E4:E73,"*8차*")+COUNTIF(구역17!E4:E73,"*8차*")+COUNTIF(구역18!E4:E73,"*8차*")+COUNTIF(구역19!E4:E73,"*8차*")+COUNTIF(구역20!E4:E73,"*8차*")=0,"",COUNTIF(구역1!E4:E73,"*8차*")+COUNTIF(구역2!E4:E73,"*8차*")+COUNTIF(구역3!E4:E73,"*8차*")+COUNTIF(구역4!E4:E73,"*8차*")+COUNTIF(구역5!E4:E73,"*8차*")+COUNTIF(구역6!E4:E73,"*8차*")+COUNTIF(구역7!E4:E73,"*8차*")+COUNTIF(구역8!E4:E73,"*8차*")+COUNTIF(구역9!E4:E73,"*8차*")+COUNTIF(구역10!E4:E73,"*8차*")+COUNTIF(구역11!E4:E73,"*8차*")+COUNTIF(구역12!E4:E73,"*8차*")+COUNTIF(구역13!E4:E73,"*8차*")+COUNTIF(구역14!E4:E73,"*8차*")+COUNTIF(구역15!E4:E73,"*8차*")+COUNTIF(구역16!E4:E73,"*8차*")+COUNTIF(구역17!E4:E73,"*8차*")+COUNTIF(구역18!E4:E73,"*8차*")+COUNTIF(구역19!E4:E73,"*8차*")+COUNTIF(구역20!E4:E73,"*8차*"))</f>
        <v/>
      </c>
      <c r="J28" s="73">
        <f>IF(SUM(B28:I28)=0,"",SUM(B28:I28))</f>
        <v/>
      </c>
      <c r="M28" s="81" t="n"/>
      <c r="N28" s="81" t="n"/>
    </row>
    <row r="29">
      <c r="M29" s="81" t="n"/>
      <c r="N29" s="81" t="n"/>
    </row>
    <row r="30">
      <c r="M30" s="81" t="n"/>
      <c r="N30" s="81" t="n"/>
    </row>
    <row r="31" ht="22" customHeight="1" s="33">
      <c r="A31" s="74" t="inlineStr">
        <is>
          <t>적용 차수</t>
        </is>
      </c>
      <c r="B31" s="75" t="inlineStr"/>
      <c r="C31" s="77" t="n"/>
      <c r="M31" s="81" t="n"/>
      <c r="N31" s="81" t="n"/>
    </row>
    <row r="32">
      <c r="M32" s="81" t="n"/>
      <c r="N32" s="81" t="n"/>
    </row>
    <row r="33">
      <c r="M33" s="81" t="n"/>
      <c r="N33" s="81" t="n"/>
    </row>
    <row r="34">
      <c r="M34" s="81" t="n"/>
      <c r="N34" s="81" t="n"/>
    </row>
  </sheetData>
  <mergeCells count="10">
    <mergeCell ref="A26:L26"/>
    <mergeCell ref="F2:G2"/>
    <mergeCell ref="B2:C2"/>
    <mergeCell ref="H2:I2"/>
    <mergeCell ref="D2:E2"/>
    <mergeCell ref="J2:K2"/>
    <mergeCell ref="A1:L1"/>
    <mergeCell ref="A2:A3"/>
    <mergeCell ref="B31:C31"/>
    <mergeCell ref="L2:L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1호차</t>
        </is>
      </c>
      <c r="B1" s="35" t="n"/>
      <c r="C1" s="35" t="n"/>
      <c r="D1" s="35" t="n"/>
      <c r="E1" s="35" t="n"/>
      <c r="F1" s="35" t="n"/>
      <c r="H1" s="47" t="inlineStr">
        <is>
          <t>하행  1호차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H2" s="63" t="inlineStr">
        <is>
          <t>선탑자:</t>
        </is>
      </c>
      <c r="I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2호차</t>
        </is>
      </c>
      <c r="B1" s="35" t="n"/>
      <c r="C1" s="35" t="n"/>
      <c r="D1" s="35" t="n"/>
      <c r="E1" s="35" t="n"/>
      <c r="F1" s="35" t="n"/>
      <c r="H1" s="47" t="inlineStr">
        <is>
          <t>하행  2호차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H2" s="63" t="inlineStr">
        <is>
          <t>선탑자:</t>
        </is>
      </c>
      <c r="I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3호차</t>
        </is>
      </c>
      <c r="B1" s="35" t="n"/>
      <c r="C1" s="35" t="n"/>
      <c r="D1" s="35" t="n"/>
      <c r="E1" s="35" t="n"/>
      <c r="F1" s="35" t="n"/>
      <c r="H1" s="47" t="inlineStr">
        <is>
          <t>하행  3호차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H2" s="63" t="inlineStr">
        <is>
          <t>선탑자:</t>
        </is>
      </c>
      <c r="I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4호차</t>
        </is>
      </c>
      <c r="B1" s="35" t="n"/>
      <c r="C1" s="35" t="n"/>
      <c r="D1" s="35" t="n"/>
      <c r="E1" s="35" t="n"/>
      <c r="F1" s="35" t="n"/>
      <c r="H1" s="47" t="inlineStr">
        <is>
          <t>하행  4호차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H2" s="63" t="inlineStr">
        <is>
          <t>선탑자:</t>
        </is>
      </c>
      <c r="I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5호차</t>
        </is>
      </c>
      <c r="B1" s="35" t="n"/>
      <c r="C1" s="35" t="n"/>
      <c r="D1" s="35" t="n"/>
      <c r="E1" s="35" t="n"/>
      <c r="F1" s="35" t="n"/>
      <c r="H1" s="47" t="inlineStr">
        <is>
          <t>하행  5호차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H2" s="63" t="inlineStr">
        <is>
          <t>선탑자:</t>
        </is>
      </c>
      <c r="I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6호차</t>
        </is>
      </c>
      <c r="B1" s="35" t="n"/>
      <c r="C1" s="35" t="n"/>
      <c r="D1" s="35" t="n"/>
      <c r="E1" s="35" t="n"/>
      <c r="F1" s="35" t="n"/>
      <c r="H1" s="47" t="inlineStr">
        <is>
          <t>하행  6호차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H2" s="63" t="inlineStr">
        <is>
          <t>선탑자:</t>
        </is>
      </c>
      <c r="I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7호차</t>
        </is>
      </c>
      <c r="B1" s="35" t="n"/>
      <c r="C1" s="35" t="n"/>
      <c r="D1" s="35" t="n"/>
      <c r="E1" s="35" t="n"/>
      <c r="F1" s="35" t="n"/>
      <c r="H1" s="47" t="inlineStr">
        <is>
          <t>하행  7호차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H2" s="63" t="inlineStr">
        <is>
          <t>선탑자:</t>
        </is>
      </c>
      <c r="I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8호차</t>
        </is>
      </c>
      <c r="B1" s="35" t="n"/>
      <c r="C1" s="35" t="n"/>
      <c r="D1" s="35" t="n"/>
      <c r="E1" s="35" t="n"/>
      <c r="F1" s="35" t="n"/>
      <c r="H1" s="47" t="inlineStr">
        <is>
          <t>하행  8호차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H2" s="63" t="inlineStr">
        <is>
          <t>선탑자:</t>
        </is>
      </c>
      <c r="I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9호차</t>
        </is>
      </c>
      <c r="B1" s="35" t="n"/>
      <c r="C1" s="35" t="n"/>
      <c r="D1" s="35" t="n"/>
      <c r="E1" s="35" t="n"/>
      <c r="F1" s="35" t="n"/>
      <c r="H1" s="47" t="inlineStr">
        <is>
          <t>하행  9호차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H2" s="63" t="inlineStr">
        <is>
          <t>선탑자:</t>
        </is>
      </c>
      <c r="I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7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10호차</t>
        </is>
      </c>
      <c r="B1" s="35" t="n"/>
      <c r="C1" s="35" t="n"/>
      <c r="D1" s="35" t="n"/>
      <c r="E1" s="35" t="n"/>
      <c r="F1" s="35" t="n"/>
      <c r="H1" s="47" t="inlineStr">
        <is>
          <t>하행  10호차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H2" s="63" t="inlineStr">
        <is>
          <t>선탑자:</t>
        </is>
      </c>
      <c r="I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 t="n"/>
      <c r="C4" s="42" t="n"/>
      <c r="D4" s="42" t="n"/>
      <c r="E4" s="42" t="n"/>
      <c r="F4" s="42" t="n"/>
      <c r="H4" s="41" t="n">
        <v>1</v>
      </c>
      <c r="I4" s="42" t="n"/>
      <c r="J4" s="42" t="n"/>
      <c r="K4" s="42" t="n"/>
      <c r="L4" s="42" t="n"/>
      <c r="M4" s="42" t="n"/>
    </row>
    <row r="5" ht="21.75" customHeight="1" s="33">
      <c r="A5" s="43" t="n">
        <v>2</v>
      </c>
      <c r="B5" s="44" t="n"/>
      <c r="C5" s="44" t="n"/>
      <c r="D5" s="44" t="n"/>
      <c r="E5" s="44" t="n"/>
      <c r="F5" s="44" t="n"/>
      <c r="H5" s="43" t="n">
        <v>2</v>
      </c>
      <c r="I5" s="44" t="n"/>
      <c r="J5" s="44" t="n"/>
      <c r="K5" s="44" t="n"/>
      <c r="L5" s="44" t="n"/>
      <c r="M5" s="44" t="n"/>
    </row>
    <row r="6" ht="21.75" customHeight="1" s="33">
      <c r="A6" s="41" t="n">
        <v>3</v>
      </c>
      <c r="B6" s="42" t="n"/>
      <c r="C6" s="42" t="n"/>
      <c r="D6" s="42" t="n"/>
      <c r="E6" s="42" t="n"/>
      <c r="F6" s="42" t="n"/>
      <c r="H6" s="41" t="n">
        <v>3</v>
      </c>
      <c r="I6" s="42" t="n"/>
      <c r="J6" s="42" t="n"/>
      <c r="K6" s="42" t="n"/>
      <c r="L6" s="42" t="n"/>
      <c r="M6" s="42" t="n"/>
    </row>
    <row r="7" ht="21.75" customHeight="1" s="33">
      <c r="A7" s="43" t="n">
        <v>4</v>
      </c>
      <c r="B7" s="44" t="n"/>
      <c r="C7" s="44" t="n"/>
      <c r="D7" s="44" t="n"/>
      <c r="E7" s="44" t="n"/>
      <c r="F7" s="44" t="n"/>
      <c r="H7" s="43" t="n">
        <v>4</v>
      </c>
      <c r="I7" s="44" t="n"/>
      <c r="J7" s="44" t="n"/>
      <c r="K7" s="44" t="n"/>
      <c r="L7" s="44" t="n"/>
      <c r="M7" s="44" t="n"/>
    </row>
    <row r="8" ht="21.75" customHeight="1" s="33">
      <c r="A8" s="41" t="n">
        <v>5</v>
      </c>
      <c r="B8" s="42" t="n"/>
      <c r="C8" s="42" t="n"/>
      <c r="D8" s="42" t="n"/>
      <c r="E8" s="42" t="n"/>
      <c r="F8" s="42" t="n"/>
      <c r="H8" s="41" t="n">
        <v>5</v>
      </c>
      <c r="I8" s="42" t="n"/>
      <c r="J8" s="42" t="n"/>
      <c r="K8" s="42" t="n"/>
      <c r="L8" s="42" t="n"/>
      <c r="M8" s="42" t="n"/>
    </row>
    <row r="9" ht="21.75" customHeight="1" s="33">
      <c r="A9" s="43" t="n">
        <v>6</v>
      </c>
      <c r="B9" s="44" t="n"/>
      <c r="C9" s="44" t="n"/>
      <c r="D9" s="44" t="n"/>
      <c r="E9" s="44" t="n"/>
      <c r="F9" s="44" t="n"/>
      <c r="H9" s="43" t="n">
        <v>6</v>
      </c>
      <c r="I9" s="44" t="n"/>
      <c r="J9" s="44" t="n"/>
      <c r="K9" s="44" t="n"/>
      <c r="L9" s="44" t="n"/>
      <c r="M9" s="44" t="n"/>
    </row>
    <row r="10" ht="21.75" customHeight="1" s="33">
      <c r="A10" s="41" t="n">
        <v>7</v>
      </c>
      <c r="B10" s="42" t="n"/>
      <c r="C10" s="42" t="n"/>
      <c r="D10" s="42" t="n"/>
      <c r="E10" s="42" t="n"/>
      <c r="F10" s="42" t="n"/>
      <c r="H10" s="41" t="n">
        <v>7</v>
      </c>
      <c r="I10" s="42" t="n"/>
      <c r="J10" s="42" t="n"/>
      <c r="K10" s="42" t="n"/>
      <c r="L10" s="42" t="n"/>
      <c r="M10" s="42" t="n"/>
    </row>
    <row r="11" ht="21.75" customHeight="1" s="33">
      <c r="A11" s="43" t="n">
        <v>8</v>
      </c>
      <c r="B11" s="44" t="n"/>
      <c r="C11" s="44" t="n"/>
      <c r="D11" s="44" t="n"/>
      <c r="E11" s="44" t="n"/>
      <c r="F11" s="44" t="n"/>
      <c r="H11" s="43" t="n">
        <v>8</v>
      </c>
      <c r="I11" s="44" t="n"/>
      <c r="J11" s="44" t="n"/>
      <c r="K11" s="44" t="n"/>
      <c r="L11" s="44" t="n"/>
      <c r="M11" s="44" t="n"/>
    </row>
    <row r="12" ht="21.75" customHeight="1" s="33">
      <c r="A12" s="41" t="n">
        <v>9</v>
      </c>
      <c r="B12" s="42" t="n"/>
      <c r="C12" s="42" t="n"/>
      <c r="D12" s="42" t="n"/>
      <c r="E12" s="42" t="n"/>
      <c r="F12" s="42" t="n"/>
      <c r="H12" s="41" t="n">
        <v>9</v>
      </c>
      <c r="I12" s="42" t="n"/>
      <c r="J12" s="42" t="n"/>
      <c r="K12" s="42" t="n"/>
      <c r="L12" s="42" t="n"/>
      <c r="M12" s="42" t="n"/>
    </row>
    <row r="13" ht="21.75" customHeight="1" s="33">
      <c r="A13" s="43" t="n">
        <v>10</v>
      </c>
      <c r="B13" s="44" t="n"/>
      <c r="C13" s="44" t="n"/>
      <c r="D13" s="44" t="n"/>
      <c r="E13" s="44" t="n"/>
      <c r="F13" s="44" t="n"/>
      <c r="H13" s="43" t="n">
        <v>10</v>
      </c>
      <c r="I13" s="44" t="n"/>
      <c r="J13" s="44" t="n"/>
      <c r="K13" s="44" t="n"/>
      <c r="L13" s="44" t="n"/>
      <c r="M13" s="44" t="n"/>
    </row>
    <row r="14" ht="21.75" customHeight="1" s="33">
      <c r="A14" s="41" t="n">
        <v>11</v>
      </c>
      <c r="B14" s="42" t="n"/>
      <c r="C14" s="42" t="n"/>
      <c r="D14" s="42" t="n"/>
      <c r="E14" s="42" t="n"/>
      <c r="F14" s="42" t="n"/>
      <c r="H14" s="41" t="n">
        <v>11</v>
      </c>
      <c r="I14" s="42" t="n"/>
      <c r="J14" s="42" t="n"/>
      <c r="K14" s="42" t="n"/>
      <c r="L14" s="42" t="n"/>
      <c r="M14" s="42" t="n"/>
    </row>
    <row r="15" ht="21.75" customHeight="1" s="33">
      <c r="A15" s="43" t="n">
        <v>12</v>
      </c>
      <c r="B15" s="44" t="n"/>
      <c r="C15" s="44" t="n"/>
      <c r="D15" s="44" t="n"/>
      <c r="E15" s="44" t="n"/>
      <c r="F15" s="44" t="n"/>
      <c r="H15" s="43" t="n">
        <v>12</v>
      </c>
      <c r="I15" s="44" t="n"/>
      <c r="J15" s="44" t="n"/>
      <c r="K15" s="44" t="n"/>
      <c r="L15" s="44" t="n"/>
      <c r="M15" s="44" t="n"/>
    </row>
    <row r="16" ht="21.75" customHeight="1" s="33">
      <c r="A16" s="41" t="n">
        <v>13</v>
      </c>
      <c r="B16" s="42" t="n"/>
      <c r="C16" s="42" t="n"/>
      <c r="D16" s="42" t="n"/>
      <c r="E16" s="42" t="n"/>
      <c r="F16" s="42" t="n"/>
      <c r="H16" s="41" t="n">
        <v>13</v>
      </c>
      <c r="I16" s="42" t="n"/>
      <c r="J16" s="42" t="n"/>
      <c r="K16" s="42" t="n"/>
      <c r="L16" s="42" t="n"/>
      <c r="M16" s="42" t="n"/>
    </row>
    <row r="17" ht="21.75" customHeight="1" s="33">
      <c r="A17" s="43" t="n">
        <v>14</v>
      </c>
      <c r="B17" s="44" t="n"/>
      <c r="C17" s="44" t="n"/>
      <c r="D17" s="44" t="n"/>
      <c r="E17" s="44" t="n"/>
      <c r="F17" s="44" t="n"/>
      <c r="H17" s="43" t="n">
        <v>14</v>
      </c>
      <c r="I17" s="44" t="n"/>
      <c r="J17" s="44" t="n"/>
      <c r="K17" s="44" t="n"/>
      <c r="L17" s="44" t="n"/>
      <c r="M17" s="44" t="n"/>
    </row>
    <row r="18" ht="21.75" customHeight="1" s="33">
      <c r="A18" s="41" t="n">
        <v>15</v>
      </c>
      <c r="B18" s="42" t="n"/>
      <c r="C18" s="42" t="n"/>
      <c r="D18" s="42" t="n"/>
      <c r="E18" s="42" t="n"/>
      <c r="F18" s="42" t="n"/>
      <c r="H18" s="41" t="n">
        <v>15</v>
      </c>
      <c r="I18" s="42" t="n"/>
      <c r="J18" s="42" t="n"/>
      <c r="K18" s="42" t="n"/>
      <c r="L18" s="42" t="n"/>
      <c r="M18" s="42" t="n"/>
    </row>
    <row r="19" ht="21.75" customHeight="1" s="33">
      <c r="A19" s="43" t="n">
        <v>16</v>
      </c>
      <c r="B19" s="44" t="n"/>
      <c r="C19" s="44" t="n"/>
      <c r="D19" s="44" t="n"/>
      <c r="E19" s="44" t="n"/>
      <c r="F19" s="44" t="n"/>
      <c r="H19" s="43" t="n">
        <v>16</v>
      </c>
      <c r="I19" s="44" t="n"/>
      <c r="J19" s="44" t="n"/>
      <c r="K19" s="44" t="n"/>
      <c r="L19" s="44" t="n"/>
      <c r="M19" s="44" t="n"/>
    </row>
    <row r="20" ht="21.75" customHeight="1" s="33">
      <c r="A20" s="41" t="n">
        <v>17</v>
      </c>
      <c r="B20" s="42" t="n"/>
      <c r="C20" s="42" t="n"/>
      <c r="D20" s="42" t="n"/>
      <c r="E20" s="42" t="n"/>
      <c r="F20" s="42" t="n"/>
      <c r="H20" s="41" t="n">
        <v>17</v>
      </c>
      <c r="I20" s="42" t="n"/>
      <c r="J20" s="42" t="n"/>
      <c r="K20" s="42" t="n"/>
      <c r="L20" s="42" t="n"/>
      <c r="M20" s="42" t="n"/>
    </row>
    <row r="21" ht="21.75" customHeight="1" s="33">
      <c r="A21" s="43" t="n">
        <v>18</v>
      </c>
      <c r="B21" s="44" t="n"/>
      <c r="C21" s="44" t="n"/>
      <c r="D21" s="44" t="n"/>
      <c r="E21" s="44" t="n"/>
      <c r="F21" s="44" t="n"/>
      <c r="H21" s="43" t="n">
        <v>18</v>
      </c>
      <c r="I21" s="44" t="n"/>
      <c r="J21" s="44" t="n"/>
      <c r="K21" s="44" t="n"/>
      <c r="L21" s="44" t="n"/>
      <c r="M21" s="44" t="n"/>
    </row>
    <row r="22" ht="21.75" customHeight="1" s="33">
      <c r="A22" s="41" t="n">
        <v>19</v>
      </c>
      <c r="B22" s="42" t="n"/>
      <c r="C22" s="42" t="n"/>
      <c r="D22" s="42" t="n"/>
      <c r="E22" s="42" t="n"/>
      <c r="F22" s="42" t="n"/>
      <c r="H22" s="41" t="n">
        <v>19</v>
      </c>
      <c r="I22" s="42" t="n"/>
      <c r="J22" s="42" t="n"/>
      <c r="K22" s="42" t="n"/>
      <c r="L22" s="42" t="n"/>
      <c r="M22" s="42" t="n"/>
    </row>
    <row r="23" ht="21.75" customHeight="1" s="33">
      <c r="A23" s="43" t="n">
        <v>20</v>
      </c>
      <c r="B23" s="44" t="n"/>
      <c r="C23" s="44" t="n"/>
      <c r="D23" s="44" t="n"/>
      <c r="E23" s="44" t="n"/>
      <c r="F23" s="44" t="n"/>
      <c r="H23" s="43" t="n">
        <v>20</v>
      </c>
      <c r="I23" s="44" t="n"/>
      <c r="J23" s="44" t="n"/>
      <c r="K23" s="44" t="n"/>
      <c r="L23" s="44" t="n"/>
      <c r="M23" s="44" t="n"/>
    </row>
    <row r="24" ht="21.75" customHeight="1" s="33">
      <c r="A24" s="41" t="n">
        <v>21</v>
      </c>
      <c r="B24" s="42" t="n"/>
      <c r="C24" s="42" t="n"/>
      <c r="D24" s="42" t="n"/>
      <c r="E24" s="42" t="n"/>
      <c r="F24" s="42" t="n"/>
      <c r="H24" s="41" t="n">
        <v>21</v>
      </c>
      <c r="I24" s="42" t="n"/>
      <c r="J24" s="42" t="n"/>
      <c r="K24" s="42" t="n"/>
      <c r="L24" s="42" t="n"/>
      <c r="M24" s="42" t="n"/>
    </row>
    <row r="25" ht="21.75" customHeight="1" s="33">
      <c r="A25" s="43" t="n">
        <v>22</v>
      </c>
      <c r="B25" s="44" t="n"/>
      <c r="C25" s="44" t="n"/>
      <c r="D25" s="44" t="n"/>
      <c r="E25" s="44" t="n"/>
      <c r="F25" s="44" t="n"/>
      <c r="H25" s="43" t="n">
        <v>22</v>
      </c>
      <c r="I25" s="44" t="n"/>
      <c r="J25" s="44" t="n"/>
      <c r="K25" s="44" t="n"/>
      <c r="L25" s="44" t="n"/>
      <c r="M25" s="44" t="n"/>
    </row>
    <row r="26" ht="21.75" customHeight="1" s="33">
      <c r="A26" s="41" t="n">
        <v>23</v>
      </c>
      <c r="B26" s="42" t="n"/>
      <c r="C26" s="42" t="n"/>
      <c r="D26" s="42" t="n"/>
      <c r="E26" s="42" t="n"/>
      <c r="F26" s="42" t="n"/>
      <c r="H26" s="41" t="n">
        <v>23</v>
      </c>
      <c r="I26" s="42" t="n"/>
      <c r="J26" s="42" t="n"/>
      <c r="K26" s="42" t="n"/>
      <c r="L26" s="42" t="n"/>
      <c r="M26" s="42" t="n"/>
    </row>
    <row r="27" ht="21.75" customHeight="1" s="33">
      <c r="A27" s="43" t="n">
        <v>24</v>
      </c>
      <c r="B27" s="44" t="n"/>
      <c r="C27" s="44" t="n"/>
      <c r="D27" s="44" t="n"/>
      <c r="E27" s="44" t="n"/>
      <c r="F27" s="44" t="n"/>
      <c r="H27" s="43" t="n">
        <v>24</v>
      </c>
      <c r="I27" s="44" t="n"/>
      <c r="J27" s="44" t="n"/>
      <c r="K27" s="44" t="n"/>
      <c r="L27" s="44" t="n"/>
      <c r="M27" s="44" t="n"/>
    </row>
    <row r="28" ht="21.75" customHeight="1" s="33">
      <c r="A28" s="41" t="n">
        <v>25</v>
      </c>
      <c r="B28" s="42" t="n"/>
      <c r="C28" s="42" t="n"/>
      <c r="D28" s="42" t="n"/>
      <c r="E28" s="42" t="n"/>
      <c r="F28" s="42" t="n"/>
      <c r="H28" s="41" t="n">
        <v>25</v>
      </c>
      <c r="I28" s="42" t="n"/>
      <c r="J28" s="42" t="n"/>
      <c r="K28" s="42" t="n"/>
      <c r="L28" s="42" t="n"/>
      <c r="M28" s="42" t="n"/>
    </row>
    <row r="29" ht="21.75" customHeight="1" s="33">
      <c r="A29" s="43" t="n">
        <v>26</v>
      </c>
      <c r="B29" s="44" t="n"/>
      <c r="C29" s="44" t="n"/>
      <c r="D29" s="44" t="n"/>
      <c r="E29" s="44" t="n"/>
      <c r="F29" s="44" t="n"/>
      <c r="H29" s="43" t="n">
        <v>26</v>
      </c>
      <c r="I29" s="44" t="n"/>
      <c r="J29" s="44" t="n"/>
      <c r="K29" s="44" t="n"/>
      <c r="L29" s="44" t="n"/>
      <c r="M29" s="44" t="n"/>
    </row>
    <row r="30" ht="21.75" customHeight="1" s="33">
      <c r="A30" s="41" t="n">
        <v>27</v>
      </c>
      <c r="B30" s="42" t="n"/>
      <c r="C30" s="42" t="n"/>
      <c r="D30" s="42" t="n"/>
      <c r="E30" s="42" t="n"/>
      <c r="F30" s="42" t="n"/>
      <c r="H30" s="41" t="n">
        <v>27</v>
      </c>
      <c r="I30" s="42" t="n"/>
      <c r="J30" s="42" t="n"/>
      <c r="K30" s="42" t="n"/>
      <c r="L30" s="42" t="n"/>
      <c r="M30" s="42" t="n"/>
    </row>
    <row r="31" ht="21.75" customHeight="1" s="33">
      <c r="A31" s="43" t="n">
        <v>28</v>
      </c>
      <c r="B31" s="44" t="n"/>
      <c r="C31" s="44" t="n"/>
      <c r="D31" s="44" t="n"/>
      <c r="E31" s="44" t="n"/>
      <c r="F31" s="44" t="n"/>
      <c r="H31" s="43" t="n">
        <v>28</v>
      </c>
      <c r="I31" s="44" t="n"/>
      <c r="J31" s="44" t="n"/>
      <c r="K31" s="44" t="n"/>
      <c r="L31" s="44" t="n"/>
      <c r="M31" s="44" t="n"/>
    </row>
    <row r="32" ht="21.75" customHeight="1" s="33">
      <c r="A32" s="41" t="n">
        <v>29</v>
      </c>
      <c r="B32" s="42" t="n"/>
      <c r="C32" s="42" t="n"/>
      <c r="D32" s="42" t="n"/>
      <c r="E32" s="42" t="n"/>
      <c r="F32" s="42" t="n"/>
      <c r="H32" s="41" t="n">
        <v>29</v>
      </c>
      <c r="I32" s="42" t="n"/>
      <c r="J32" s="42" t="n"/>
      <c r="K32" s="42" t="n"/>
      <c r="L32" s="42" t="n"/>
      <c r="M32" s="42" t="n"/>
    </row>
    <row r="33" ht="21.75" customHeight="1" s="33">
      <c r="A33" s="43" t="n">
        <v>30</v>
      </c>
      <c r="B33" s="44" t="n"/>
      <c r="C33" s="44" t="n"/>
      <c r="D33" s="44" t="n"/>
      <c r="E33" s="44" t="n"/>
      <c r="F33" s="44" t="n"/>
      <c r="H33" s="43" t="n">
        <v>30</v>
      </c>
      <c r="I33" s="44" t="n"/>
      <c r="J33" s="44" t="n"/>
      <c r="K33" s="44" t="n"/>
      <c r="L33" s="44" t="n"/>
      <c r="M33" s="44" t="n"/>
    </row>
    <row r="34" ht="21.75" customHeight="1" s="33">
      <c r="A34" s="41" t="n">
        <v>31</v>
      </c>
      <c r="B34" s="42" t="n"/>
      <c r="C34" s="42" t="n"/>
      <c r="D34" s="42" t="n"/>
      <c r="E34" s="42" t="n"/>
      <c r="F34" s="42" t="n"/>
      <c r="H34" s="41" t="n">
        <v>31</v>
      </c>
      <c r="I34" s="42" t="n"/>
      <c r="J34" s="42" t="n"/>
      <c r="K34" s="42" t="n"/>
      <c r="L34" s="42" t="n"/>
      <c r="M34" s="42" t="n"/>
    </row>
    <row r="35" ht="21.75" customHeight="1" s="33">
      <c r="A35" s="43" t="n">
        <v>32</v>
      </c>
      <c r="B35" s="44" t="n"/>
      <c r="C35" s="44" t="n"/>
      <c r="D35" s="44" t="n"/>
      <c r="E35" s="44" t="n"/>
      <c r="F35" s="44" t="n"/>
      <c r="H35" s="43" t="n">
        <v>32</v>
      </c>
      <c r="I35" s="44" t="n"/>
      <c r="J35" s="44" t="n"/>
      <c r="K35" s="44" t="n"/>
      <c r="L35" s="44" t="n"/>
      <c r="M35" s="44" t="n"/>
    </row>
    <row r="36" ht="21.75" customHeight="1" s="33">
      <c r="A36" s="41" t="n">
        <v>33</v>
      </c>
      <c r="B36" s="42" t="n"/>
      <c r="C36" s="42" t="n"/>
      <c r="D36" s="42" t="n"/>
      <c r="E36" s="42" t="n"/>
      <c r="F36" s="42" t="n"/>
      <c r="H36" s="41" t="n">
        <v>33</v>
      </c>
      <c r="I36" s="42" t="n"/>
      <c r="J36" s="42" t="n"/>
      <c r="K36" s="42" t="n"/>
      <c r="L36" s="42" t="n"/>
      <c r="M36" s="42" t="n"/>
    </row>
    <row r="37" ht="21.75" customHeight="1" s="33">
      <c r="A37" s="43" t="n">
        <v>34</v>
      </c>
      <c r="B37" s="44" t="n"/>
      <c r="C37" s="44" t="n"/>
      <c r="D37" s="44" t="n"/>
      <c r="E37" s="44" t="n"/>
      <c r="F37" s="44" t="n"/>
      <c r="H37" s="43" t="n">
        <v>34</v>
      </c>
      <c r="I37" s="44" t="n"/>
      <c r="J37" s="44" t="n"/>
      <c r="K37" s="44" t="n"/>
      <c r="L37" s="44" t="n"/>
      <c r="M37" s="44" t="n"/>
    </row>
    <row r="38" ht="21.75" customHeight="1" s="33">
      <c r="A38" s="41" t="n">
        <v>35</v>
      </c>
      <c r="B38" s="42" t="n"/>
      <c r="C38" s="42" t="n"/>
      <c r="D38" s="42" t="n"/>
      <c r="E38" s="42" t="n"/>
      <c r="F38" s="42" t="n"/>
      <c r="H38" s="41" t="n">
        <v>35</v>
      </c>
      <c r="I38" s="42" t="n"/>
      <c r="J38" s="42" t="n"/>
      <c r="K38" s="42" t="n"/>
      <c r="L38" s="42" t="n"/>
      <c r="M38" s="42" t="n"/>
    </row>
    <row r="39" ht="21.75" customHeight="1" s="33">
      <c r="A39" s="43" t="n">
        <v>36</v>
      </c>
      <c r="B39" s="44" t="n"/>
      <c r="C39" s="44" t="n"/>
      <c r="D39" s="44" t="n"/>
      <c r="E39" s="44" t="n"/>
      <c r="F39" s="44" t="n"/>
      <c r="H39" s="43" t="n">
        <v>36</v>
      </c>
      <c r="I39" s="44" t="n"/>
      <c r="J39" s="44" t="n"/>
      <c r="K39" s="44" t="n"/>
      <c r="L39" s="44" t="n"/>
      <c r="M39" s="44" t="n"/>
    </row>
    <row r="40" ht="21.75" customHeight="1" s="33">
      <c r="A40" s="41" t="n">
        <v>37</v>
      </c>
      <c r="B40" s="42" t="n"/>
      <c r="C40" s="42" t="n"/>
      <c r="D40" s="42" t="n"/>
      <c r="E40" s="42" t="n"/>
      <c r="F40" s="42" t="n"/>
      <c r="H40" s="41" t="n">
        <v>37</v>
      </c>
      <c r="I40" s="42" t="n"/>
      <c r="J40" s="42" t="n"/>
      <c r="K40" s="42" t="n"/>
      <c r="L40" s="42" t="n"/>
      <c r="M40" s="42" t="n"/>
    </row>
    <row r="41" ht="21.75" customHeight="1" s="33">
      <c r="A41" s="43" t="n">
        <v>38</v>
      </c>
      <c r="B41" s="44" t="n"/>
      <c r="C41" s="44" t="n"/>
      <c r="D41" s="44" t="n"/>
      <c r="E41" s="44" t="n"/>
      <c r="F41" s="44" t="n"/>
      <c r="H41" s="43" t="n">
        <v>38</v>
      </c>
      <c r="I41" s="44" t="n"/>
      <c r="J41" s="44" t="n"/>
      <c r="K41" s="44" t="n"/>
      <c r="L41" s="44" t="n"/>
      <c r="M41" s="44" t="n"/>
    </row>
    <row r="42" ht="21.75" customHeight="1" s="33">
      <c r="A42" s="41" t="n">
        <v>39</v>
      </c>
      <c r="B42" s="42" t="n"/>
      <c r="C42" s="42" t="n"/>
      <c r="D42" s="42" t="n"/>
      <c r="E42" s="42" t="n"/>
      <c r="F42" s="42" t="n"/>
      <c r="H42" s="41" t="n">
        <v>39</v>
      </c>
      <c r="I42" s="42" t="n"/>
      <c r="J42" s="42" t="n"/>
      <c r="K42" s="42" t="n"/>
      <c r="L42" s="42" t="n"/>
      <c r="M42" s="42" t="n"/>
    </row>
    <row r="43" ht="21.75" customHeight="1" s="33">
      <c r="A43" s="43" t="n">
        <v>40</v>
      </c>
      <c r="B43" s="44" t="n"/>
      <c r="C43" s="44" t="n"/>
      <c r="D43" s="44" t="n"/>
      <c r="E43" s="44" t="n"/>
      <c r="F43" s="44" t="n"/>
      <c r="H43" s="43" t="n">
        <v>40</v>
      </c>
      <c r="I43" s="44" t="n"/>
      <c r="J43" s="44" t="n"/>
      <c r="K43" s="44" t="n"/>
      <c r="L43" s="44" t="n"/>
      <c r="M43" s="44" t="n"/>
    </row>
    <row r="44" ht="21.75" customHeight="1" s="33">
      <c r="A44" s="41" t="n">
        <v>41</v>
      </c>
      <c r="B44" s="42" t="n"/>
      <c r="C44" s="42" t="n"/>
      <c r="D44" s="42" t="n"/>
      <c r="E44" s="42" t="n"/>
      <c r="F44" s="42" t="n"/>
      <c r="H44" s="41" t="n">
        <v>41</v>
      </c>
      <c r="I44" s="42" t="n"/>
      <c r="J44" s="42" t="n"/>
      <c r="K44" s="42" t="n"/>
      <c r="L44" s="42" t="n"/>
      <c r="M44" s="42" t="n"/>
    </row>
    <row r="45" ht="21.75" customHeight="1" s="33">
      <c r="A45" s="43" t="n">
        <v>42</v>
      </c>
      <c r="B45" s="44" t="n"/>
      <c r="C45" s="44" t="n"/>
      <c r="D45" s="44" t="n"/>
      <c r="E45" s="44" t="n"/>
      <c r="F45" s="44" t="n"/>
      <c r="H45" s="43" t="n">
        <v>42</v>
      </c>
      <c r="I45" s="44" t="n"/>
      <c r="J45" s="44" t="n"/>
      <c r="K45" s="44" t="n"/>
      <c r="L45" s="44" t="n"/>
      <c r="M45" s="44" t="n"/>
    </row>
    <row r="46" ht="21.75" customHeight="1" s="33">
      <c r="A46" s="41" t="n">
        <v>43</v>
      </c>
      <c r="B46" s="42" t="n"/>
      <c r="C46" s="42" t="n"/>
      <c r="D46" s="42" t="n"/>
      <c r="E46" s="42" t="n"/>
      <c r="F46" s="42" t="n"/>
      <c r="H46" s="41" t="n">
        <v>43</v>
      </c>
      <c r="I46" s="42" t="n"/>
      <c r="J46" s="42" t="n"/>
      <c r="K46" s="42" t="n"/>
      <c r="L46" s="42" t="n"/>
      <c r="M46" s="42" t="n"/>
    </row>
    <row r="47" ht="21.75" customHeight="1" s="33">
      <c r="A47" s="41" t="n"/>
      <c r="B47" s="42" t="n"/>
      <c r="C47" s="42" t="n"/>
      <c r="D47" s="42" t="n"/>
      <c r="E47" s="42" t="n"/>
      <c r="F47" s="42" t="n"/>
      <c r="H47" s="41" t="n"/>
      <c r="I47" s="42" t="n"/>
      <c r="J47" s="42" t="n"/>
      <c r="K47" s="42" t="n"/>
      <c r="L47" s="42" t="n"/>
      <c r="M47" s="42" t="n"/>
    </row>
    <row r="48" ht="21.75" customHeight="1" s="33">
      <c r="A48" s="41" t="n"/>
      <c r="B48" s="42" t="n"/>
      <c r="C48" s="42" t="n"/>
      <c r="D48" s="42" t="n"/>
      <c r="E48" s="42" t="n"/>
      <c r="F48" s="42" t="n"/>
      <c r="H48" s="41" t="n"/>
      <c r="I48" s="42" t="n"/>
      <c r="J48" s="42" t="n"/>
      <c r="K48" s="42" t="n"/>
      <c r="L48" s="42" t="n"/>
      <c r="M48" s="42" t="n"/>
    </row>
    <row r="49" ht="15" customHeight="1" s="33">
      <c r="A49" s="45" t="inlineStr">
        <is>
          <t>합  계</t>
        </is>
      </c>
      <c r="B49" s="35" t="n"/>
      <c r="C49" s="35" t="n"/>
      <c r="D49" s="61">
        <f t="array" ref="D49:D49">IF(SUMPRODUCT((D4:D48&lt;&gt;"")*1)=0,"",SUMPRODUCT((D4:D48&lt;&gt;"")*1))</f>
        <v/>
      </c>
      <c r="E49" s="61" t="n"/>
      <c r="F49" s="61" t="n"/>
      <c r="H49" s="45" t="inlineStr">
        <is>
          <t>합  계</t>
        </is>
      </c>
      <c r="I49" s="35" t="n"/>
      <c r="J49" s="35" t="n"/>
      <c r="K49" s="61">
        <f t="array" ref="K49:K49">IF(SUMPRODUCT((K4:K48&lt;&gt;"")*1)=0,"",SUMPRODUCT((K4:K48&lt;&gt;"")*1))</f>
        <v/>
      </c>
      <c r="L49" s="61" t="n"/>
      <c r="M49" s="61" t="n"/>
    </row>
  </sheetData>
  <mergeCells count="6">
    <mergeCell ref="A2:B2"/>
    <mergeCell ref="H1:M1"/>
    <mergeCell ref="H2:I2"/>
    <mergeCell ref="A49:C49"/>
    <mergeCell ref="A1:F1"/>
    <mergeCell ref="H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K2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4.6" customWidth="1" style="32" min="5" max="5"/>
    <col width="2" customWidth="1" style="32" min="6" max="6"/>
    <col width="4" customWidth="1" style="32" min="7" max="7"/>
    <col width="7" customWidth="1" style="32" min="8" max="8"/>
    <col width="9" customWidth="1" style="32" min="9" max="9"/>
    <col width="8" customWidth="1" style="32" min="10" max="10"/>
    <col width="14.6" customWidth="1" style="32" min="11" max="11"/>
  </cols>
  <sheetData>
    <row r="1" ht="30" customHeight="1" s="33">
      <c r="A1" s="47" t="inlineStr">
        <is>
          <t>교회차1  ─  본대 출발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1.75" customHeight="1" s="33">
      <c r="A2" s="64" t="inlineStr">
        <is>
          <t>상행</t>
        </is>
      </c>
      <c r="B2" s="35" t="n"/>
      <c r="C2" s="35" t="n"/>
      <c r="D2" s="35" t="n"/>
      <c r="E2" s="35" t="n"/>
      <c r="G2" s="64" t="inlineStr">
        <is>
          <t>하행</t>
        </is>
      </c>
      <c r="H2" s="35" t="n"/>
      <c r="I2" s="35" t="n"/>
      <c r="J2" s="35" t="n"/>
      <c r="K2" s="35" t="n"/>
    </row>
    <row r="3" ht="21.75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비고</t>
        </is>
      </c>
      <c r="G3" s="48" t="inlineStr">
        <is>
          <t>NO</t>
        </is>
      </c>
      <c r="H3" s="49" t="inlineStr">
        <is>
          <t>구역</t>
        </is>
      </c>
      <c r="I3" s="49" t="inlineStr">
        <is>
          <t>회(부서)</t>
        </is>
      </c>
      <c r="J3" s="49" t="inlineStr">
        <is>
          <t>성 명</t>
        </is>
      </c>
      <c r="K3" s="49" t="inlineStr">
        <is>
          <t>비고</t>
        </is>
      </c>
    </row>
    <row r="4" ht="19.5" customHeight="1" s="33">
      <c r="A4" s="41" t="n">
        <v>1</v>
      </c>
      <c r="B4" s="42" t="n"/>
      <c r="C4" s="42" t="n"/>
      <c r="D4" s="42" t="n"/>
      <c r="E4" s="42" t="n"/>
      <c r="H4" s="42" t="n"/>
      <c r="I4" s="42" t="n"/>
      <c r="J4" s="42" t="n"/>
      <c r="K4" s="42" t="n"/>
    </row>
    <row r="5" ht="19.5" customHeight="1" s="33">
      <c r="A5" s="43" t="n">
        <v>2</v>
      </c>
      <c r="B5" s="44" t="n"/>
      <c r="C5" s="44" t="n"/>
      <c r="D5" s="44" t="n"/>
      <c r="E5" s="44" t="n"/>
      <c r="H5" s="44" t="n"/>
      <c r="I5" s="44" t="n"/>
      <c r="J5" s="44" t="n"/>
      <c r="K5" s="44" t="n"/>
    </row>
    <row r="6" ht="19.5" customHeight="1" s="33">
      <c r="A6" s="41" t="n">
        <v>3</v>
      </c>
      <c r="B6" s="42" t="n"/>
      <c r="C6" s="42" t="n"/>
      <c r="D6" s="42" t="n"/>
      <c r="E6" s="42" t="n"/>
      <c r="H6" s="42" t="n"/>
      <c r="I6" s="42" t="n"/>
      <c r="J6" s="42" t="n"/>
      <c r="K6" s="42" t="n"/>
    </row>
    <row r="7" ht="19.5" customHeight="1" s="33">
      <c r="A7" s="43" t="n">
        <v>4</v>
      </c>
      <c r="B7" s="44" t="n"/>
      <c r="C7" s="44" t="n"/>
      <c r="D7" s="44" t="n"/>
      <c r="E7" s="44" t="n"/>
      <c r="H7" s="44" t="n"/>
      <c r="I7" s="44" t="n"/>
      <c r="J7" s="44" t="n"/>
      <c r="K7" s="44" t="n"/>
    </row>
    <row r="8" ht="19.5" customHeight="1" s="33">
      <c r="A8" s="41" t="n">
        <v>5</v>
      </c>
      <c r="B8" s="42" t="n"/>
      <c r="C8" s="42" t="n"/>
      <c r="D8" s="42" t="n"/>
      <c r="E8" s="42" t="n"/>
      <c r="H8" s="42" t="n"/>
      <c r="I8" s="42" t="n"/>
      <c r="J8" s="42" t="n"/>
      <c r="K8" s="42" t="n"/>
    </row>
    <row r="9" ht="19.5" customHeight="1" s="33">
      <c r="A9" s="43" t="n">
        <v>6</v>
      </c>
      <c r="B9" s="44" t="n"/>
      <c r="C9" s="44" t="n"/>
      <c r="D9" s="44" t="n"/>
      <c r="E9" s="44" t="n"/>
      <c r="H9" s="44" t="n"/>
      <c r="I9" s="44" t="n"/>
      <c r="J9" s="44" t="n"/>
      <c r="K9" s="44" t="n"/>
    </row>
    <row r="10" ht="19.5" customHeight="1" s="33">
      <c r="A10" s="41" t="n">
        <v>7</v>
      </c>
      <c r="B10" s="42" t="n"/>
      <c r="C10" s="42" t="n"/>
      <c r="D10" s="42" t="n"/>
      <c r="E10" s="42" t="n"/>
      <c r="H10" s="42" t="n"/>
      <c r="I10" s="42" t="n"/>
      <c r="J10" s="42" t="n"/>
      <c r="K10" s="42" t="n"/>
    </row>
    <row r="11" ht="19.5" customHeight="1" s="33">
      <c r="A11" s="43" t="n">
        <v>8</v>
      </c>
      <c r="B11" s="44" t="n"/>
      <c r="C11" s="44" t="n"/>
      <c r="D11" s="44" t="n"/>
      <c r="E11" s="44" t="n"/>
      <c r="H11" s="44" t="n"/>
      <c r="I11" s="44" t="n"/>
      <c r="J11" s="44" t="n"/>
      <c r="K11" s="44" t="n"/>
    </row>
    <row r="12" ht="19.5" customHeight="1" s="33">
      <c r="A12" s="41" t="n">
        <v>9</v>
      </c>
      <c r="B12" s="42" t="n"/>
      <c r="C12" s="42" t="n"/>
      <c r="D12" s="42" t="n"/>
      <c r="E12" s="42" t="n"/>
      <c r="H12" s="42" t="n"/>
      <c r="I12" s="42" t="n"/>
      <c r="J12" s="42" t="n"/>
      <c r="K12" s="42" t="n"/>
    </row>
    <row r="13" ht="19.5" customHeight="1" s="33">
      <c r="A13" s="43" t="n">
        <v>10</v>
      </c>
      <c r="B13" s="44" t="n"/>
      <c r="C13" s="44" t="n"/>
      <c r="D13" s="44" t="n"/>
      <c r="E13" s="44" t="n"/>
      <c r="H13" s="44" t="n"/>
      <c r="I13" s="44" t="n"/>
      <c r="J13" s="44" t="n"/>
      <c r="K13" s="44" t="n"/>
    </row>
    <row r="14" ht="19.5" customHeight="1" s="33">
      <c r="A14" s="41" t="n">
        <v>11</v>
      </c>
      <c r="B14" s="42" t="n"/>
      <c r="C14" s="42" t="n"/>
      <c r="D14" s="42" t="n"/>
      <c r="E14" s="42" t="n"/>
      <c r="H14" s="42" t="n"/>
      <c r="I14" s="42" t="n"/>
      <c r="J14" s="42" t="n"/>
      <c r="K14" s="42" t="n"/>
    </row>
    <row r="15" ht="19.5" customHeight="1" s="33">
      <c r="A15" s="43" t="n">
        <v>12</v>
      </c>
      <c r="B15" s="44" t="n"/>
      <c r="C15" s="44" t="n"/>
      <c r="D15" s="44" t="n"/>
      <c r="E15" s="44" t="n"/>
      <c r="H15" s="44" t="n"/>
      <c r="I15" s="44" t="n"/>
      <c r="J15" s="44" t="n"/>
      <c r="K15" s="44" t="n"/>
    </row>
    <row r="16" ht="19.5" customHeight="1" s="33">
      <c r="A16" s="41" t="n">
        <v>13</v>
      </c>
      <c r="B16" s="42" t="n"/>
      <c r="C16" s="42" t="n"/>
      <c r="D16" s="42" t="n"/>
      <c r="E16" s="42" t="n"/>
      <c r="H16" s="42" t="n"/>
      <c r="I16" s="42" t="n"/>
      <c r="J16" s="42" t="n"/>
      <c r="K16" s="42" t="n"/>
    </row>
    <row r="17" ht="19.5" customHeight="1" s="33">
      <c r="A17" s="43" t="n">
        <v>14</v>
      </c>
      <c r="B17" s="44" t="n"/>
      <c r="C17" s="44" t="n"/>
      <c r="D17" s="44" t="n"/>
      <c r="E17" s="44" t="n"/>
      <c r="H17" s="44" t="n"/>
      <c r="I17" s="44" t="n"/>
      <c r="J17" s="44" t="n"/>
      <c r="K17" s="44" t="n"/>
    </row>
    <row r="18" ht="19.5" customHeight="1" s="33">
      <c r="A18" s="41" t="n">
        <v>15</v>
      </c>
      <c r="B18" s="42" t="n"/>
      <c r="C18" s="42" t="n"/>
      <c r="D18" s="42" t="n"/>
      <c r="E18" s="42" t="n"/>
      <c r="H18" s="42" t="n"/>
      <c r="I18" s="42" t="n"/>
      <c r="J18" s="42" t="n"/>
      <c r="K18" s="42" t="n"/>
    </row>
    <row r="19" ht="19.5" customHeight="1" s="33">
      <c r="A19" s="43" t="n">
        <v>16</v>
      </c>
      <c r="B19" s="44" t="n"/>
      <c r="C19" s="44" t="n"/>
      <c r="D19" s="44" t="n"/>
      <c r="E19" s="44" t="n"/>
      <c r="H19" s="44" t="n"/>
      <c r="I19" s="44" t="n"/>
      <c r="J19" s="44" t="n"/>
      <c r="K19" s="44" t="n"/>
    </row>
    <row r="20" ht="19.5" customHeight="1" s="33">
      <c r="A20" s="41" t="n">
        <v>17</v>
      </c>
      <c r="B20" s="42" t="n"/>
      <c r="C20" s="42" t="n"/>
      <c r="D20" s="42" t="n"/>
      <c r="E20" s="42" t="n"/>
      <c r="H20" s="42" t="n"/>
      <c r="I20" s="42" t="n"/>
      <c r="J20" s="42" t="n"/>
      <c r="K20" s="42" t="n"/>
    </row>
    <row r="21" ht="19.5" customHeight="1" s="33">
      <c r="A21" s="43" t="n">
        <v>18</v>
      </c>
      <c r="B21" s="44" t="n"/>
      <c r="C21" s="44" t="n"/>
      <c r="D21" s="44" t="n"/>
      <c r="E21" s="44" t="n"/>
      <c r="H21" s="44" t="n"/>
      <c r="I21" s="44" t="n"/>
      <c r="J21" s="44" t="n"/>
      <c r="K21" s="44" t="n"/>
    </row>
    <row r="22" ht="19.5" customHeight="1" s="33">
      <c r="A22" s="41" t="n">
        <v>19</v>
      </c>
      <c r="B22" s="42" t="n"/>
      <c r="C22" s="42" t="n"/>
      <c r="D22" s="42" t="n"/>
      <c r="E22" s="42" t="n"/>
      <c r="H22" s="42" t="n"/>
      <c r="I22" s="42" t="n"/>
      <c r="J22" s="42" t="n"/>
      <c r="K22" s="42" t="n"/>
    </row>
    <row r="23" ht="19.5" customHeight="1" s="33">
      <c r="A23" s="43" t="n">
        <v>20</v>
      </c>
      <c r="B23" s="44" t="n"/>
      <c r="C23" s="44" t="n"/>
      <c r="D23" s="44" t="n"/>
      <c r="E23" s="44" t="n"/>
      <c r="H23" s="44" t="n"/>
      <c r="I23" s="44" t="n"/>
      <c r="J23" s="44" t="n"/>
      <c r="K23" s="44" t="n"/>
    </row>
    <row r="24" ht="19.5" customHeight="1" s="33">
      <c r="A24" s="41" t="n">
        <v>21</v>
      </c>
      <c r="B24" s="42" t="n"/>
      <c r="C24" s="42" t="n"/>
      <c r="D24" s="42" t="n"/>
      <c r="E24" s="42" t="n"/>
      <c r="H24" s="42" t="n"/>
      <c r="I24" s="42" t="n"/>
      <c r="J24" s="42" t="n"/>
      <c r="K24" s="42" t="n"/>
    </row>
    <row r="25" ht="19.5" customHeight="1" s="33">
      <c r="A25" s="43" t="n">
        <v>22</v>
      </c>
      <c r="B25" s="44" t="n"/>
      <c r="C25" s="44" t="n"/>
      <c r="D25" s="44" t="n"/>
      <c r="E25" s="44" t="n"/>
      <c r="H25" s="44" t="n"/>
      <c r="I25" s="44" t="n"/>
      <c r="J25" s="44" t="n"/>
      <c r="K25" s="44" t="n"/>
    </row>
    <row r="26" ht="19.5" customHeight="1" s="33">
      <c r="A26" s="41" t="n">
        <v>23</v>
      </c>
      <c r="B26" s="42" t="n"/>
      <c r="C26" s="42" t="n"/>
      <c r="D26" s="42" t="n"/>
      <c r="E26" s="42" t="n"/>
      <c r="H26" s="42" t="n"/>
      <c r="I26" s="42" t="n"/>
      <c r="J26" s="42" t="n"/>
      <c r="K26" s="42" t="n"/>
    </row>
    <row r="27" ht="19.5" customHeight="1" s="33">
      <c r="A27" s="43" t="n">
        <v>24</v>
      </c>
      <c r="B27" s="44" t="n"/>
      <c r="C27" s="44" t="n"/>
      <c r="D27" s="44" t="n"/>
      <c r="E27" s="44" t="n"/>
      <c r="H27" s="44" t="n"/>
      <c r="I27" s="44" t="n"/>
      <c r="J27" s="44" t="n"/>
      <c r="K27" s="44" t="n"/>
    </row>
    <row r="28" ht="19.5" customHeight="1" s="33">
      <c r="A28" s="41" t="n">
        <v>25</v>
      </c>
      <c r="B28" s="42" t="n"/>
      <c r="C28" s="42" t="n"/>
      <c r="D28" s="42" t="n"/>
      <c r="E28" s="42" t="n"/>
      <c r="H28" s="42" t="n"/>
      <c r="I28" s="42" t="n"/>
      <c r="J28" s="42" t="n"/>
      <c r="K28" s="42" t="n"/>
    </row>
    <row r="29" ht="19.5" customHeight="1" s="33">
      <c r="A29" s="43" t="n">
        <v>26</v>
      </c>
      <c r="B29" s="44" t="n"/>
      <c r="C29" s="44" t="n"/>
      <c r="D29" s="44" t="n"/>
      <c r="E29" s="44" t="n"/>
      <c r="H29" s="44" t="n"/>
      <c r="I29" s="44" t="n"/>
      <c r="J29" s="44" t="n"/>
      <c r="K29" s="44" t="n"/>
    </row>
    <row r="30" ht="19.5" customHeight="1" s="33">
      <c r="A30" s="41" t="n">
        <v>27</v>
      </c>
      <c r="B30" s="42" t="n"/>
      <c r="C30" s="42" t="n"/>
      <c r="D30" s="42" t="n"/>
      <c r="E30" s="42" t="n"/>
      <c r="H30" s="42" t="n"/>
      <c r="I30" s="42" t="n"/>
      <c r="J30" s="42" t="n"/>
      <c r="K30" s="42" t="n"/>
    </row>
    <row r="31" ht="19.5" customHeight="1" s="33">
      <c r="A31" s="43" t="n">
        <v>28</v>
      </c>
      <c r="B31" s="44" t="n"/>
      <c r="C31" s="44" t="n"/>
      <c r="D31" s="44" t="n"/>
      <c r="E31" s="44" t="n"/>
      <c r="H31" s="44" t="n"/>
      <c r="I31" s="44" t="n"/>
      <c r="J31" s="44" t="n"/>
      <c r="K31" s="44" t="n"/>
    </row>
    <row r="32" ht="19.5" customHeight="1" s="33">
      <c r="A32" s="41" t="n">
        <v>29</v>
      </c>
      <c r="B32" s="42" t="n"/>
      <c r="C32" s="42" t="n"/>
      <c r="D32" s="42" t="n"/>
      <c r="E32" s="42" t="n"/>
      <c r="H32" s="42" t="n"/>
      <c r="I32" s="42" t="n"/>
      <c r="J32" s="42" t="n"/>
      <c r="K32" s="42" t="n"/>
    </row>
    <row r="33" ht="19.5" customHeight="1" s="33">
      <c r="A33" s="43" t="n">
        <v>30</v>
      </c>
      <c r="B33" s="44" t="n"/>
      <c r="C33" s="44" t="n"/>
      <c r="D33" s="44" t="n"/>
      <c r="E33" s="44" t="n"/>
      <c r="H33" s="44" t="n"/>
      <c r="I33" s="44" t="n"/>
      <c r="J33" s="44" t="n"/>
      <c r="K33" s="44" t="n"/>
    </row>
    <row r="34" ht="19.5" customHeight="1" s="33">
      <c r="A34" s="41" t="n">
        <v>31</v>
      </c>
      <c r="B34" s="42" t="n"/>
      <c r="C34" s="42" t="n"/>
      <c r="D34" s="42" t="n"/>
      <c r="E34" s="42" t="n"/>
      <c r="H34" s="42" t="n"/>
      <c r="I34" s="42" t="n"/>
      <c r="J34" s="42" t="n"/>
      <c r="K34" s="42" t="n"/>
    </row>
    <row r="35" ht="19.5" customHeight="1" s="33">
      <c r="A35" s="43" t="n">
        <v>32</v>
      </c>
      <c r="B35" s="44" t="n"/>
      <c r="C35" s="44" t="n"/>
      <c r="D35" s="44" t="n"/>
      <c r="E35" s="44" t="n"/>
      <c r="H35" s="44" t="n"/>
      <c r="I35" s="44" t="n"/>
      <c r="J35" s="44" t="n"/>
      <c r="K35" s="44" t="n"/>
    </row>
    <row r="36" ht="19.5" customHeight="1" s="33">
      <c r="A36" s="41" t="n">
        <v>33</v>
      </c>
      <c r="B36" s="42" t="n"/>
      <c r="C36" s="42" t="n"/>
      <c r="D36" s="42" t="n"/>
      <c r="E36" s="42" t="n"/>
      <c r="H36" s="42" t="n"/>
      <c r="I36" s="42" t="n"/>
      <c r="J36" s="42" t="n"/>
      <c r="K36" s="42" t="n"/>
    </row>
    <row r="37" ht="19.5" customHeight="1" s="33">
      <c r="A37" s="43" t="n">
        <v>34</v>
      </c>
      <c r="B37" s="44" t="n"/>
      <c r="C37" s="44" t="n"/>
      <c r="D37" s="44" t="n"/>
      <c r="E37" s="44" t="n"/>
      <c r="H37" s="44" t="n"/>
      <c r="I37" s="44" t="n"/>
      <c r="J37" s="44" t="n"/>
      <c r="K37" s="44" t="n"/>
    </row>
    <row r="38" ht="19.5" customHeight="1" s="33">
      <c r="A38" s="41" t="n">
        <v>35</v>
      </c>
      <c r="B38" s="42" t="n"/>
      <c r="C38" s="42" t="n"/>
      <c r="D38" s="42" t="n"/>
      <c r="E38" s="42" t="n"/>
      <c r="H38" s="42" t="n"/>
      <c r="I38" s="42" t="n"/>
      <c r="J38" s="42" t="n"/>
      <c r="K38" s="42" t="n"/>
    </row>
    <row r="39" ht="19.5" customHeight="1" s="33">
      <c r="A39" s="43" t="n">
        <v>36</v>
      </c>
      <c r="B39" s="44" t="n"/>
      <c r="C39" s="44" t="n"/>
      <c r="D39" s="44" t="n"/>
      <c r="E39" s="44" t="n"/>
      <c r="H39" s="44" t="n"/>
      <c r="I39" s="44" t="n"/>
      <c r="J39" s="44" t="n"/>
      <c r="K39" s="44" t="n"/>
    </row>
    <row r="40" ht="19.5" customHeight="1" s="33">
      <c r="A40" s="41" t="n">
        <v>37</v>
      </c>
      <c r="B40" s="42" t="n"/>
      <c r="C40" s="42" t="n"/>
      <c r="D40" s="42" t="n"/>
      <c r="E40" s="42" t="n"/>
      <c r="H40" s="42" t="n"/>
      <c r="I40" s="42" t="n"/>
      <c r="J40" s="42" t="n"/>
      <c r="K40" s="42" t="n"/>
    </row>
    <row r="41" ht="19.5" customHeight="1" s="33">
      <c r="A41" s="43" t="n">
        <v>38</v>
      </c>
      <c r="B41" s="44" t="n"/>
      <c r="C41" s="44" t="n"/>
      <c r="D41" s="44" t="n"/>
      <c r="E41" s="44" t="n"/>
      <c r="H41" s="44" t="n"/>
      <c r="I41" s="44" t="n"/>
      <c r="J41" s="44" t="n"/>
      <c r="K41" s="44" t="n"/>
    </row>
    <row r="42" ht="19.5" customHeight="1" s="33">
      <c r="A42" s="41" t="n">
        <v>39</v>
      </c>
      <c r="B42" s="42" t="n"/>
      <c r="C42" s="42" t="n"/>
      <c r="D42" s="42" t="n"/>
      <c r="E42" s="42" t="n"/>
      <c r="H42" s="42" t="n"/>
      <c r="I42" s="42" t="n"/>
      <c r="J42" s="42" t="n"/>
      <c r="K42" s="42" t="n"/>
    </row>
    <row r="43" ht="19.5" customHeight="1" s="33">
      <c r="A43" s="43" t="n">
        <v>40</v>
      </c>
      <c r="B43" s="44" t="n"/>
      <c r="C43" s="44" t="n"/>
      <c r="D43" s="44" t="n"/>
      <c r="E43" s="44" t="n"/>
      <c r="H43" s="44" t="n"/>
      <c r="I43" s="44" t="n"/>
      <c r="J43" s="44" t="n"/>
      <c r="K43" s="44" t="n"/>
    </row>
    <row r="44" ht="15" customHeight="1" s="33">
      <c r="A44" s="45" t="inlineStr">
        <is>
          <t>교회차1  합  계</t>
        </is>
      </c>
      <c r="B44" s="35" t="n"/>
      <c r="C44" s="35" t="n"/>
      <c r="D44" s="35" t="n"/>
      <c r="E44" s="35" t="n"/>
      <c r="G44" s="45" t="inlineStr">
        <is>
          <t>교회차1  합  계</t>
        </is>
      </c>
      <c r="H44" s="35" t="n"/>
      <c r="I44" s="35" t="n"/>
      <c r="J44" s="35" t="n"/>
      <c r="K44" s="35" t="n"/>
    </row>
    <row r="45" ht="23.85" customHeight="1" s="33">
      <c r="A45" s="47" t="inlineStr">
        <is>
          <t>교회차2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</row>
    <row r="46" ht="15" customHeight="1" s="33">
      <c r="A46" s="64" t="inlineStr">
        <is>
          <t>상행</t>
        </is>
      </c>
      <c r="B46" s="35" t="n"/>
      <c r="C46" s="35" t="n"/>
      <c r="D46" s="35" t="n"/>
      <c r="E46" s="35" t="n"/>
      <c r="G46" s="64" t="inlineStr">
        <is>
          <t>하행</t>
        </is>
      </c>
      <c r="H46" s="35" t="n"/>
      <c r="I46" s="35" t="n"/>
      <c r="J46" s="35" t="n"/>
      <c r="K46" s="35" t="n"/>
    </row>
    <row r="47" ht="15" customHeight="1" s="33">
      <c r="A47" s="48" t="inlineStr">
        <is>
          <t>NO</t>
        </is>
      </c>
      <c r="B47" s="49" t="inlineStr">
        <is>
          <t>구역</t>
        </is>
      </c>
      <c r="C47" s="49" t="inlineStr">
        <is>
          <t>부서</t>
        </is>
      </c>
      <c r="D47" s="49" t="inlineStr">
        <is>
          <t>성 명</t>
        </is>
      </c>
      <c r="E47" s="49" t="inlineStr">
        <is>
          <t>비고</t>
        </is>
      </c>
      <c r="G47" s="48" t="inlineStr">
        <is>
          <t>NO</t>
        </is>
      </c>
      <c r="H47" s="49" t="inlineStr">
        <is>
          <t>구역</t>
        </is>
      </c>
      <c r="I47" s="49" t="inlineStr">
        <is>
          <t>부서</t>
        </is>
      </c>
      <c r="J47" s="49" t="inlineStr">
        <is>
          <t>성 명</t>
        </is>
      </c>
      <c r="K47" s="49" t="inlineStr">
        <is>
          <t>비고</t>
        </is>
      </c>
    </row>
    <row r="48" ht="19.5" customHeight="1" s="33">
      <c r="A48" s="41" t="n">
        <v>1</v>
      </c>
      <c r="B48" s="42" t="n"/>
      <c r="C48" s="42" t="n"/>
      <c r="D48" s="42" t="n"/>
      <c r="E48" s="42" t="n"/>
      <c r="H48" s="42" t="n"/>
      <c r="I48" s="42" t="n"/>
      <c r="J48" s="42" t="n"/>
      <c r="K48" s="42" t="n"/>
    </row>
    <row r="49" ht="19.5" customHeight="1" s="33">
      <c r="A49" s="43" t="n">
        <v>2</v>
      </c>
      <c r="B49" s="44" t="n"/>
      <c r="C49" s="44" t="n"/>
      <c r="D49" s="44" t="n"/>
      <c r="E49" s="44" t="n"/>
      <c r="H49" s="44" t="n"/>
      <c r="I49" s="44" t="n"/>
      <c r="J49" s="44" t="n"/>
      <c r="K49" s="44" t="n"/>
    </row>
    <row r="50" ht="19.5" customHeight="1" s="33">
      <c r="A50" s="41" t="n">
        <v>3</v>
      </c>
      <c r="B50" s="42" t="n"/>
      <c r="C50" s="42" t="n"/>
      <c r="D50" s="42" t="n"/>
      <c r="E50" s="42" t="n"/>
      <c r="H50" s="42" t="n"/>
      <c r="I50" s="42" t="n"/>
      <c r="J50" s="42" t="n"/>
      <c r="K50" s="42" t="n"/>
    </row>
    <row r="51" ht="19.5" customHeight="1" s="33">
      <c r="A51" s="43" t="n">
        <v>4</v>
      </c>
      <c r="B51" s="44" t="n"/>
      <c r="C51" s="44" t="n"/>
      <c r="D51" s="44" t="n"/>
      <c r="E51" s="44" t="n"/>
      <c r="H51" s="44" t="n"/>
      <c r="I51" s="44" t="n"/>
      <c r="J51" s="44" t="n"/>
      <c r="K51" s="44" t="n"/>
    </row>
    <row r="52" ht="19.5" customHeight="1" s="33">
      <c r="A52" s="41" t="n">
        <v>5</v>
      </c>
      <c r="B52" s="42" t="n"/>
      <c r="C52" s="42" t="n"/>
      <c r="D52" s="42" t="n"/>
      <c r="E52" s="42" t="n"/>
      <c r="H52" s="42" t="n"/>
      <c r="I52" s="42" t="n"/>
      <c r="J52" s="42" t="n"/>
      <c r="K52" s="42" t="n"/>
    </row>
    <row r="53" ht="19.5" customHeight="1" s="33">
      <c r="A53" s="43" t="n">
        <v>6</v>
      </c>
      <c r="B53" s="44" t="n"/>
      <c r="C53" s="44" t="n"/>
      <c r="D53" s="44" t="n"/>
      <c r="E53" s="44" t="n"/>
      <c r="H53" s="44" t="n"/>
      <c r="I53" s="44" t="n"/>
      <c r="J53" s="44" t="n"/>
      <c r="K53" s="44" t="n"/>
    </row>
    <row r="54" ht="19.5" customHeight="1" s="33">
      <c r="A54" s="41" t="n">
        <v>7</v>
      </c>
      <c r="B54" s="42" t="n"/>
      <c r="C54" s="42" t="n"/>
      <c r="D54" s="42" t="n"/>
      <c r="E54" s="42" t="n"/>
      <c r="H54" s="42" t="n"/>
      <c r="I54" s="42" t="n"/>
      <c r="J54" s="42" t="n"/>
      <c r="K54" s="42" t="n"/>
    </row>
    <row r="55" ht="19.5" customHeight="1" s="33">
      <c r="A55" s="43" t="n">
        <v>8</v>
      </c>
      <c r="B55" s="44" t="n"/>
      <c r="C55" s="44" t="n"/>
      <c r="D55" s="44" t="n"/>
      <c r="E55" s="44" t="n"/>
      <c r="H55" s="44" t="n"/>
      <c r="I55" s="44" t="n"/>
      <c r="J55" s="44" t="n"/>
      <c r="K55" s="44" t="n"/>
    </row>
    <row r="56" ht="19.5" customHeight="1" s="33">
      <c r="A56" s="41" t="n">
        <v>9</v>
      </c>
      <c r="B56" s="42" t="n"/>
      <c r="C56" s="42" t="n"/>
      <c r="D56" s="42" t="n"/>
      <c r="E56" s="42" t="n"/>
      <c r="H56" s="42" t="n"/>
      <c r="I56" s="42" t="n"/>
      <c r="J56" s="42" t="n"/>
      <c r="K56" s="42" t="n"/>
    </row>
    <row r="57" ht="19.5" customHeight="1" s="33">
      <c r="A57" s="43" t="n">
        <v>10</v>
      </c>
      <c r="B57" s="44" t="n"/>
      <c r="C57" s="44" t="n"/>
      <c r="D57" s="44" t="n"/>
      <c r="E57" s="44" t="n"/>
      <c r="H57" s="44" t="n"/>
      <c r="I57" s="44" t="n"/>
      <c r="J57" s="44" t="n"/>
      <c r="K57" s="44" t="n"/>
    </row>
    <row r="58" ht="19.5" customHeight="1" s="33">
      <c r="A58" s="41" t="n">
        <v>11</v>
      </c>
      <c r="B58" s="42" t="n"/>
      <c r="C58" s="42" t="n"/>
      <c r="D58" s="42" t="n"/>
      <c r="E58" s="42" t="n"/>
      <c r="H58" s="42" t="n"/>
      <c r="I58" s="42" t="n"/>
      <c r="J58" s="42" t="n"/>
      <c r="K58" s="42" t="n"/>
    </row>
    <row r="59" ht="19.5" customHeight="1" s="33">
      <c r="A59" s="43" t="n">
        <v>12</v>
      </c>
      <c r="B59" s="44" t="n"/>
      <c r="C59" s="44" t="n"/>
      <c r="D59" s="44" t="n"/>
      <c r="E59" s="44" t="n"/>
      <c r="H59" s="44" t="n"/>
      <c r="I59" s="44" t="n"/>
      <c r="J59" s="44" t="n"/>
      <c r="K59" s="44" t="n"/>
    </row>
    <row r="60" ht="19.5" customHeight="1" s="33">
      <c r="A60" s="41" t="n">
        <v>13</v>
      </c>
      <c r="B60" s="42" t="n"/>
      <c r="C60" s="42" t="n"/>
      <c r="D60" s="42" t="n"/>
      <c r="E60" s="42" t="n"/>
      <c r="H60" s="42" t="n"/>
      <c r="I60" s="42" t="n"/>
      <c r="J60" s="42" t="n"/>
      <c r="K60" s="42" t="n"/>
    </row>
    <row r="61" ht="19.5" customHeight="1" s="33">
      <c r="A61" s="43" t="n">
        <v>14</v>
      </c>
      <c r="B61" s="44" t="n"/>
      <c r="C61" s="44" t="n"/>
      <c r="D61" s="44" t="n"/>
      <c r="E61" s="44" t="n"/>
      <c r="H61" s="44" t="n"/>
      <c r="I61" s="44" t="n"/>
      <c r="J61" s="44" t="n"/>
      <c r="K61" s="44" t="n"/>
    </row>
    <row r="62" ht="19.5" customHeight="1" s="33">
      <c r="A62" s="41" t="n">
        <v>15</v>
      </c>
      <c r="B62" s="42" t="n"/>
      <c r="C62" s="42" t="n"/>
      <c r="D62" s="42" t="n"/>
      <c r="E62" s="42" t="n"/>
      <c r="H62" s="42" t="n"/>
      <c r="I62" s="42" t="n"/>
      <c r="J62" s="42" t="n"/>
      <c r="K62" s="42" t="n"/>
    </row>
    <row r="63" ht="19.5" customHeight="1" s="33">
      <c r="A63" s="43" t="n">
        <v>16</v>
      </c>
      <c r="B63" s="44" t="n"/>
      <c r="C63" s="44" t="n"/>
      <c r="D63" s="44" t="n"/>
      <c r="E63" s="44" t="n"/>
      <c r="H63" s="44" t="n"/>
      <c r="I63" s="44" t="n"/>
      <c r="J63" s="44" t="n"/>
      <c r="K63" s="44" t="n"/>
    </row>
    <row r="64" ht="19.5" customHeight="1" s="33">
      <c r="A64" s="41" t="n">
        <v>17</v>
      </c>
      <c r="B64" s="42" t="n"/>
      <c r="C64" s="42" t="n"/>
      <c r="D64" s="42" t="n"/>
      <c r="E64" s="42" t="n"/>
      <c r="H64" s="42" t="n"/>
      <c r="I64" s="42" t="n"/>
      <c r="J64" s="42" t="n"/>
      <c r="K64" s="42" t="n"/>
    </row>
    <row r="65" ht="19.5" customHeight="1" s="33">
      <c r="A65" s="43" t="n">
        <v>18</v>
      </c>
      <c r="B65" s="44" t="n"/>
      <c r="C65" s="44" t="n"/>
      <c r="D65" s="44" t="n"/>
      <c r="E65" s="44" t="n"/>
      <c r="H65" s="44" t="n"/>
      <c r="I65" s="44" t="n"/>
      <c r="J65" s="44" t="n"/>
      <c r="K65" s="44" t="n"/>
    </row>
    <row r="66" ht="19.5" customHeight="1" s="33">
      <c r="A66" s="41" t="n">
        <v>19</v>
      </c>
      <c r="B66" s="42" t="n"/>
      <c r="C66" s="42" t="n"/>
      <c r="D66" s="42" t="n"/>
      <c r="E66" s="42" t="n"/>
      <c r="H66" s="42" t="n"/>
      <c r="I66" s="42" t="n"/>
      <c r="J66" s="42" t="n"/>
      <c r="K66" s="42" t="n"/>
    </row>
    <row r="67" ht="19.5" customHeight="1" s="33">
      <c r="A67" s="43" t="n">
        <v>20</v>
      </c>
      <c r="B67" s="44" t="n"/>
      <c r="C67" s="44" t="n"/>
      <c r="D67" s="44" t="n"/>
      <c r="E67" s="44" t="n"/>
      <c r="H67" s="44" t="n"/>
      <c r="I67" s="44" t="n"/>
      <c r="J67" s="44" t="n"/>
      <c r="K67" s="44" t="n"/>
    </row>
    <row r="68" ht="19.5" customHeight="1" s="33">
      <c r="A68" s="41" t="n">
        <v>21</v>
      </c>
      <c r="B68" s="42" t="n"/>
      <c r="C68" s="42" t="n"/>
      <c r="D68" s="42" t="n"/>
      <c r="E68" s="42" t="n"/>
      <c r="H68" s="42" t="n"/>
      <c r="I68" s="42" t="n"/>
      <c r="J68" s="42" t="n"/>
      <c r="K68" s="42" t="n"/>
    </row>
    <row r="69" ht="19.5" customHeight="1" s="33">
      <c r="A69" s="43" t="n">
        <v>22</v>
      </c>
      <c r="B69" s="44" t="n"/>
      <c r="C69" s="44" t="n"/>
      <c r="D69" s="44" t="n"/>
      <c r="E69" s="44" t="n"/>
      <c r="H69" s="44" t="n"/>
      <c r="I69" s="44" t="n"/>
      <c r="J69" s="44" t="n"/>
      <c r="K69" s="44" t="n"/>
    </row>
    <row r="70" ht="19.5" customHeight="1" s="33">
      <c r="A70" s="41" t="n">
        <v>23</v>
      </c>
      <c r="B70" s="42" t="n"/>
      <c r="C70" s="42" t="n"/>
      <c r="D70" s="42" t="n"/>
      <c r="E70" s="42" t="n"/>
      <c r="H70" s="42" t="n"/>
      <c r="I70" s="42" t="n"/>
      <c r="J70" s="42" t="n"/>
      <c r="K70" s="42" t="n"/>
    </row>
    <row r="71" ht="19.5" customHeight="1" s="33">
      <c r="A71" s="43" t="n">
        <v>24</v>
      </c>
      <c r="B71" s="44" t="n"/>
      <c r="C71" s="44" t="n"/>
      <c r="D71" s="44" t="n"/>
      <c r="E71" s="44" t="n"/>
      <c r="H71" s="44" t="n"/>
      <c r="I71" s="44" t="n"/>
      <c r="J71" s="44" t="n"/>
      <c r="K71" s="44" t="n"/>
    </row>
    <row r="72" ht="19.5" customHeight="1" s="33">
      <c r="A72" s="41" t="n">
        <v>25</v>
      </c>
      <c r="B72" s="42" t="n"/>
      <c r="C72" s="42" t="n"/>
      <c r="D72" s="42" t="n"/>
      <c r="E72" s="42" t="n"/>
      <c r="H72" s="42" t="n"/>
      <c r="I72" s="42" t="n"/>
      <c r="J72" s="42" t="n"/>
      <c r="K72" s="42" t="n"/>
    </row>
    <row r="73" ht="19.5" customHeight="1" s="33">
      <c r="A73" s="43" t="n">
        <v>26</v>
      </c>
      <c r="B73" s="44" t="n"/>
      <c r="C73" s="44" t="n"/>
      <c r="D73" s="44" t="n"/>
      <c r="E73" s="44" t="n"/>
      <c r="H73" s="44" t="n"/>
      <c r="I73" s="44" t="n"/>
      <c r="J73" s="44" t="n"/>
      <c r="K73" s="44" t="n"/>
    </row>
    <row r="74" ht="19.5" customHeight="1" s="33">
      <c r="A74" s="41" t="n">
        <v>27</v>
      </c>
      <c r="B74" s="42" t="n"/>
      <c r="C74" s="42" t="n"/>
      <c r="D74" s="42" t="n"/>
      <c r="E74" s="42" t="n"/>
      <c r="H74" s="42" t="n"/>
      <c r="I74" s="42" t="n"/>
      <c r="J74" s="42" t="n"/>
      <c r="K74" s="42" t="n"/>
    </row>
    <row r="75" ht="19.5" customHeight="1" s="33">
      <c r="A75" s="43" t="n">
        <v>28</v>
      </c>
      <c r="B75" s="44" t="n"/>
      <c r="C75" s="44" t="n"/>
      <c r="D75" s="44" t="n"/>
      <c r="E75" s="44" t="n"/>
      <c r="H75" s="44" t="n"/>
      <c r="I75" s="44" t="n"/>
      <c r="J75" s="44" t="n"/>
      <c r="K75" s="44" t="n"/>
    </row>
    <row r="76" ht="19.5" customHeight="1" s="33">
      <c r="A76" s="41" t="n">
        <v>29</v>
      </c>
      <c r="B76" s="42" t="n"/>
      <c r="C76" s="42" t="n"/>
      <c r="D76" s="42" t="n"/>
      <c r="E76" s="42" t="n"/>
      <c r="H76" s="42" t="n"/>
      <c r="I76" s="42" t="n"/>
      <c r="J76" s="42" t="n"/>
      <c r="K76" s="42" t="n"/>
    </row>
    <row r="77" ht="19.5" customHeight="1" s="33">
      <c r="A77" s="43" t="n">
        <v>30</v>
      </c>
      <c r="B77" s="44" t="n"/>
      <c r="C77" s="44" t="n"/>
      <c r="D77" s="44" t="n"/>
      <c r="E77" s="44" t="n"/>
      <c r="H77" s="44" t="n"/>
      <c r="I77" s="44" t="n"/>
      <c r="J77" s="44" t="n"/>
      <c r="K77" s="44" t="n"/>
    </row>
    <row r="78" ht="19.5" customHeight="1" s="33">
      <c r="A78" s="41" t="n">
        <v>31</v>
      </c>
      <c r="B78" s="42" t="n"/>
      <c r="C78" s="42" t="n"/>
      <c r="D78" s="42" t="n"/>
      <c r="E78" s="42" t="n"/>
      <c r="H78" s="42" t="n"/>
      <c r="I78" s="42" t="n"/>
      <c r="J78" s="42" t="n"/>
      <c r="K78" s="42" t="n"/>
    </row>
    <row r="79" ht="19.5" customHeight="1" s="33">
      <c r="A79" s="43" t="n">
        <v>32</v>
      </c>
      <c r="B79" s="44" t="n"/>
      <c r="C79" s="44" t="n"/>
      <c r="D79" s="44" t="n"/>
      <c r="E79" s="44" t="n"/>
      <c r="H79" s="44" t="n"/>
      <c r="I79" s="44" t="n"/>
      <c r="J79" s="44" t="n"/>
      <c r="K79" s="44" t="n"/>
    </row>
    <row r="80" ht="19.5" customHeight="1" s="33">
      <c r="A80" s="41" t="n">
        <v>33</v>
      </c>
      <c r="B80" s="42" t="n"/>
      <c r="C80" s="42" t="n"/>
      <c r="D80" s="42" t="n"/>
      <c r="E80" s="42" t="n"/>
      <c r="H80" s="42" t="n"/>
      <c r="I80" s="42" t="n"/>
      <c r="J80" s="42" t="n"/>
      <c r="K80" s="42" t="n"/>
    </row>
    <row r="81" ht="19.5" customHeight="1" s="33">
      <c r="A81" s="43" t="n">
        <v>34</v>
      </c>
      <c r="B81" s="44" t="n"/>
      <c r="C81" s="44" t="n"/>
      <c r="D81" s="44" t="n"/>
      <c r="E81" s="44" t="n"/>
      <c r="H81" s="44" t="n"/>
      <c r="I81" s="44" t="n"/>
      <c r="J81" s="44" t="n"/>
      <c r="K81" s="44" t="n"/>
    </row>
    <row r="82" ht="19.5" customHeight="1" s="33">
      <c r="A82" s="41" t="n">
        <v>35</v>
      </c>
      <c r="B82" s="42" t="n"/>
      <c r="C82" s="42" t="n"/>
      <c r="D82" s="42" t="n"/>
      <c r="E82" s="42" t="n"/>
      <c r="H82" s="42" t="n"/>
      <c r="I82" s="42" t="n"/>
      <c r="J82" s="42" t="n"/>
      <c r="K82" s="42" t="n"/>
    </row>
    <row r="83" ht="19.5" customHeight="1" s="33">
      <c r="A83" s="43" t="n">
        <v>36</v>
      </c>
      <c r="B83" s="44" t="n"/>
      <c r="C83" s="44" t="n"/>
      <c r="D83" s="44" t="n"/>
      <c r="E83" s="44" t="n"/>
      <c r="H83" s="44" t="n"/>
      <c r="I83" s="44" t="n"/>
      <c r="J83" s="44" t="n"/>
      <c r="K83" s="44" t="n"/>
    </row>
    <row r="84" ht="19.5" customHeight="1" s="33">
      <c r="A84" s="41" t="n">
        <v>37</v>
      </c>
      <c r="B84" s="42" t="n"/>
      <c r="C84" s="42" t="n"/>
      <c r="D84" s="42" t="n"/>
      <c r="E84" s="42" t="n"/>
      <c r="H84" s="42" t="n"/>
      <c r="I84" s="42" t="n"/>
      <c r="J84" s="42" t="n"/>
      <c r="K84" s="42" t="n"/>
    </row>
    <row r="85" ht="19.5" customHeight="1" s="33">
      <c r="A85" s="43" t="n">
        <v>38</v>
      </c>
      <c r="B85" s="44" t="n"/>
      <c r="C85" s="44" t="n"/>
      <c r="D85" s="44" t="n"/>
      <c r="E85" s="44" t="n"/>
      <c r="H85" s="44" t="n"/>
      <c r="I85" s="44" t="n"/>
      <c r="J85" s="44" t="n"/>
      <c r="K85" s="44" t="n"/>
    </row>
    <row r="86" ht="19.5" customHeight="1" s="33">
      <c r="A86" s="41" t="n">
        <v>39</v>
      </c>
      <c r="B86" s="42" t="n"/>
      <c r="C86" s="42" t="n"/>
      <c r="D86" s="42" t="n"/>
      <c r="E86" s="42" t="n"/>
      <c r="H86" s="42" t="n"/>
      <c r="I86" s="42" t="n"/>
      <c r="J86" s="42" t="n"/>
      <c r="K86" s="42" t="n"/>
    </row>
    <row r="87" ht="19.5" customHeight="1" s="33">
      <c r="A87" s="43" t="n">
        <v>40</v>
      </c>
      <c r="B87" s="44" t="n"/>
      <c r="C87" s="44" t="n"/>
      <c r="D87" s="44" t="n"/>
      <c r="E87" s="44" t="n"/>
      <c r="H87" s="44" t="n"/>
      <c r="I87" s="44" t="n"/>
      <c r="J87" s="44" t="n"/>
      <c r="K87" s="44" t="n"/>
    </row>
    <row r="88" ht="15" customHeight="1" s="33">
      <c r="A88" s="45" t="inlineStr">
        <is>
          <t>교회차2  합  계</t>
        </is>
      </c>
      <c r="B88" s="35" t="n"/>
      <c r="C88" s="35" t="n"/>
      <c r="D88" s="35" t="n"/>
      <c r="E88" s="35" t="n"/>
      <c r="G88" s="45" t="inlineStr">
        <is>
          <t>교회차2  합  계</t>
        </is>
      </c>
      <c r="H88" s="35" t="n"/>
      <c r="I88" s="35" t="n"/>
      <c r="J88" s="35" t="n"/>
      <c r="K88" s="35" t="n"/>
    </row>
    <row r="89" ht="30" customHeight="1" s="33">
      <c r="A89" s="47" t="inlineStr">
        <is>
          <t>교회차3  ─  본대 출발</t>
        </is>
      </c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</row>
    <row r="90" ht="21.75" customHeight="1" s="33">
      <c r="A90" s="64" t="inlineStr">
        <is>
          <t>상행</t>
        </is>
      </c>
      <c r="B90" s="35" t="n"/>
      <c r="C90" s="35" t="n"/>
      <c r="D90" s="35" t="n"/>
      <c r="E90" s="35" t="n"/>
      <c r="G90" s="64" t="inlineStr">
        <is>
          <t>하행</t>
        </is>
      </c>
      <c r="H90" s="35" t="n"/>
      <c r="I90" s="35" t="n"/>
      <c r="J90" s="35" t="n"/>
      <c r="K90" s="35" t="n"/>
    </row>
    <row r="91" ht="21.75" customHeight="1" s="33">
      <c r="A91" s="48" t="inlineStr">
        <is>
          <t>NO</t>
        </is>
      </c>
      <c r="B91" s="49" t="inlineStr">
        <is>
          <t>구역</t>
        </is>
      </c>
      <c r="C91" s="49" t="inlineStr">
        <is>
          <t>회(부서)</t>
        </is>
      </c>
      <c r="D91" s="49" t="inlineStr">
        <is>
          <t>성 명</t>
        </is>
      </c>
      <c r="E91" s="49" t="inlineStr">
        <is>
          <t>비고</t>
        </is>
      </c>
      <c r="G91" s="48" t="inlineStr">
        <is>
          <t>NO</t>
        </is>
      </c>
      <c r="H91" s="49" t="inlineStr">
        <is>
          <t>구역</t>
        </is>
      </c>
      <c r="I91" s="49" t="inlineStr">
        <is>
          <t>회(부서)</t>
        </is>
      </c>
      <c r="J91" s="49" t="inlineStr">
        <is>
          <t>성 명</t>
        </is>
      </c>
      <c r="K91" s="49" t="inlineStr">
        <is>
          <t>비고</t>
        </is>
      </c>
    </row>
    <row r="92" ht="19.5" customHeight="1" s="33">
      <c r="A92" s="41" t="n">
        <v>1</v>
      </c>
      <c r="B92" s="42" t="n"/>
      <c r="C92" s="42" t="n"/>
      <c r="D92" s="42" t="n"/>
      <c r="E92" s="42" t="n"/>
      <c r="H92" s="42" t="n"/>
      <c r="I92" s="42" t="n"/>
      <c r="J92" s="42" t="n"/>
      <c r="K92" s="42" t="n"/>
    </row>
    <row r="93" ht="19.5" customHeight="1" s="33">
      <c r="A93" s="43" t="n">
        <v>2</v>
      </c>
      <c r="B93" s="44" t="n"/>
      <c r="C93" s="44" t="n"/>
      <c r="D93" s="44" t="n"/>
      <c r="E93" s="44" t="n"/>
      <c r="H93" s="44" t="n"/>
      <c r="I93" s="44" t="n"/>
      <c r="J93" s="44" t="n"/>
      <c r="K93" s="44" t="n"/>
    </row>
    <row r="94" ht="19.5" customHeight="1" s="33">
      <c r="A94" s="41" t="n">
        <v>3</v>
      </c>
      <c r="B94" s="42" t="n"/>
      <c r="C94" s="42" t="n"/>
      <c r="D94" s="42" t="n"/>
      <c r="E94" s="42" t="n"/>
      <c r="H94" s="42" t="n"/>
      <c r="I94" s="42" t="n"/>
      <c r="J94" s="42" t="n"/>
      <c r="K94" s="42" t="n"/>
    </row>
    <row r="95" ht="19.5" customHeight="1" s="33">
      <c r="A95" s="43" t="n">
        <v>4</v>
      </c>
      <c r="B95" s="44" t="n"/>
      <c r="C95" s="44" t="n"/>
      <c r="D95" s="44" t="n"/>
      <c r="E95" s="44" t="n"/>
      <c r="H95" s="44" t="n"/>
      <c r="I95" s="44" t="n"/>
      <c r="J95" s="44" t="n"/>
      <c r="K95" s="44" t="n"/>
    </row>
    <row r="96" ht="19.5" customHeight="1" s="33">
      <c r="A96" s="41" t="n">
        <v>5</v>
      </c>
      <c r="B96" s="42" t="n"/>
      <c r="C96" s="42" t="n"/>
      <c r="D96" s="42" t="n"/>
      <c r="E96" s="42" t="n"/>
      <c r="H96" s="42" t="n"/>
      <c r="I96" s="42" t="n"/>
      <c r="J96" s="42" t="n"/>
      <c r="K96" s="42" t="n"/>
    </row>
    <row r="97" ht="19.5" customHeight="1" s="33">
      <c r="A97" s="43" t="n">
        <v>6</v>
      </c>
      <c r="B97" s="44" t="n"/>
      <c r="C97" s="44" t="n"/>
      <c r="D97" s="44" t="n"/>
      <c r="E97" s="44" t="n"/>
      <c r="H97" s="44" t="n"/>
      <c r="I97" s="44" t="n"/>
      <c r="J97" s="44" t="n"/>
      <c r="K97" s="44" t="n"/>
    </row>
    <row r="98" ht="19.5" customHeight="1" s="33">
      <c r="A98" s="41" t="n">
        <v>7</v>
      </c>
      <c r="B98" s="42" t="n"/>
      <c r="C98" s="42" t="n"/>
      <c r="D98" s="42" t="n"/>
      <c r="E98" s="42" t="n"/>
      <c r="H98" s="42" t="n"/>
      <c r="I98" s="42" t="n"/>
      <c r="J98" s="42" t="n"/>
      <c r="K98" s="42" t="n"/>
    </row>
    <row r="99" ht="19.5" customHeight="1" s="33">
      <c r="A99" s="43" t="n">
        <v>8</v>
      </c>
      <c r="B99" s="44" t="n"/>
      <c r="C99" s="44" t="n"/>
      <c r="D99" s="44" t="n"/>
      <c r="E99" s="44" t="n"/>
      <c r="H99" s="44" t="n"/>
      <c r="I99" s="44" t="n"/>
      <c r="J99" s="44" t="n"/>
      <c r="K99" s="44" t="n"/>
    </row>
    <row r="100" ht="19.5" customHeight="1" s="33">
      <c r="A100" s="41" t="n">
        <v>9</v>
      </c>
      <c r="B100" s="42" t="n"/>
      <c r="C100" s="42" t="n"/>
      <c r="D100" s="42" t="n"/>
      <c r="E100" s="42" t="n"/>
      <c r="H100" s="42" t="n"/>
      <c r="I100" s="42" t="n"/>
      <c r="J100" s="42" t="n"/>
      <c r="K100" s="42" t="n"/>
    </row>
    <row r="101" ht="19.5" customHeight="1" s="33">
      <c r="A101" s="43" t="n">
        <v>10</v>
      </c>
      <c r="B101" s="44" t="n"/>
      <c r="C101" s="44" t="n"/>
      <c r="D101" s="44" t="n"/>
      <c r="E101" s="44" t="n"/>
      <c r="H101" s="44" t="n"/>
      <c r="I101" s="44" t="n"/>
      <c r="J101" s="44" t="n"/>
      <c r="K101" s="44" t="n"/>
    </row>
    <row r="102" ht="19.5" customHeight="1" s="33">
      <c r="A102" s="41" t="n">
        <v>11</v>
      </c>
      <c r="B102" s="42" t="n"/>
      <c r="C102" s="42" t="n"/>
      <c r="D102" s="42" t="n"/>
      <c r="E102" s="42" t="n"/>
      <c r="H102" s="42" t="n"/>
      <c r="I102" s="42" t="n"/>
      <c r="J102" s="42" t="n"/>
      <c r="K102" s="42" t="n"/>
    </row>
    <row r="103" ht="19.5" customHeight="1" s="33">
      <c r="A103" s="43" t="n">
        <v>12</v>
      </c>
      <c r="B103" s="44" t="n"/>
      <c r="C103" s="44" t="n"/>
      <c r="D103" s="44" t="n"/>
      <c r="E103" s="44" t="n"/>
      <c r="H103" s="44" t="n"/>
      <c r="I103" s="44" t="n"/>
      <c r="J103" s="44" t="n"/>
      <c r="K103" s="44" t="n"/>
    </row>
    <row r="104" ht="19.5" customHeight="1" s="33">
      <c r="A104" s="41" t="n">
        <v>13</v>
      </c>
      <c r="B104" s="42" t="n"/>
      <c r="C104" s="42" t="n"/>
      <c r="D104" s="42" t="n"/>
      <c r="E104" s="42" t="n"/>
      <c r="H104" s="42" t="n"/>
      <c r="I104" s="42" t="n"/>
      <c r="J104" s="42" t="n"/>
      <c r="K104" s="42" t="n"/>
    </row>
    <row r="105" ht="19.5" customHeight="1" s="33">
      <c r="A105" s="43" t="n">
        <v>14</v>
      </c>
      <c r="B105" s="44" t="n"/>
      <c r="C105" s="44" t="n"/>
      <c r="D105" s="44" t="n"/>
      <c r="E105" s="44" t="n"/>
      <c r="H105" s="44" t="n"/>
      <c r="I105" s="44" t="n"/>
      <c r="J105" s="44" t="n"/>
      <c r="K105" s="44" t="n"/>
    </row>
    <row r="106" ht="19.5" customHeight="1" s="33">
      <c r="A106" s="41" t="n">
        <v>15</v>
      </c>
      <c r="B106" s="42" t="n"/>
      <c r="C106" s="42" t="n"/>
      <c r="D106" s="42" t="n"/>
      <c r="E106" s="42" t="n"/>
      <c r="H106" s="42" t="n"/>
      <c r="I106" s="42" t="n"/>
      <c r="J106" s="42" t="n"/>
      <c r="K106" s="42" t="n"/>
    </row>
    <row r="107" ht="19.5" customHeight="1" s="33">
      <c r="A107" s="43" t="n">
        <v>16</v>
      </c>
      <c r="B107" s="44" t="n"/>
      <c r="C107" s="44" t="n"/>
      <c r="D107" s="44" t="n"/>
      <c r="E107" s="44" t="n"/>
      <c r="H107" s="44" t="n"/>
      <c r="I107" s="44" t="n"/>
      <c r="J107" s="44" t="n"/>
      <c r="K107" s="44" t="n"/>
    </row>
    <row r="108" ht="19.5" customHeight="1" s="33">
      <c r="A108" s="41" t="n">
        <v>17</v>
      </c>
      <c r="B108" s="42" t="n"/>
      <c r="C108" s="42" t="n"/>
      <c r="D108" s="42" t="n"/>
      <c r="E108" s="42" t="n"/>
      <c r="H108" s="42" t="n"/>
      <c r="I108" s="42" t="n"/>
      <c r="J108" s="42" t="n"/>
      <c r="K108" s="42" t="n"/>
    </row>
    <row r="109" ht="19.5" customHeight="1" s="33">
      <c r="A109" s="43" t="n">
        <v>18</v>
      </c>
      <c r="B109" s="44" t="n"/>
      <c r="C109" s="44" t="n"/>
      <c r="D109" s="44" t="n"/>
      <c r="E109" s="44" t="n"/>
      <c r="H109" s="44" t="n"/>
      <c r="I109" s="44" t="n"/>
      <c r="J109" s="44" t="n"/>
      <c r="K109" s="44" t="n"/>
    </row>
    <row r="110" ht="19.5" customHeight="1" s="33">
      <c r="A110" s="41" t="n">
        <v>19</v>
      </c>
      <c r="B110" s="42" t="n"/>
      <c r="C110" s="42" t="n"/>
      <c r="D110" s="42" t="n"/>
      <c r="E110" s="42" t="n"/>
      <c r="H110" s="42" t="n"/>
      <c r="I110" s="42" t="n"/>
      <c r="J110" s="42" t="n"/>
      <c r="K110" s="42" t="n"/>
    </row>
    <row r="111" ht="19.5" customHeight="1" s="33">
      <c r="A111" s="43" t="n">
        <v>20</v>
      </c>
      <c r="B111" s="44" t="n"/>
      <c r="C111" s="44" t="n"/>
      <c r="D111" s="44" t="n"/>
      <c r="E111" s="44" t="n"/>
      <c r="H111" s="44" t="n"/>
      <c r="I111" s="44" t="n"/>
      <c r="J111" s="44" t="n"/>
      <c r="K111" s="44" t="n"/>
    </row>
    <row r="112" ht="19.5" customHeight="1" s="33">
      <c r="A112" s="41" t="n">
        <v>21</v>
      </c>
      <c r="B112" s="42" t="n"/>
      <c r="C112" s="42" t="n"/>
      <c r="D112" s="42" t="n"/>
      <c r="E112" s="42" t="n"/>
      <c r="H112" s="42" t="n"/>
      <c r="I112" s="42" t="n"/>
      <c r="J112" s="42" t="n"/>
      <c r="K112" s="42" t="n"/>
    </row>
    <row r="113" ht="19.5" customHeight="1" s="33">
      <c r="A113" s="43" t="n">
        <v>22</v>
      </c>
      <c r="B113" s="44" t="n"/>
      <c r="C113" s="44" t="n"/>
      <c r="D113" s="44" t="n"/>
      <c r="E113" s="44" t="n"/>
      <c r="H113" s="44" t="n"/>
      <c r="I113" s="44" t="n"/>
      <c r="J113" s="44" t="n"/>
      <c r="K113" s="44" t="n"/>
    </row>
    <row r="114" ht="19.5" customHeight="1" s="33">
      <c r="A114" s="41" t="n">
        <v>23</v>
      </c>
      <c r="B114" s="42" t="n"/>
      <c r="C114" s="42" t="n"/>
      <c r="D114" s="42" t="n"/>
      <c r="E114" s="42" t="n"/>
      <c r="H114" s="42" t="n"/>
      <c r="I114" s="42" t="n"/>
      <c r="J114" s="42" t="n"/>
      <c r="K114" s="42" t="n"/>
    </row>
    <row r="115" ht="19.5" customHeight="1" s="33">
      <c r="A115" s="43" t="n">
        <v>24</v>
      </c>
      <c r="B115" s="44" t="n"/>
      <c r="C115" s="44" t="n"/>
      <c r="D115" s="44" t="n"/>
      <c r="E115" s="44" t="n"/>
      <c r="H115" s="44" t="n"/>
      <c r="I115" s="44" t="n"/>
      <c r="J115" s="44" t="n"/>
      <c r="K115" s="44" t="n"/>
    </row>
    <row r="116" ht="19.5" customHeight="1" s="33">
      <c r="A116" s="41" t="n">
        <v>25</v>
      </c>
      <c r="B116" s="42" t="n"/>
      <c r="C116" s="42" t="n"/>
      <c r="D116" s="42" t="n"/>
      <c r="E116" s="42" t="n"/>
      <c r="H116" s="42" t="n"/>
      <c r="I116" s="42" t="n"/>
      <c r="J116" s="42" t="n"/>
      <c r="K116" s="42" t="n"/>
    </row>
    <row r="117" ht="19.5" customHeight="1" s="33">
      <c r="A117" s="43" t="n">
        <v>26</v>
      </c>
      <c r="B117" s="44" t="n"/>
      <c r="C117" s="44" t="n"/>
      <c r="D117" s="44" t="n"/>
      <c r="E117" s="44" t="n"/>
      <c r="H117" s="44" t="n"/>
      <c r="I117" s="44" t="n"/>
      <c r="J117" s="44" t="n"/>
      <c r="K117" s="44" t="n"/>
    </row>
    <row r="118" ht="19.5" customHeight="1" s="33">
      <c r="A118" s="41" t="n">
        <v>27</v>
      </c>
      <c r="B118" s="42" t="n"/>
      <c r="C118" s="42" t="n"/>
      <c r="D118" s="42" t="n"/>
      <c r="E118" s="42" t="n"/>
      <c r="H118" s="42" t="n"/>
      <c r="I118" s="42" t="n"/>
      <c r="J118" s="42" t="n"/>
      <c r="K118" s="42" t="n"/>
    </row>
    <row r="119" ht="19.5" customHeight="1" s="33">
      <c r="A119" s="43" t="n">
        <v>28</v>
      </c>
      <c r="B119" s="44" t="n"/>
      <c r="C119" s="44" t="n"/>
      <c r="D119" s="44" t="n"/>
      <c r="E119" s="44" t="n"/>
      <c r="H119" s="44" t="n"/>
      <c r="I119" s="44" t="n"/>
      <c r="J119" s="44" t="n"/>
      <c r="K119" s="44" t="n"/>
    </row>
    <row r="120" ht="19.5" customHeight="1" s="33">
      <c r="A120" s="41" t="n">
        <v>29</v>
      </c>
      <c r="B120" s="42" t="n"/>
      <c r="C120" s="42" t="n"/>
      <c r="D120" s="42" t="n"/>
      <c r="E120" s="42" t="n"/>
      <c r="H120" s="42" t="n"/>
      <c r="I120" s="42" t="n"/>
      <c r="J120" s="42" t="n"/>
      <c r="K120" s="42" t="n"/>
    </row>
    <row r="121" ht="19.5" customHeight="1" s="33">
      <c r="A121" s="43" t="n">
        <v>30</v>
      </c>
      <c r="B121" s="44" t="n"/>
      <c r="C121" s="44" t="n"/>
      <c r="D121" s="44" t="n"/>
      <c r="E121" s="44" t="n"/>
      <c r="H121" s="44" t="n"/>
      <c r="I121" s="44" t="n"/>
      <c r="J121" s="44" t="n"/>
      <c r="K121" s="44" t="n"/>
    </row>
    <row r="122" ht="19.5" customHeight="1" s="33">
      <c r="A122" s="41" t="n">
        <v>31</v>
      </c>
      <c r="B122" s="42" t="n"/>
      <c r="C122" s="42" t="n"/>
      <c r="D122" s="42" t="n"/>
      <c r="E122" s="42" t="n"/>
      <c r="H122" s="42" t="n"/>
      <c r="I122" s="42" t="n"/>
      <c r="J122" s="42" t="n"/>
      <c r="K122" s="42" t="n"/>
    </row>
    <row r="123" ht="19.5" customHeight="1" s="33">
      <c r="A123" s="43" t="n">
        <v>32</v>
      </c>
      <c r="B123" s="44" t="n"/>
      <c r="C123" s="44" t="n"/>
      <c r="D123" s="44" t="n"/>
      <c r="E123" s="44" t="n"/>
      <c r="H123" s="44" t="n"/>
      <c r="I123" s="44" t="n"/>
      <c r="J123" s="44" t="n"/>
      <c r="K123" s="44" t="n"/>
    </row>
    <row r="124" ht="19.5" customHeight="1" s="33">
      <c r="A124" s="41" t="n">
        <v>33</v>
      </c>
      <c r="B124" s="42" t="n"/>
      <c r="C124" s="42" t="n"/>
      <c r="D124" s="42" t="n"/>
      <c r="E124" s="42" t="n"/>
      <c r="H124" s="42" t="n"/>
      <c r="I124" s="42" t="n"/>
      <c r="J124" s="42" t="n"/>
      <c r="K124" s="42" t="n"/>
    </row>
    <row r="125" ht="19.5" customHeight="1" s="33">
      <c r="A125" s="43" t="n">
        <v>34</v>
      </c>
      <c r="B125" s="44" t="n"/>
      <c r="C125" s="44" t="n"/>
      <c r="D125" s="44" t="n"/>
      <c r="E125" s="44" t="n"/>
      <c r="H125" s="44" t="n"/>
      <c r="I125" s="44" t="n"/>
      <c r="J125" s="44" t="n"/>
      <c r="K125" s="44" t="n"/>
    </row>
    <row r="126" ht="19.5" customHeight="1" s="33">
      <c r="A126" s="41" t="n">
        <v>35</v>
      </c>
      <c r="B126" s="42" t="n"/>
      <c r="C126" s="42" t="n"/>
      <c r="D126" s="42" t="n"/>
      <c r="E126" s="42" t="n"/>
      <c r="H126" s="42" t="n"/>
      <c r="I126" s="42" t="n"/>
      <c r="J126" s="42" t="n"/>
      <c r="K126" s="42" t="n"/>
    </row>
    <row r="127" ht="19.5" customHeight="1" s="33">
      <c r="A127" s="43" t="n">
        <v>36</v>
      </c>
      <c r="B127" s="44" t="n"/>
      <c r="C127" s="44" t="n"/>
      <c r="D127" s="44" t="n"/>
      <c r="E127" s="44" t="n"/>
      <c r="H127" s="44" t="n"/>
      <c r="I127" s="44" t="n"/>
      <c r="J127" s="44" t="n"/>
      <c r="K127" s="44" t="n"/>
    </row>
    <row r="128" ht="19.5" customHeight="1" s="33">
      <c r="A128" s="41" t="n">
        <v>37</v>
      </c>
      <c r="B128" s="42" t="n"/>
      <c r="C128" s="42" t="n"/>
      <c r="D128" s="42" t="n"/>
      <c r="E128" s="42" t="n"/>
      <c r="H128" s="42" t="n"/>
      <c r="I128" s="42" t="n"/>
      <c r="J128" s="42" t="n"/>
      <c r="K128" s="42" t="n"/>
    </row>
    <row r="129" ht="19.5" customHeight="1" s="33">
      <c r="A129" s="43" t="n">
        <v>38</v>
      </c>
      <c r="B129" s="44" t="n"/>
      <c r="C129" s="44" t="n"/>
      <c r="D129" s="44" t="n"/>
      <c r="E129" s="44" t="n"/>
      <c r="H129" s="44" t="n"/>
      <c r="I129" s="44" t="n"/>
      <c r="J129" s="44" t="n"/>
      <c r="K129" s="44" t="n"/>
    </row>
    <row r="130" ht="19.5" customHeight="1" s="33">
      <c r="A130" s="41" t="n">
        <v>39</v>
      </c>
      <c r="B130" s="42" t="n"/>
      <c r="C130" s="42" t="n"/>
      <c r="D130" s="42" t="n"/>
      <c r="E130" s="42" t="n"/>
      <c r="H130" s="42" t="n"/>
      <c r="I130" s="42" t="n"/>
      <c r="J130" s="42" t="n"/>
      <c r="K130" s="42" t="n"/>
    </row>
    <row r="131" ht="19.5" customHeight="1" s="33">
      <c r="A131" s="43" t="n">
        <v>40</v>
      </c>
      <c r="B131" s="44" t="n"/>
      <c r="C131" s="44" t="n"/>
      <c r="D131" s="44" t="n"/>
      <c r="E131" s="44" t="n"/>
      <c r="H131" s="44" t="n"/>
      <c r="I131" s="44" t="n"/>
      <c r="J131" s="44" t="n"/>
      <c r="K131" s="44" t="n"/>
    </row>
    <row r="132" ht="15" customHeight="1" s="33">
      <c r="A132" s="45" t="inlineStr">
        <is>
          <t>교회차3  합  계</t>
        </is>
      </c>
      <c r="B132" s="35" t="n"/>
      <c r="C132" s="35" t="n"/>
      <c r="D132" s="35" t="n"/>
      <c r="E132" s="35" t="n"/>
      <c r="G132" s="45" t="inlineStr">
        <is>
          <t>교회차3  합  계</t>
        </is>
      </c>
      <c r="H132" s="35" t="n"/>
      <c r="I132" s="35" t="n"/>
      <c r="J132" s="35" t="n"/>
      <c r="K132" s="35" t="n"/>
    </row>
    <row r="133" ht="30" customHeight="1" s="33">
      <c r="A133" s="47" t="inlineStr">
        <is>
          <t>교회차4  ─  본대 출발</t>
        </is>
      </c>
      <c r="B133" s="35" t="n"/>
      <c r="C133" s="35" t="n"/>
      <c r="D133" s="35" t="n"/>
      <c r="E133" s="35" t="n"/>
      <c r="F133" s="35" t="n"/>
      <c r="G133" s="35" t="n"/>
      <c r="H133" s="35" t="n"/>
      <c r="I133" s="35" t="n"/>
      <c r="J133" s="35" t="n"/>
      <c r="K133" s="35" t="n"/>
    </row>
    <row r="134" ht="21.75" customHeight="1" s="33">
      <c r="A134" s="64" t="inlineStr">
        <is>
          <t>상행</t>
        </is>
      </c>
      <c r="B134" s="35" t="n"/>
      <c r="C134" s="35" t="n"/>
      <c r="D134" s="35" t="n"/>
      <c r="E134" s="35" t="n"/>
      <c r="G134" s="64" t="inlineStr">
        <is>
          <t>하행</t>
        </is>
      </c>
      <c r="H134" s="35" t="n"/>
      <c r="I134" s="35" t="n"/>
      <c r="J134" s="35" t="n"/>
      <c r="K134" s="35" t="n"/>
    </row>
    <row r="135" ht="21.75" customHeight="1" s="33">
      <c r="A135" s="48" t="inlineStr">
        <is>
          <t>NO</t>
        </is>
      </c>
      <c r="B135" s="49" t="inlineStr">
        <is>
          <t>구역</t>
        </is>
      </c>
      <c r="C135" s="49" t="inlineStr">
        <is>
          <t>회(부서)</t>
        </is>
      </c>
      <c r="D135" s="49" t="inlineStr">
        <is>
          <t>성 명</t>
        </is>
      </c>
      <c r="E135" s="49" t="inlineStr">
        <is>
          <t>비고</t>
        </is>
      </c>
      <c r="G135" s="48" t="inlineStr">
        <is>
          <t>NO</t>
        </is>
      </c>
      <c r="H135" s="49" t="inlineStr">
        <is>
          <t>구역</t>
        </is>
      </c>
      <c r="I135" s="49" t="inlineStr">
        <is>
          <t>회(부서)</t>
        </is>
      </c>
      <c r="J135" s="49" t="inlineStr">
        <is>
          <t>성 명</t>
        </is>
      </c>
      <c r="K135" s="49" t="inlineStr">
        <is>
          <t>비고</t>
        </is>
      </c>
    </row>
    <row r="136" ht="19.5" customHeight="1" s="33">
      <c r="A136" s="41" t="n">
        <v>1</v>
      </c>
      <c r="B136" s="42" t="n"/>
      <c r="C136" s="42" t="n"/>
      <c r="D136" s="42" t="n"/>
      <c r="E136" s="42" t="n"/>
      <c r="H136" s="42" t="n"/>
      <c r="I136" s="42" t="n"/>
      <c r="J136" s="42" t="n"/>
      <c r="K136" s="42" t="n"/>
    </row>
    <row r="137" ht="19.5" customHeight="1" s="33">
      <c r="A137" s="43" t="n">
        <v>2</v>
      </c>
      <c r="B137" s="44" t="n"/>
      <c r="C137" s="44" t="n"/>
      <c r="D137" s="44" t="n"/>
      <c r="E137" s="44" t="n"/>
      <c r="H137" s="44" t="n"/>
      <c r="I137" s="44" t="n"/>
      <c r="J137" s="44" t="n"/>
      <c r="K137" s="44" t="n"/>
    </row>
    <row r="138" ht="19.5" customHeight="1" s="33">
      <c r="A138" s="41" t="n">
        <v>3</v>
      </c>
      <c r="B138" s="42" t="n"/>
      <c r="C138" s="42" t="n"/>
      <c r="D138" s="42" t="n"/>
      <c r="E138" s="42" t="n"/>
      <c r="H138" s="42" t="n"/>
      <c r="I138" s="42" t="n"/>
      <c r="J138" s="42" t="n"/>
      <c r="K138" s="42" t="n"/>
    </row>
    <row r="139" ht="19.5" customHeight="1" s="33">
      <c r="A139" s="43" t="n">
        <v>4</v>
      </c>
      <c r="B139" s="44" t="n"/>
      <c r="C139" s="44" t="n"/>
      <c r="D139" s="44" t="n"/>
      <c r="E139" s="44" t="n"/>
      <c r="H139" s="44" t="n"/>
      <c r="I139" s="44" t="n"/>
      <c r="J139" s="44" t="n"/>
      <c r="K139" s="44" t="n"/>
    </row>
    <row r="140" ht="19.5" customHeight="1" s="33">
      <c r="A140" s="41" t="n">
        <v>5</v>
      </c>
      <c r="B140" s="42" t="n"/>
      <c r="C140" s="42" t="n"/>
      <c r="D140" s="42" t="n"/>
      <c r="E140" s="42" t="n"/>
      <c r="H140" s="42" t="n"/>
      <c r="I140" s="42" t="n"/>
      <c r="J140" s="42" t="n"/>
      <c r="K140" s="42" t="n"/>
    </row>
    <row r="141" ht="19.5" customHeight="1" s="33">
      <c r="A141" s="43" t="n">
        <v>6</v>
      </c>
      <c r="B141" s="44" t="n"/>
      <c r="C141" s="44" t="n"/>
      <c r="D141" s="44" t="n"/>
      <c r="E141" s="44" t="n"/>
      <c r="H141" s="44" t="n"/>
      <c r="I141" s="44" t="n"/>
      <c r="J141" s="44" t="n"/>
      <c r="K141" s="44" t="n"/>
    </row>
    <row r="142" ht="19.5" customHeight="1" s="33">
      <c r="A142" s="41" t="n">
        <v>7</v>
      </c>
      <c r="B142" s="42" t="n"/>
      <c r="C142" s="42" t="n"/>
      <c r="D142" s="42" t="n"/>
      <c r="E142" s="42" t="n"/>
      <c r="H142" s="42" t="n"/>
      <c r="I142" s="42" t="n"/>
      <c r="J142" s="42" t="n"/>
      <c r="K142" s="42" t="n"/>
    </row>
    <row r="143" ht="19.5" customHeight="1" s="33">
      <c r="A143" s="43" t="n">
        <v>8</v>
      </c>
      <c r="B143" s="44" t="n"/>
      <c r="C143" s="44" t="n"/>
      <c r="D143" s="44" t="n"/>
      <c r="E143" s="44" t="n"/>
      <c r="H143" s="44" t="n"/>
      <c r="I143" s="44" t="n"/>
      <c r="J143" s="44" t="n"/>
      <c r="K143" s="44" t="n"/>
    </row>
    <row r="144" ht="19.5" customHeight="1" s="33">
      <c r="A144" s="41" t="n">
        <v>9</v>
      </c>
      <c r="B144" s="42" t="n"/>
      <c r="C144" s="42" t="n"/>
      <c r="D144" s="42" t="n"/>
      <c r="E144" s="42" t="n"/>
      <c r="H144" s="42" t="n"/>
      <c r="I144" s="42" t="n"/>
      <c r="J144" s="42" t="n"/>
      <c r="K144" s="42" t="n"/>
    </row>
    <row r="145" ht="19.5" customHeight="1" s="33">
      <c r="A145" s="43" t="n">
        <v>10</v>
      </c>
      <c r="B145" s="44" t="n"/>
      <c r="C145" s="44" t="n"/>
      <c r="D145" s="44" t="n"/>
      <c r="E145" s="44" t="n"/>
      <c r="H145" s="44" t="n"/>
      <c r="I145" s="44" t="n"/>
      <c r="J145" s="44" t="n"/>
      <c r="K145" s="44" t="n"/>
    </row>
    <row r="146" ht="19.5" customHeight="1" s="33">
      <c r="A146" s="41" t="n">
        <v>11</v>
      </c>
      <c r="B146" s="42" t="n"/>
      <c r="C146" s="42" t="n"/>
      <c r="D146" s="42" t="n"/>
      <c r="E146" s="42" t="n"/>
      <c r="H146" s="42" t="n"/>
      <c r="I146" s="42" t="n"/>
      <c r="J146" s="42" t="n"/>
      <c r="K146" s="42" t="n"/>
    </row>
    <row r="147" ht="19.5" customHeight="1" s="33">
      <c r="A147" s="43" t="n">
        <v>12</v>
      </c>
      <c r="B147" s="44" t="n"/>
      <c r="C147" s="44" t="n"/>
      <c r="D147" s="44" t="n"/>
      <c r="E147" s="44" t="n"/>
      <c r="H147" s="44" t="n"/>
      <c r="I147" s="44" t="n"/>
      <c r="J147" s="44" t="n"/>
      <c r="K147" s="44" t="n"/>
    </row>
    <row r="148" ht="19.5" customHeight="1" s="33">
      <c r="A148" s="41" t="n">
        <v>13</v>
      </c>
      <c r="B148" s="42" t="n"/>
      <c r="C148" s="42" t="n"/>
      <c r="D148" s="42" t="n"/>
      <c r="E148" s="42" t="n"/>
      <c r="H148" s="42" t="n"/>
      <c r="I148" s="42" t="n"/>
      <c r="J148" s="42" t="n"/>
      <c r="K148" s="42" t="n"/>
    </row>
    <row r="149" ht="19.5" customHeight="1" s="33">
      <c r="A149" s="43" t="n">
        <v>14</v>
      </c>
      <c r="B149" s="44" t="n"/>
      <c r="C149" s="44" t="n"/>
      <c r="D149" s="44" t="n"/>
      <c r="E149" s="44" t="n"/>
      <c r="H149" s="44" t="n"/>
      <c r="I149" s="44" t="n"/>
      <c r="J149" s="44" t="n"/>
      <c r="K149" s="44" t="n"/>
    </row>
    <row r="150" ht="19.5" customHeight="1" s="33">
      <c r="A150" s="41" t="n">
        <v>15</v>
      </c>
      <c r="B150" s="42" t="n"/>
      <c r="C150" s="42" t="n"/>
      <c r="D150" s="42" t="n"/>
      <c r="E150" s="42" t="n"/>
      <c r="H150" s="42" t="n"/>
      <c r="I150" s="42" t="n"/>
      <c r="J150" s="42" t="n"/>
      <c r="K150" s="42" t="n"/>
    </row>
    <row r="151" ht="19.5" customHeight="1" s="33">
      <c r="A151" s="43" t="n">
        <v>16</v>
      </c>
      <c r="B151" s="44" t="n"/>
      <c r="C151" s="44" t="n"/>
      <c r="D151" s="44" t="n"/>
      <c r="E151" s="44" t="n"/>
      <c r="H151" s="44" t="n"/>
      <c r="I151" s="44" t="n"/>
      <c r="J151" s="44" t="n"/>
      <c r="K151" s="44" t="n"/>
    </row>
    <row r="152" ht="19.5" customHeight="1" s="33">
      <c r="A152" s="41" t="n">
        <v>17</v>
      </c>
      <c r="B152" s="42" t="n"/>
      <c r="C152" s="42" t="n"/>
      <c r="D152" s="42" t="n"/>
      <c r="E152" s="42" t="n"/>
      <c r="H152" s="42" t="n"/>
      <c r="I152" s="42" t="n"/>
      <c r="J152" s="42" t="n"/>
      <c r="K152" s="42" t="n"/>
    </row>
    <row r="153" ht="19.5" customHeight="1" s="33">
      <c r="A153" s="43" t="n">
        <v>18</v>
      </c>
      <c r="B153" s="44" t="n"/>
      <c r="C153" s="44" t="n"/>
      <c r="D153" s="44" t="n"/>
      <c r="E153" s="44" t="n"/>
      <c r="H153" s="44" t="n"/>
      <c r="I153" s="44" t="n"/>
      <c r="J153" s="44" t="n"/>
      <c r="K153" s="44" t="n"/>
    </row>
    <row r="154" ht="19.5" customHeight="1" s="33">
      <c r="A154" s="41" t="n">
        <v>19</v>
      </c>
      <c r="B154" s="42" t="n"/>
      <c r="C154" s="42" t="n"/>
      <c r="D154" s="42" t="n"/>
      <c r="E154" s="42" t="n"/>
      <c r="H154" s="42" t="n"/>
      <c r="I154" s="42" t="n"/>
      <c r="J154" s="42" t="n"/>
      <c r="K154" s="42" t="n"/>
    </row>
    <row r="155" ht="19.5" customHeight="1" s="33">
      <c r="A155" s="43" t="n">
        <v>20</v>
      </c>
      <c r="B155" s="44" t="n"/>
      <c r="C155" s="44" t="n"/>
      <c r="D155" s="44" t="n"/>
      <c r="E155" s="44" t="n"/>
      <c r="H155" s="44" t="n"/>
      <c r="I155" s="44" t="n"/>
      <c r="J155" s="44" t="n"/>
      <c r="K155" s="44" t="n"/>
    </row>
    <row r="156" ht="19.5" customHeight="1" s="33">
      <c r="A156" s="41" t="n">
        <v>21</v>
      </c>
      <c r="B156" s="42" t="n"/>
      <c r="C156" s="42" t="n"/>
      <c r="D156" s="42" t="n"/>
      <c r="E156" s="42" t="n"/>
      <c r="H156" s="42" t="n"/>
      <c r="I156" s="42" t="n"/>
      <c r="J156" s="42" t="n"/>
      <c r="K156" s="42" t="n"/>
    </row>
    <row r="157" ht="19.5" customHeight="1" s="33">
      <c r="A157" s="43" t="n">
        <v>22</v>
      </c>
      <c r="B157" s="44" t="n"/>
      <c r="C157" s="44" t="n"/>
      <c r="D157" s="44" t="n"/>
      <c r="E157" s="44" t="n"/>
      <c r="H157" s="44" t="n"/>
      <c r="I157" s="44" t="n"/>
      <c r="J157" s="44" t="n"/>
      <c r="K157" s="44" t="n"/>
    </row>
    <row r="158" ht="19.5" customHeight="1" s="33">
      <c r="A158" s="41" t="n">
        <v>23</v>
      </c>
      <c r="B158" s="42" t="n"/>
      <c r="C158" s="42" t="n"/>
      <c r="D158" s="42" t="n"/>
      <c r="E158" s="42" t="n"/>
      <c r="H158" s="42" t="n"/>
      <c r="I158" s="42" t="n"/>
      <c r="J158" s="42" t="n"/>
      <c r="K158" s="42" t="n"/>
    </row>
    <row r="159" ht="19.5" customHeight="1" s="33">
      <c r="A159" s="43" t="n">
        <v>24</v>
      </c>
      <c r="B159" s="44" t="n"/>
      <c r="C159" s="44" t="n"/>
      <c r="D159" s="44" t="n"/>
      <c r="E159" s="44" t="n"/>
      <c r="H159" s="44" t="n"/>
      <c r="I159" s="44" t="n"/>
      <c r="J159" s="44" t="n"/>
      <c r="K159" s="44" t="n"/>
    </row>
    <row r="160" ht="19.5" customHeight="1" s="33">
      <c r="A160" s="41" t="n">
        <v>25</v>
      </c>
      <c r="B160" s="42" t="n"/>
      <c r="C160" s="42" t="n"/>
      <c r="D160" s="42" t="n"/>
      <c r="E160" s="42" t="n"/>
      <c r="H160" s="42" t="n"/>
      <c r="I160" s="42" t="n"/>
      <c r="J160" s="42" t="n"/>
      <c r="K160" s="42" t="n"/>
    </row>
    <row r="161" ht="19.5" customHeight="1" s="33">
      <c r="A161" s="43" t="n">
        <v>26</v>
      </c>
      <c r="B161" s="44" t="n"/>
      <c r="C161" s="44" t="n"/>
      <c r="D161" s="44" t="n"/>
      <c r="E161" s="44" t="n"/>
      <c r="H161" s="44" t="n"/>
      <c r="I161" s="44" t="n"/>
      <c r="J161" s="44" t="n"/>
      <c r="K161" s="44" t="n"/>
    </row>
    <row r="162" ht="19.5" customHeight="1" s="33">
      <c r="A162" s="41" t="n">
        <v>27</v>
      </c>
      <c r="B162" s="42" t="n"/>
      <c r="C162" s="42" t="n"/>
      <c r="D162" s="42" t="n"/>
      <c r="E162" s="42" t="n"/>
      <c r="H162" s="42" t="n"/>
      <c r="I162" s="42" t="n"/>
      <c r="J162" s="42" t="n"/>
      <c r="K162" s="42" t="n"/>
    </row>
    <row r="163" ht="19.5" customHeight="1" s="33">
      <c r="A163" s="43" t="n">
        <v>28</v>
      </c>
      <c r="B163" s="44" t="n"/>
      <c r="C163" s="44" t="n"/>
      <c r="D163" s="44" t="n"/>
      <c r="E163" s="44" t="n"/>
      <c r="H163" s="44" t="n"/>
      <c r="I163" s="44" t="n"/>
      <c r="J163" s="44" t="n"/>
      <c r="K163" s="44" t="n"/>
    </row>
    <row r="164" ht="19.5" customHeight="1" s="33">
      <c r="A164" s="41" t="n">
        <v>29</v>
      </c>
      <c r="B164" s="42" t="n"/>
      <c r="C164" s="42" t="n"/>
      <c r="D164" s="42" t="n"/>
      <c r="E164" s="42" t="n"/>
      <c r="H164" s="42" t="n"/>
      <c r="I164" s="42" t="n"/>
      <c r="J164" s="42" t="n"/>
      <c r="K164" s="42" t="n"/>
    </row>
    <row r="165" ht="19.5" customHeight="1" s="33">
      <c r="A165" s="43" t="n">
        <v>30</v>
      </c>
      <c r="B165" s="44" t="n"/>
      <c r="C165" s="44" t="n"/>
      <c r="D165" s="44" t="n"/>
      <c r="E165" s="44" t="n"/>
      <c r="H165" s="44" t="n"/>
      <c r="I165" s="44" t="n"/>
      <c r="J165" s="44" t="n"/>
      <c r="K165" s="44" t="n"/>
    </row>
    <row r="166" ht="19.5" customHeight="1" s="33">
      <c r="A166" s="41" t="n">
        <v>31</v>
      </c>
      <c r="B166" s="42" t="n"/>
      <c r="C166" s="42" t="n"/>
      <c r="D166" s="42" t="n"/>
      <c r="E166" s="42" t="n"/>
      <c r="H166" s="42" t="n"/>
      <c r="I166" s="42" t="n"/>
      <c r="J166" s="42" t="n"/>
      <c r="K166" s="42" t="n"/>
    </row>
    <row r="167" ht="19.5" customHeight="1" s="33">
      <c r="A167" s="43" t="n">
        <v>32</v>
      </c>
      <c r="B167" s="44" t="n"/>
      <c r="C167" s="44" t="n"/>
      <c r="D167" s="44" t="n"/>
      <c r="E167" s="44" t="n"/>
      <c r="H167" s="44" t="n"/>
      <c r="I167" s="44" t="n"/>
      <c r="J167" s="44" t="n"/>
      <c r="K167" s="44" t="n"/>
    </row>
    <row r="168" ht="19.5" customHeight="1" s="33">
      <c r="A168" s="41" t="n">
        <v>33</v>
      </c>
      <c r="B168" s="42" t="n"/>
      <c r="C168" s="42" t="n"/>
      <c r="D168" s="42" t="n"/>
      <c r="E168" s="42" t="n"/>
      <c r="H168" s="42" t="n"/>
      <c r="I168" s="42" t="n"/>
      <c r="J168" s="42" t="n"/>
      <c r="K168" s="42" t="n"/>
    </row>
    <row r="169" ht="19.5" customHeight="1" s="33">
      <c r="A169" s="43" t="n">
        <v>34</v>
      </c>
      <c r="B169" s="44" t="n"/>
      <c r="C169" s="44" t="n"/>
      <c r="D169" s="44" t="n"/>
      <c r="E169" s="44" t="n"/>
      <c r="H169" s="44" t="n"/>
      <c r="I169" s="44" t="n"/>
      <c r="J169" s="44" t="n"/>
      <c r="K169" s="44" t="n"/>
    </row>
    <row r="170" ht="19.5" customHeight="1" s="33">
      <c r="A170" s="41" t="n">
        <v>35</v>
      </c>
      <c r="B170" s="42" t="n"/>
      <c r="C170" s="42" t="n"/>
      <c r="D170" s="42" t="n"/>
      <c r="E170" s="42" t="n"/>
      <c r="H170" s="42" t="n"/>
      <c r="I170" s="42" t="n"/>
      <c r="J170" s="42" t="n"/>
      <c r="K170" s="42" t="n"/>
    </row>
    <row r="171" ht="19.5" customHeight="1" s="33">
      <c r="A171" s="43" t="n">
        <v>36</v>
      </c>
      <c r="B171" s="44" t="n"/>
      <c r="C171" s="44" t="n"/>
      <c r="D171" s="44" t="n"/>
      <c r="E171" s="44" t="n"/>
      <c r="H171" s="44" t="n"/>
      <c r="I171" s="44" t="n"/>
      <c r="J171" s="44" t="n"/>
      <c r="K171" s="44" t="n"/>
    </row>
    <row r="172" ht="19.5" customHeight="1" s="33">
      <c r="A172" s="41" t="n">
        <v>37</v>
      </c>
      <c r="B172" s="42" t="n"/>
      <c r="C172" s="42" t="n"/>
      <c r="D172" s="42" t="n"/>
      <c r="E172" s="42" t="n"/>
      <c r="H172" s="42" t="n"/>
      <c r="I172" s="42" t="n"/>
      <c r="J172" s="42" t="n"/>
      <c r="K172" s="42" t="n"/>
    </row>
    <row r="173" ht="19.5" customHeight="1" s="33">
      <c r="A173" s="43" t="n">
        <v>38</v>
      </c>
      <c r="B173" s="44" t="n"/>
      <c r="C173" s="44" t="n"/>
      <c r="D173" s="44" t="n"/>
      <c r="E173" s="44" t="n"/>
      <c r="H173" s="44" t="n"/>
      <c r="I173" s="44" t="n"/>
      <c r="J173" s="44" t="n"/>
      <c r="K173" s="44" t="n"/>
    </row>
    <row r="174" ht="19.5" customHeight="1" s="33">
      <c r="A174" s="41" t="n">
        <v>39</v>
      </c>
      <c r="B174" s="42" t="n"/>
      <c r="C174" s="42" t="n"/>
      <c r="D174" s="42" t="n"/>
      <c r="E174" s="42" t="n"/>
      <c r="H174" s="42" t="n"/>
      <c r="I174" s="42" t="n"/>
      <c r="J174" s="42" t="n"/>
      <c r="K174" s="42" t="n"/>
    </row>
    <row r="175" ht="19.5" customHeight="1" s="33">
      <c r="A175" s="43" t="n">
        <v>40</v>
      </c>
      <c r="B175" s="44" t="n"/>
      <c r="C175" s="44" t="n"/>
      <c r="D175" s="44" t="n"/>
      <c r="E175" s="44" t="n"/>
      <c r="H175" s="44" t="n"/>
      <c r="I175" s="44" t="n"/>
      <c r="J175" s="44" t="n"/>
      <c r="K175" s="44" t="n"/>
    </row>
    <row r="176" ht="15" customHeight="1" s="33">
      <c r="A176" s="45" t="inlineStr">
        <is>
          <t>교회차4  합  계</t>
        </is>
      </c>
      <c r="B176" s="35" t="n"/>
      <c r="C176" s="35" t="n"/>
      <c r="D176" s="35" t="n"/>
      <c r="E176" s="35" t="n"/>
      <c r="G176" s="45" t="inlineStr">
        <is>
          <t>교회차4  합  계</t>
        </is>
      </c>
      <c r="H176" s="35" t="n"/>
      <c r="I176" s="35" t="n"/>
      <c r="J176" s="35" t="n"/>
      <c r="K176" s="35" t="n"/>
    </row>
    <row r="177" ht="30" customHeight="1" s="33">
      <c r="A177" s="47" t="inlineStr">
        <is>
          <t>교회차5  ─  본대 출발</t>
        </is>
      </c>
      <c r="B177" s="35" t="n"/>
      <c r="C177" s="35" t="n"/>
      <c r="D177" s="35" t="n"/>
      <c r="E177" s="35" t="n"/>
      <c r="F177" s="35" t="n"/>
      <c r="G177" s="35" t="n"/>
      <c r="H177" s="35" t="n"/>
      <c r="I177" s="35" t="n"/>
      <c r="J177" s="35" t="n"/>
      <c r="K177" s="35" t="n"/>
    </row>
    <row r="178" ht="21.75" customHeight="1" s="33">
      <c r="A178" s="64" t="inlineStr">
        <is>
          <t>상행</t>
        </is>
      </c>
      <c r="B178" s="35" t="n"/>
      <c r="C178" s="35" t="n"/>
      <c r="D178" s="35" t="n"/>
      <c r="E178" s="35" t="n"/>
      <c r="G178" s="64" t="inlineStr">
        <is>
          <t>하행</t>
        </is>
      </c>
      <c r="H178" s="35" t="n"/>
      <c r="I178" s="35" t="n"/>
      <c r="J178" s="35" t="n"/>
      <c r="K178" s="35" t="n"/>
    </row>
    <row r="179" ht="21.75" customHeight="1" s="33">
      <c r="A179" s="48" t="inlineStr">
        <is>
          <t>NO</t>
        </is>
      </c>
      <c r="B179" s="49" t="inlineStr">
        <is>
          <t>구역</t>
        </is>
      </c>
      <c r="C179" s="49" t="inlineStr">
        <is>
          <t>회(부서)</t>
        </is>
      </c>
      <c r="D179" s="49" t="inlineStr">
        <is>
          <t>성 명</t>
        </is>
      </c>
      <c r="E179" s="49" t="inlineStr">
        <is>
          <t>비고</t>
        </is>
      </c>
      <c r="G179" s="48" t="inlineStr">
        <is>
          <t>NO</t>
        </is>
      </c>
      <c r="H179" s="49" t="inlineStr">
        <is>
          <t>구역</t>
        </is>
      </c>
      <c r="I179" s="49" t="inlineStr">
        <is>
          <t>회(부서)</t>
        </is>
      </c>
      <c r="J179" s="49" t="inlineStr">
        <is>
          <t>성 명</t>
        </is>
      </c>
      <c r="K179" s="49" t="inlineStr">
        <is>
          <t>비고</t>
        </is>
      </c>
    </row>
    <row r="180" ht="19.5" customHeight="1" s="33">
      <c r="A180" s="41" t="n">
        <v>1</v>
      </c>
      <c r="B180" s="42" t="n"/>
      <c r="C180" s="42" t="n"/>
      <c r="D180" s="42" t="n"/>
      <c r="E180" s="42" t="n"/>
      <c r="H180" s="42" t="n"/>
      <c r="I180" s="42" t="n"/>
      <c r="J180" s="42" t="n"/>
      <c r="K180" s="42" t="n"/>
    </row>
    <row r="181" ht="19.5" customHeight="1" s="33">
      <c r="A181" s="43" t="n">
        <v>2</v>
      </c>
      <c r="B181" s="44" t="n"/>
      <c r="C181" s="44" t="n"/>
      <c r="D181" s="44" t="n"/>
      <c r="E181" s="44" t="n"/>
      <c r="H181" s="44" t="n"/>
      <c r="I181" s="44" t="n"/>
      <c r="J181" s="44" t="n"/>
      <c r="K181" s="44" t="n"/>
    </row>
    <row r="182" ht="19.5" customHeight="1" s="33">
      <c r="A182" s="41" t="n">
        <v>3</v>
      </c>
      <c r="B182" s="42" t="n"/>
      <c r="C182" s="42" t="n"/>
      <c r="D182" s="42" t="n"/>
      <c r="E182" s="42" t="n"/>
      <c r="H182" s="42" t="n"/>
      <c r="I182" s="42" t="n"/>
      <c r="J182" s="42" t="n"/>
      <c r="K182" s="42" t="n"/>
    </row>
    <row r="183" ht="19.5" customHeight="1" s="33">
      <c r="A183" s="43" t="n">
        <v>4</v>
      </c>
      <c r="B183" s="44" t="n"/>
      <c r="C183" s="44" t="n"/>
      <c r="D183" s="44" t="n"/>
      <c r="E183" s="44" t="n"/>
      <c r="H183" s="44" t="n"/>
      <c r="I183" s="44" t="n"/>
      <c r="J183" s="44" t="n"/>
      <c r="K183" s="44" t="n"/>
    </row>
    <row r="184" ht="19.5" customHeight="1" s="33">
      <c r="A184" s="41" t="n">
        <v>5</v>
      </c>
      <c r="B184" s="42" t="n"/>
      <c r="C184" s="42" t="n"/>
      <c r="D184" s="42" t="n"/>
      <c r="E184" s="42" t="n"/>
      <c r="H184" s="42" t="n"/>
      <c r="I184" s="42" t="n"/>
      <c r="J184" s="42" t="n"/>
      <c r="K184" s="42" t="n"/>
    </row>
    <row r="185" ht="19.5" customHeight="1" s="33">
      <c r="A185" s="43" t="n">
        <v>6</v>
      </c>
      <c r="B185" s="44" t="n"/>
      <c r="C185" s="44" t="n"/>
      <c r="D185" s="44" t="n"/>
      <c r="E185" s="44" t="n"/>
      <c r="H185" s="44" t="n"/>
      <c r="I185" s="44" t="n"/>
      <c r="J185" s="44" t="n"/>
      <c r="K185" s="44" t="n"/>
    </row>
    <row r="186" ht="19.5" customHeight="1" s="33">
      <c r="A186" s="41" t="n">
        <v>7</v>
      </c>
      <c r="B186" s="42" t="n"/>
      <c r="C186" s="42" t="n"/>
      <c r="D186" s="42" t="n"/>
      <c r="E186" s="42" t="n"/>
      <c r="H186" s="42" t="n"/>
      <c r="I186" s="42" t="n"/>
      <c r="J186" s="42" t="n"/>
      <c r="K186" s="42" t="n"/>
    </row>
    <row r="187" ht="19.5" customHeight="1" s="33">
      <c r="A187" s="43" t="n">
        <v>8</v>
      </c>
      <c r="B187" s="44" t="n"/>
      <c r="C187" s="44" t="n"/>
      <c r="D187" s="44" t="n"/>
      <c r="E187" s="44" t="n"/>
      <c r="H187" s="44" t="n"/>
      <c r="I187" s="44" t="n"/>
      <c r="J187" s="44" t="n"/>
      <c r="K187" s="44" t="n"/>
    </row>
    <row r="188" ht="19.5" customHeight="1" s="33">
      <c r="A188" s="41" t="n">
        <v>9</v>
      </c>
      <c r="B188" s="42" t="n"/>
      <c r="C188" s="42" t="n"/>
      <c r="D188" s="42" t="n"/>
      <c r="E188" s="42" t="n"/>
      <c r="H188" s="42" t="n"/>
      <c r="I188" s="42" t="n"/>
      <c r="J188" s="42" t="n"/>
      <c r="K188" s="42" t="n"/>
    </row>
    <row r="189" ht="19.5" customHeight="1" s="33">
      <c r="A189" s="43" t="n">
        <v>10</v>
      </c>
      <c r="B189" s="44" t="n"/>
      <c r="C189" s="44" t="n"/>
      <c r="D189" s="44" t="n"/>
      <c r="E189" s="44" t="n"/>
      <c r="H189" s="44" t="n"/>
      <c r="I189" s="44" t="n"/>
      <c r="J189" s="44" t="n"/>
      <c r="K189" s="44" t="n"/>
    </row>
    <row r="190" ht="19.5" customHeight="1" s="33">
      <c r="A190" s="41" t="n">
        <v>11</v>
      </c>
      <c r="B190" s="42" t="n"/>
      <c r="C190" s="42" t="n"/>
      <c r="D190" s="42" t="n"/>
      <c r="E190" s="42" t="n"/>
      <c r="H190" s="42" t="n"/>
      <c r="I190" s="42" t="n"/>
      <c r="J190" s="42" t="n"/>
      <c r="K190" s="42" t="n"/>
    </row>
    <row r="191" ht="19.5" customHeight="1" s="33">
      <c r="A191" s="43" t="n">
        <v>12</v>
      </c>
      <c r="B191" s="44" t="n"/>
      <c r="C191" s="44" t="n"/>
      <c r="D191" s="44" t="n"/>
      <c r="E191" s="44" t="n"/>
      <c r="H191" s="44" t="n"/>
      <c r="I191" s="44" t="n"/>
      <c r="J191" s="44" t="n"/>
      <c r="K191" s="44" t="n"/>
    </row>
    <row r="192" ht="19.5" customHeight="1" s="33">
      <c r="A192" s="41" t="n">
        <v>13</v>
      </c>
      <c r="B192" s="42" t="n"/>
      <c r="C192" s="42" t="n"/>
      <c r="D192" s="42" t="n"/>
      <c r="E192" s="42" t="n"/>
      <c r="H192" s="42" t="n"/>
      <c r="I192" s="42" t="n"/>
      <c r="J192" s="42" t="n"/>
      <c r="K192" s="42" t="n"/>
    </row>
    <row r="193" ht="19.5" customHeight="1" s="33">
      <c r="A193" s="43" t="n">
        <v>14</v>
      </c>
      <c r="B193" s="44" t="n"/>
      <c r="C193" s="44" t="n"/>
      <c r="D193" s="44" t="n"/>
      <c r="E193" s="44" t="n"/>
      <c r="H193" s="44" t="n"/>
      <c r="I193" s="44" t="n"/>
      <c r="J193" s="44" t="n"/>
      <c r="K193" s="44" t="n"/>
    </row>
    <row r="194" ht="19.5" customHeight="1" s="33">
      <c r="A194" s="41" t="n">
        <v>15</v>
      </c>
      <c r="B194" s="42" t="n"/>
      <c r="C194" s="42" t="n"/>
      <c r="D194" s="42" t="n"/>
      <c r="E194" s="42" t="n"/>
      <c r="H194" s="42" t="n"/>
      <c r="I194" s="42" t="n"/>
      <c r="J194" s="42" t="n"/>
      <c r="K194" s="42" t="n"/>
    </row>
    <row r="195" ht="19.5" customHeight="1" s="33">
      <c r="A195" s="43" t="n">
        <v>16</v>
      </c>
      <c r="B195" s="44" t="n"/>
      <c r="C195" s="44" t="n"/>
      <c r="D195" s="44" t="n"/>
      <c r="E195" s="44" t="n"/>
      <c r="H195" s="44" t="n"/>
      <c r="I195" s="44" t="n"/>
      <c r="J195" s="44" t="n"/>
      <c r="K195" s="44" t="n"/>
    </row>
    <row r="196" ht="19.5" customHeight="1" s="33">
      <c r="A196" s="41" t="n">
        <v>17</v>
      </c>
      <c r="B196" s="42" t="n"/>
      <c r="C196" s="42" t="n"/>
      <c r="D196" s="42" t="n"/>
      <c r="E196" s="42" t="n"/>
      <c r="H196" s="42" t="n"/>
      <c r="I196" s="42" t="n"/>
      <c r="J196" s="42" t="n"/>
      <c r="K196" s="42" t="n"/>
    </row>
    <row r="197" ht="19.5" customHeight="1" s="33">
      <c r="A197" s="43" t="n">
        <v>18</v>
      </c>
      <c r="B197" s="44" t="n"/>
      <c r="C197" s="44" t="n"/>
      <c r="D197" s="44" t="n"/>
      <c r="E197" s="44" t="n"/>
      <c r="H197" s="44" t="n"/>
      <c r="I197" s="44" t="n"/>
      <c r="J197" s="44" t="n"/>
      <c r="K197" s="44" t="n"/>
    </row>
    <row r="198" ht="19.5" customHeight="1" s="33">
      <c r="A198" s="41" t="n">
        <v>19</v>
      </c>
      <c r="B198" s="42" t="n"/>
      <c r="C198" s="42" t="n"/>
      <c r="D198" s="42" t="n"/>
      <c r="E198" s="42" t="n"/>
      <c r="H198" s="42" t="n"/>
      <c r="I198" s="42" t="n"/>
      <c r="J198" s="42" t="n"/>
      <c r="K198" s="42" t="n"/>
    </row>
    <row r="199" ht="19.5" customHeight="1" s="33">
      <c r="A199" s="43" t="n">
        <v>20</v>
      </c>
      <c r="B199" s="44" t="n"/>
      <c r="C199" s="44" t="n"/>
      <c r="D199" s="44" t="n"/>
      <c r="E199" s="44" t="n"/>
      <c r="H199" s="44" t="n"/>
      <c r="I199" s="44" t="n"/>
      <c r="J199" s="44" t="n"/>
      <c r="K199" s="44" t="n"/>
    </row>
    <row r="200" ht="19.5" customHeight="1" s="33">
      <c r="A200" s="41" t="n">
        <v>21</v>
      </c>
      <c r="B200" s="42" t="n"/>
      <c r="C200" s="42" t="n"/>
      <c r="D200" s="42" t="n"/>
      <c r="E200" s="42" t="n"/>
      <c r="H200" s="42" t="n"/>
      <c r="I200" s="42" t="n"/>
      <c r="J200" s="42" t="n"/>
      <c r="K200" s="42" t="n"/>
    </row>
    <row r="201" ht="19.5" customHeight="1" s="33">
      <c r="A201" s="43" t="n">
        <v>22</v>
      </c>
      <c r="B201" s="44" t="n"/>
      <c r="C201" s="44" t="n"/>
      <c r="D201" s="44" t="n"/>
      <c r="E201" s="44" t="n"/>
      <c r="H201" s="44" t="n"/>
      <c r="I201" s="44" t="n"/>
      <c r="J201" s="44" t="n"/>
      <c r="K201" s="44" t="n"/>
    </row>
    <row r="202" ht="19.5" customHeight="1" s="33">
      <c r="A202" s="41" t="n">
        <v>23</v>
      </c>
      <c r="B202" s="42" t="n"/>
      <c r="C202" s="42" t="n"/>
      <c r="D202" s="42" t="n"/>
      <c r="E202" s="42" t="n"/>
      <c r="H202" s="42" t="n"/>
      <c r="I202" s="42" t="n"/>
      <c r="J202" s="42" t="n"/>
      <c r="K202" s="42" t="n"/>
    </row>
    <row r="203" ht="19.5" customHeight="1" s="33">
      <c r="A203" s="43" t="n">
        <v>24</v>
      </c>
      <c r="B203" s="44" t="n"/>
      <c r="C203" s="44" t="n"/>
      <c r="D203" s="44" t="n"/>
      <c r="E203" s="44" t="n"/>
      <c r="H203" s="44" t="n"/>
      <c r="I203" s="44" t="n"/>
      <c r="J203" s="44" t="n"/>
      <c r="K203" s="44" t="n"/>
    </row>
    <row r="204" ht="19.5" customHeight="1" s="33">
      <c r="A204" s="41" t="n">
        <v>25</v>
      </c>
      <c r="B204" s="42" t="n"/>
      <c r="C204" s="42" t="n"/>
      <c r="D204" s="42" t="n"/>
      <c r="E204" s="42" t="n"/>
      <c r="H204" s="42" t="n"/>
      <c r="I204" s="42" t="n"/>
      <c r="J204" s="42" t="n"/>
      <c r="K204" s="42" t="n"/>
    </row>
    <row r="205" ht="19.5" customHeight="1" s="33">
      <c r="A205" s="43" t="n">
        <v>26</v>
      </c>
      <c r="B205" s="44" t="n"/>
      <c r="C205" s="44" t="n"/>
      <c r="D205" s="44" t="n"/>
      <c r="E205" s="44" t="n"/>
      <c r="H205" s="44" t="n"/>
      <c r="I205" s="44" t="n"/>
      <c r="J205" s="44" t="n"/>
      <c r="K205" s="44" t="n"/>
    </row>
    <row r="206" ht="19.5" customHeight="1" s="33">
      <c r="A206" s="41" t="n">
        <v>27</v>
      </c>
      <c r="B206" s="42" t="n"/>
      <c r="C206" s="42" t="n"/>
      <c r="D206" s="42" t="n"/>
      <c r="E206" s="42" t="n"/>
      <c r="H206" s="42" t="n"/>
      <c r="I206" s="42" t="n"/>
      <c r="J206" s="42" t="n"/>
      <c r="K206" s="42" t="n"/>
    </row>
    <row r="207" ht="19.5" customHeight="1" s="33">
      <c r="A207" s="43" t="n">
        <v>28</v>
      </c>
      <c r="B207" s="44" t="n"/>
      <c r="C207" s="44" t="n"/>
      <c r="D207" s="44" t="n"/>
      <c r="E207" s="44" t="n"/>
      <c r="H207" s="44" t="n"/>
      <c r="I207" s="44" t="n"/>
      <c r="J207" s="44" t="n"/>
      <c r="K207" s="44" t="n"/>
    </row>
    <row r="208" ht="19.5" customHeight="1" s="33">
      <c r="A208" s="41" t="n">
        <v>29</v>
      </c>
      <c r="B208" s="42" t="n"/>
      <c r="C208" s="42" t="n"/>
      <c r="D208" s="42" t="n"/>
      <c r="E208" s="42" t="n"/>
      <c r="H208" s="42" t="n"/>
      <c r="I208" s="42" t="n"/>
      <c r="J208" s="42" t="n"/>
      <c r="K208" s="42" t="n"/>
    </row>
    <row r="209" ht="19.5" customHeight="1" s="33">
      <c r="A209" s="43" t="n">
        <v>30</v>
      </c>
      <c r="B209" s="44" t="n"/>
      <c r="C209" s="44" t="n"/>
      <c r="D209" s="44" t="n"/>
      <c r="E209" s="44" t="n"/>
      <c r="H209" s="44" t="n"/>
      <c r="I209" s="44" t="n"/>
      <c r="J209" s="44" t="n"/>
      <c r="K209" s="44" t="n"/>
    </row>
    <row r="210" ht="19.5" customHeight="1" s="33">
      <c r="A210" s="41" t="n">
        <v>31</v>
      </c>
      <c r="B210" s="42" t="n"/>
      <c r="C210" s="42" t="n"/>
      <c r="D210" s="42" t="n"/>
      <c r="E210" s="42" t="n"/>
      <c r="H210" s="42" t="n"/>
      <c r="I210" s="42" t="n"/>
      <c r="J210" s="42" t="n"/>
      <c r="K210" s="42" t="n"/>
    </row>
    <row r="211" ht="19.5" customHeight="1" s="33">
      <c r="A211" s="43" t="n">
        <v>32</v>
      </c>
      <c r="B211" s="44" t="n"/>
      <c r="C211" s="44" t="n"/>
      <c r="D211" s="44" t="n"/>
      <c r="E211" s="44" t="n"/>
      <c r="H211" s="44" t="n"/>
      <c r="I211" s="44" t="n"/>
      <c r="J211" s="44" t="n"/>
      <c r="K211" s="44" t="n"/>
    </row>
    <row r="212" ht="19.5" customHeight="1" s="33">
      <c r="A212" s="41" t="n">
        <v>33</v>
      </c>
      <c r="B212" s="42" t="n"/>
      <c r="C212" s="42" t="n"/>
      <c r="D212" s="42" t="n"/>
      <c r="E212" s="42" t="n"/>
      <c r="H212" s="42" t="n"/>
      <c r="I212" s="42" t="n"/>
      <c r="J212" s="42" t="n"/>
      <c r="K212" s="42" t="n"/>
    </row>
    <row r="213" ht="19.5" customHeight="1" s="33">
      <c r="A213" s="43" t="n">
        <v>34</v>
      </c>
      <c r="B213" s="44" t="n"/>
      <c r="C213" s="44" t="n"/>
      <c r="D213" s="44" t="n"/>
      <c r="E213" s="44" t="n"/>
      <c r="H213" s="44" t="n"/>
      <c r="I213" s="44" t="n"/>
      <c r="J213" s="44" t="n"/>
      <c r="K213" s="44" t="n"/>
    </row>
    <row r="214" ht="19.5" customHeight="1" s="33">
      <c r="A214" s="41" t="n">
        <v>35</v>
      </c>
      <c r="B214" s="42" t="n"/>
      <c r="C214" s="42" t="n"/>
      <c r="D214" s="42" t="n"/>
      <c r="E214" s="42" t="n"/>
      <c r="H214" s="42" t="n"/>
      <c r="I214" s="42" t="n"/>
      <c r="J214" s="42" t="n"/>
      <c r="K214" s="42" t="n"/>
    </row>
    <row r="215" ht="19.5" customHeight="1" s="33">
      <c r="A215" s="43" t="n">
        <v>36</v>
      </c>
      <c r="B215" s="44" t="n"/>
      <c r="C215" s="44" t="n"/>
      <c r="D215" s="44" t="n"/>
      <c r="E215" s="44" t="n"/>
      <c r="H215" s="44" t="n"/>
      <c r="I215" s="44" t="n"/>
      <c r="J215" s="44" t="n"/>
      <c r="K215" s="44" t="n"/>
    </row>
    <row r="216" ht="19.5" customHeight="1" s="33">
      <c r="A216" s="41" t="n">
        <v>37</v>
      </c>
      <c r="B216" s="42" t="n"/>
      <c r="C216" s="42" t="n"/>
      <c r="D216" s="42" t="n"/>
      <c r="E216" s="42" t="n"/>
      <c r="H216" s="42" t="n"/>
      <c r="I216" s="42" t="n"/>
      <c r="J216" s="42" t="n"/>
      <c r="K216" s="42" t="n"/>
    </row>
    <row r="217" ht="19.5" customHeight="1" s="33">
      <c r="A217" s="43" t="n">
        <v>38</v>
      </c>
      <c r="B217" s="44" t="n"/>
      <c r="C217" s="44" t="n"/>
      <c r="D217" s="44" t="n"/>
      <c r="E217" s="44" t="n"/>
      <c r="H217" s="44" t="n"/>
      <c r="I217" s="44" t="n"/>
      <c r="J217" s="44" t="n"/>
      <c r="K217" s="44" t="n"/>
    </row>
    <row r="218" ht="19.5" customHeight="1" s="33">
      <c r="A218" s="41" t="n">
        <v>39</v>
      </c>
      <c r="B218" s="42" t="n"/>
      <c r="C218" s="42" t="n"/>
      <c r="D218" s="42" t="n"/>
      <c r="E218" s="42" t="n"/>
      <c r="H218" s="42" t="n"/>
      <c r="I218" s="42" t="n"/>
      <c r="J218" s="42" t="n"/>
      <c r="K218" s="42" t="n"/>
    </row>
    <row r="219" ht="19.5" customHeight="1" s="33">
      <c r="A219" s="43" t="n">
        <v>40</v>
      </c>
      <c r="B219" s="44" t="n"/>
      <c r="C219" s="44" t="n"/>
      <c r="D219" s="44" t="n"/>
      <c r="E219" s="44" t="n"/>
      <c r="H219" s="44" t="n"/>
      <c r="I219" s="44" t="n"/>
      <c r="J219" s="44" t="n"/>
      <c r="K219" s="44" t="n"/>
    </row>
    <row r="220" ht="15" customHeight="1" s="33">
      <c r="A220" s="45" t="inlineStr">
        <is>
          <t>교회차5  합  계</t>
        </is>
      </c>
      <c r="B220" s="35" t="n"/>
      <c r="C220" s="35" t="n"/>
      <c r="D220" s="35" t="n"/>
      <c r="E220" s="35" t="n"/>
      <c r="G220" s="45" t="inlineStr">
        <is>
          <t>교회차5  합  계</t>
        </is>
      </c>
      <c r="H220" s="35" t="n"/>
      <c r="I220" s="35" t="n"/>
      <c r="J220" s="35" t="n"/>
      <c r="K220" s="35" t="n"/>
    </row>
  </sheetData>
  <mergeCells count="25">
    <mergeCell ref="G2:K2"/>
    <mergeCell ref="A178:E178"/>
    <mergeCell ref="G178:K178"/>
    <mergeCell ref="A132:E132"/>
    <mergeCell ref="G176:K176"/>
    <mergeCell ref="A88:E88"/>
    <mergeCell ref="G132:K132"/>
    <mergeCell ref="A1:K1"/>
    <mergeCell ref="A45:K45"/>
    <mergeCell ref="A90:E90"/>
    <mergeCell ref="A46:E46"/>
    <mergeCell ref="A133:K133"/>
    <mergeCell ref="A177:K177"/>
    <mergeCell ref="G220:K220"/>
    <mergeCell ref="A89:K89"/>
    <mergeCell ref="A2:E2"/>
    <mergeCell ref="G88:K88"/>
    <mergeCell ref="A134:E134"/>
    <mergeCell ref="A220:E220"/>
    <mergeCell ref="G44:K44"/>
    <mergeCell ref="G90:K90"/>
    <mergeCell ref="G134:K134"/>
    <mergeCell ref="A44:E44"/>
    <mergeCell ref="G46:K46"/>
    <mergeCell ref="A176:E17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K3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4.6" customWidth="1" style="32" min="5" max="5"/>
    <col width="2" customWidth="1" style="32" min="6" max="6"/>
    <col width="4" customWidth="1" style="32" min="7" max="7"/>
    <col width="7" customWidth="1" style="32" min="8" max="8"/>
    <col width="9" customWidth="1" style="32" min="9" max="9"/>
    <col width="8" customWidth="1" style="32" min="10" max="10"/>
    <col width="14.6" customWidth="1" style="32" min="11" max="11"/>
  </cols>
  <sheetData>
    <row r="1" ht="27.75" customHeight="1" s="33">
      <c r="A1" s="47" t="inlineStr">
        <is>
          <t>개인차1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15" customHeight="1" s="33">
      <c r="A2" s="64" t="inlineStr">
        <is>
          <t>상행</t>
        </is>
      </c>
      <c r="B2" s="35" t="n"/>
      <c r="C2" s="35" t="n"/>
      <c r="D2" s="35" t="n"/>
      <c r="E2" s="35" t="n"/>
      <c r="G2" s="64" t="inlineStr">
        <is>
          <t>하행</t>
        </is>
      </c>
      <c r="H2" s="35" t="n"/>
      <c r="I2" s="35" t="n"/>
      <c r="J2" s="35" t="n"/>
      <c r="K2" s="35" t="n"/>
    </row>
    <row r="3" ht="15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비고</t>
        </is>
      </c>
      <c r="G3" s="48" t="inlineStr">
        <is>
          <t>no</t>
        </is>
      </c>
      <c r="H3" s="49" t="inlineStr">
        <is>
          <t>구역</t>
        </is>
      </c>
      <c r="I3" s="49" t="inlineStr">
        <is>
          <t>회(부서)</t>
        </is>
      </c>
      <c r="J3" s="49" t="inlineStr">
        <is>
          <t>성 명</t>
        </is>
      </c>
      <c r="K3" s="49" t="inlineStr">
        <is>
          <t>비고</t>
        </is>
      </c>
    </row>
    <row r="4" ht="19.5" customHeight="1" s="33">
      <c r="A4" s="41" t="n">
        <v>1</v>
      </c>
      <c r="B4" s="42" t="n"/>
      <c r="C4" s="42" t="n"/>
      <c r="D4" s="42" t="n"/>
      <c r="E4" s="42" t="n"/>
      <c r="H4" s="42" t="n"/>
      <c r="I4" s="42" t="n"/>
      <c r="J4" s="42" t="n"/>
      <c r="K4" s="42" t="n"/>
    </row>
    <row r="5" ht="19.5" customHeight="1" s="33">
      <c r="A5" s="43" t="n">
        <v>2</v>
      </c>
      <c r="B5" s="44" t="n"/>
      <c r="C5" s="44" t="n"/>
      <c r="D5" s="44" t="n"/>
      <c r="E5" s="44" t="n"/>
      <c r="H5" s="44" t="n"/>
      <c r="I5" s="44" t="n"/>
      <c r="J5" s="44" t="n"/>
      <c r="K5" s="44" t="n"/>
    </row>
    <row r="6" ht="19.5" customHeight="1" s="33">
      <c r="A6" s="41" t="n">
        <v>3</v>
      </c>
      <c r="B6" s="42" t="n"/>
      <c r="C6" s="42" t="n"/>
      <c r="D6" s="42" t="n"/>
      <c r="E6" s="42" t="n"/>
      <c r="H6" s="42" t="n"/>
      <c r="I6" s="42" t="n"/>
      <c r="J6" s="42" t="n"/>
      <c r="K6" s="42" t="n"/>
    </row>
    <row r="7" ht="19.5" customHeight="1" s="33">
      <c r="A7" s="43" t="n">
        <v>4</v>
      </c>
      <c r="B7" s="44" t="n"/>
      <c r="C7" s="44" t="n"/>
      <c r="D7" s="44" t="n"/>
      <c r="E7" s="44" t="n"/>
      <c r="H7" s="44" t="n"/>
      <c r="I7" s="44" t="n"/>
      <c r="J7" s="44" t="n"/>
      <c r="K7" s="44" t="n"/>
    </row>
    <row r="8" ht="19.5" customHeight="1" s="33">
      <c r="A8" s="41" t="n">
        <v>5</v>
      </c>
      <c r="B8" s="42" t="n"/>
      <c r="C8" s="42" t="n"/>
      <c r="D8" s="42" t="n"/>
      <c r="E8" s="42" t="n"/>
      <c r="H8" s="42" t="n"/>
      <c r="I8" s="42" t="n"/>
      <c r="J8" s="42" t="n"/>
      <c r="K8" s="42" t="n"/>
    </row>
    <row r="9" ht="19.5" customHeight="1" s="33">
      <c r="A9" s="43" t="n">
        <v>6</v>
      </c>
      <c r="B9" s="44" t="n"/>
      <c r="C9" s="44" t="n"/>
      <c r="D9" s="44" t="n"/>
      <c r="E9" s="44" t="n"/>
      <c r="H9" s="44" t="n"/>
      <c r="I9" s="44" t="n"/>
      <c r="J9" s="44" t="n"/>
      <c r="K9" s="44" t="n"/>
    </row>
    <row r="10" ht="19.5" customHeight="1" s="33">
      <c r="A10" s="41" t="n">
        <v>7</v>
      </c>
      <c r="B10" s="42" t="n"/>
      <c r="C10" s="42" t="n"/>
      <c r="D10" s="42" t="n"/>
      <c r="E10" s="42" t="n"/>
      <c r="H10" s="42" t="n"/>
      <c r="I10" s="42" t="n"/>
      <c r="J10" s="42" t="n"/>
      <c r="K10" s="42" t="n"/>
    </row>
    <row r="11" ht="23.85" customHeight="1" s="33">
      <c r="A11" s="47" t="inlineStr">
        <is>
          <t>개인차2</t>
        </is>
      </c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</row>
    <row r="12" ht="15" customHeight="1" s="33">
      <c r="A12" s="64" t="inlineStr">
        <is>
          <t>상행</t>
        </is>
      </c>
      <c r="B12" s="35" t="n"/>
      <c r="C12" s="35" t="n"/>
      <c r="D12" s="35" t="n"/>
      <c r="E12" s="35" t="n"/>
      <c r="G12" s="64" t="inlineStr">
        <is>
          <t>하행</t>
        </is>
      </c>
      <c r="H12" s="35" t="n"/>
      <c r="I12" s="35" t="n"/>
      <c r="J12" s="35" t="n"/>
      <c r="K12" s="35" t="n"/>
    </row>
    <row r="13" ht="15" customHeight="1" s="33">
      <c r="A13" s="48" t="inlineStr">
        <is>
          <t>no</t>
        </is>
      </c>
      <c r="B13" s="49" t="inlineStr">
        <is>
          <t>구역</t>
        </is>
      </c>
      <c r="C13" s="49" t="inlineStr">
        <is>
          <t>회</t>
        </is>
      </c>
      <c r="D13" s="49" t="inlineStr">
        <is>
          <t>성 명</t>
        </is>
      </c>
      <c r="E13" s="49" t="inlineStr">
        <is>
          <t>비고</t>
        </is>
      </c>
      <c r="G13" s="48" t="inlineStr">
        <is>
          <t>no</t>
        </is>
      </c>
      <c r="H13" s="49" t="inlineStr">
        <is>
          <t>구역</t>
        </is>
      </c>
      <c r="I13" s="49" t="inlineStr">
        <is>
          <t>회</t>
        </is>
      </c>
      <c r="J13" s="49" t="inlineStr">
        <is>
          <t>성 명</t>
        </is>
      </c>
      <c r="K13" s="49" t="inlineStr">
        <is>
          <t>비고</t>
        </is>
      </c>
    </row>
    <row r="14" ht="19.5" customHeight="1" s="33">
      <c r="A14" s="41" t="n">
        <v>1</v>
      </c>
      <c r="B14" s="42" t="n"/>
      <c r="C14" s="42" t="n"/>
      <c r="D14" s="42" t="n"/>
      <c r="E14" s="42" t="n"/>
      <c r="H14" s="42" t="n"/>
      <c r="I14" s="42" t="n"/>
      <c r="J14" s="42" t="n"/>
      <c r="K14" s="42" t="n"/>
    </row>
    <row r="15" ht="19.5" customHeight="1" s="33">
      <c r="A15" s="43" t="n">
        <v>2</v>
      </c>
      <c r="B15" s="44" t="n"/>
      <c r="C15" s="44" t="n"/>
      <c r="D15" s="44" t="n"/>
      <c r="E15" s="44" t="n"/>
      <c r="H15" s="44" t="n"/>
      <c r="I15" s="44" t="n"/>
      <c r="J15" s="44" t="n"/>
      <c r="K15" s="44" t="n"/>
    </row>
    <row r="16" ht="19.5" customHeight="1" s="33">
      <c r="A16" s="41" t="n">
        <v>3</v>
      </c>
      <c r="B16" s="42" t="n"/>
      <c r="C16" s="42" t="n"/>
      <c r="D16" s="42" t="n"/>
      <c r="E16" s="42" t="n"/>
      <c r="H16" s="42" t="n"/>
      <c r="I16" s="42" t="n"/>
      <c r="J16" s="42" t="n"/>
      <c r="K16" s="42" t="n"/>
    </row>
    <row r="17" ht="19.5" customHeight="1" s="33">
      <c r="A17" s="43" t="n">
        <v>4</v>
      </c>
      <c r="B17" s="44" t="n"/>
      <c r="C17" s="44" t="n"/>
      <c r="D17" s="44" t="n"/>
      <c r="E17" s="44" t="n"/>
      <c r="H17" s="44" t="n"/>
      <c r="I17" s="44" t="n"/>
      <c r="J17" s="44" t="n"/>
      <c r="K17" s="44" t="n"/>
    </row>
    <row r="18" ht="19.5" customHeight="1" s="33">
      <c r="A18" s="41" t="n">
        <v>5</v>
      </c>
      <c r="B18" s="42" t="n"/>
      <c r="C18" s="42" t="n"/>
      <c r="D18" s="42" t="n"/>
      <c r="E18" s="42" t="n"/>
      <c r="H18" s="42" t="n"/>
      <c r="I18" s="42" t="n"/>
      <c r="J18" s="42" t="n"/>
      <c r="K18" s="42" t="n"/>
    </row>
    <row r="19" ht="19.5" customHeight="1" s="33">
      <c r="A19" s="43" t="n">
        <v>6</v>
      </c>
      <c r="B19" s="44" t="n"/>
      <c r="C19" s="44" t="n"/>
      <c r="D19" s="44" t="n"/>
      <c r="E19" s="44" t="n"/>
      <c r="H19" s="44" t="n"/>
      <c r="I19" s="44" t="n"/>
      <c r="J19" s="44" t="n"/>
      <c r="K19" s="44" t="n"/>
    </row>
    <row r="20" ht="19.5" customHeight="1" s="33">
      <c r="A20" s="41" t="n">
        <v>7</v>
      </c>
      <c r="B20" s="42" t="n"/>
      <c r="C20" s="42" t="n"/>
      <c r="D20" s="42" t="n"/>
      <c r="E20" s="42" t="n"/>
      <c r="H20" s="42" t="n"/>
      <c r="I20" s="42" t="n"/>
      <c r="J20" s="42" t="n"/>
      <c r="K20" s="42" t="n"/>
    </row>
    <row r="21" ht="23.85" customHeight="1" s="33">
      <c r="A21" s="47" t="inlineStr">
        <is>
          <t>개인차3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</row>
    <row r="22" ht="15" customHeight="1" s="33">
      <c r="A22" s="64" t="inlineStr">
        <is>
          <t>상행</t>
        </is>
      </c>
      <c r="B22" s="35" t="n"/>
      <c r="C22" s="35" t="n"/>
      <c r="D22" s="35" t="n"/>
      <c r="E22" s="35" t="n"/>
      <c r="G22" s="64" t="inlineStr">
        <is>
          <t>하행</t>
        </is>
      </c>
      <c r="H22" s="35" t="n"/>
      <c r="I22" s="35" t="n"/>
      <c r="J22" s="35" t="n"/>
      <c r="K22" s="35" t="n"/>
    </row>
    <row r="23" ht="15" customHeight="1" s="33">
      <c r="A23" s="48" t="inlineStr">
        <is>
          <t>no</t>
        </is>
      </c>
      <c r="B23" s="49" t="inlineStr">
        <is>
          <t>구역</t>
        </is>
      </c>
      <c r="C23" s="49" t="inlineStr">
        <is>
          <t>회</t>
        </is>
      </c>
      <c r="D23" s="49" t="inlineStr">
        <is>
          <t>성 명</t>
        </is>
      </c>
      <c r="E23" s="49" t="inlineStr">
        <is>
          <t>비고</t>
        </is>
      </c>
      <c r="G23" s="48" t="inlineStr">
        <is>
          <t>no</t>
        </is>
      </c>
      <c r="H23" s="49" t="inlineStr">
        <is>
          <t>구역</t>
        </is>
      </c>
      <c r="I23" s="49" t="inlineStr">
        <is>
          <t>회</t>
        </is>
      </c>
      <c r="J23" s="49" t="inlineStr">
        <is>
          <t>성 명</t>
        </is>
      </c>
      <c r="K23" s="49" t="inlineStr">
        <is>
          <t>비고</t>
        </is>
      </c>
    </row>
    <row r="24" ht="19.5" customHeight="1" s="33">
      <c r="A24" s="41" t="n">
        <v>1</v>
      </c>
      <c r="B24" s="42" t="n"/>
      <c r="C24" s="42" t="n"/>
      <c r="D24" s="42" t="n"/>
      <c r="E24" s="42" t="n"/>
      <c r="H24" s="42" t="n"/>
      <c r="I24" s="42" t="n"/>
      <c r="J24" s="42" t="n"/>
      <c r="K24" s="42" t="n"/>
    </row>
    <row r="25" ht="19.5" customHeight="1" s="33">
      <c r="A25" s="43" t="n">
        <v>2</v>
      </c>
      <c r="B25" s="44" t="n"/>
      <c r="C25" s="44" t="n"/>
      <c r="D25" s="44" t="n"/>
      <c r="E25" s="44" t="n"/>
      <c r="H25" s="44" t="n"/>
      <c r="I25" s="44" t="n"/>
      <c r="J25" s="44" t="n"/>
      <c r="K25" s="44" t="n"/>
    </row>
    <row r="26" ht="19.5" customHeight="1" s="33">
      <c r="A26" s="41" t="n">
        <v>3</v>
      </c>
      <c r="B26" s="42" t="n"/>
      <c r="C26" s="42" t="n"/>
      <c r="D26" s="42" t="n"/>
      <c r="E26" s="42" t="n"/>
      <c r="H26" s="42" t="n"/>
      <c r="I26" s="42" t="n"/>
      <c r="J26" s="42" t="n"/>
      <c r="K26" s="42" t="n"/>
    </row>
    <row r="27" ht="19.5" customHeight="1" s="33">
      <c r="A27" s="43" t="n">
        <v>4</v>
      </c>
      <c r="B27" s="44" t="n"/>
      <c r="C27" s="44" t="n"/>
      <c r="D27" s="44" t="n"/>
      <c r="E27" s="44" t="n"/>
      <c r="H27" s="44" t="n"/>
      <c r="I27" s="44" t="n"/>
      <c r="J27" s="44" t="n"/>
      <c r="K27" s="44" t="n"/>
    </row>
    <row r="28" ht="19.5" customHeight="1" s="33">
      <c r="A28" s="41" t="n">
        <v>5</v>
      </c>
      <c r="B28" s="42" t="n"/>
      <c r="C28" s="42" t="n"/>
      <c r="D28" s="42" t="n"/>
      <c r="E28" s="42" t="n"/>
      <c r="H28" s="42" t="n"/>
      <c r="I28" s="42" t="n"/>
      <c r="J28" s="42" t="n"/>
      <c r="K28" s="42" t="n"/>
    </row>
    <row r="29" ht="19.5" customHeight="1" s="33">
      <c r="A29" s="43" t="n">
        <v>6</v>
      </c>
      <c r="B29" s="44" t="n"/>
      <c r="C29" s="44" t="n"/>
      <c r="D29" s="44" t="n"/>
      <c r="E29" s="44" t="n"/>
      <c r="H29" s="44" t="n"/>
      <c r="I29" s="44" t="n"/>
      <c r="J29" s="44" t="n"/>
      <c r="K29" s="44" t="n"/>
    </row>
    <row r="30" ht="19.5" customHeight="1" s="33">
      <c r="A30" s="41" t="n">
        <v>7</v>
      </c>
      <c r="B30" s="42" t="n"/>
      <c r="C30" s="42" t="n"/>
      <c r="D30" s="42" t="n"/>
      <c r="E30" s="42" t="n"/>
      <c r="H30" s="42" t="n"/>
      <c r="I30" s="42" t="n"/>
      <c r="J30" s="42" t="n"/>
      <c r="K30" s="42" t="n"/>
    </row>
    <row r="31" ht="23.85" customHeight="1" s="33">
      <c r="A31" s="47" t="inlineStr">
        <is>
          <t>개인차4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</row>
    <row r="32" ht="15" customHeight="1" s="33">
      <c r="A32" s="64" t="inlineStr">
        <is>
          <t>상행</t>
        </is>
      </c>
      <c r="B32" s="35" t="n"/>
      <c r="C32" s="35" t="n"/>
      <c r="D32" s="35" t="n"/>
      <c r="E32" s="35" t="n"/>
      <c r="G32" s="64" t="inlineStr">
        <is>
          <t>하행</t>
        </is>
      </c>
      <c r="H32" s="35" t="n"/>
      <c r="I32" s="35" t="n"/>
      <c r="J32" s="35" t="n"/>
      <c r="K32" s="35" t="n"/>
    </row>
    <row r="33" ht="15" customHeight="1" s="33">
      <c r="A33" s="48" t="inlineStr">
        <is>
          <t>no</t>
        </is>
      </c>
      <c r="B33" s="49" t="inlineStr">
        <is>
          <t>구역</t>
        </is>
      </c>
      <c r="C33" s="49" t="inlineStr">
        <is>
          <t>회</t>
        </is>
      </c>
      <c r="D33" s="49" t="inlineStr">
        <is>
          <t>성 명</t>
        </is>
      </c>
      <c r="E33" s="49" t="inlineStr">
        <is>
          <t>비고</t>
        </is>
      </c>
      <c r="G33" s="48" t="inlineStr">
        <is>
          <t>no</t>
        </is>
      </c>
      <c r="H33" s="49" t="inlineStr">
        <is>
          <t>구역</t>
        </is>
      </c>
      <c r="I33" s="49" t="inlineStr">
        <is>
          <t>회</t>
        </is>
      </c>
      <c r="J33" s="49" t="inlineStr">
        <is>
          <t>성 명</t>
        </is>
      </c>
      <c r="K33" s="49" t="inlineStr">
        <is>
          <t>비고</t>
        </is>
      </c>
    </row>
    <row r="34" ht="19.5" customHeight="1" s="33">
      <c r="A34" s="41" t="n">
        <v>1</v>
      </c>
      <c r="B34" s="42" t="n"/>
      <c r="C34" s="42" t="n"/>
      <c r="D34" s="42" t="n"/>
      <c r="E34" s="42" t="n"/>
      <c r="H34" s="42" t="n"/>
      <c r="I34" s="42" t="n"/>
      <c r="J34" s="42" t="n"/>
      <c r="K34" s="42" t="n"/>
    </row>
    <row r="35" ht="19.5" customHeight="1" s="33">
      <c r="A35" s="43" t="n">
        <v>2</v>
      </c>
      <c r="B35" s="44" t="n"/>
      <c r="C35" s="44" t="n"/>
      <c r="D35" s="44" t="n"/>
      <c r="E35" s="44" t="n"/>
      <c r="H35" s="44" t="n"/>
      <c r="I35" s="44" t="n"/>
      <c r="J35" s="44" t="n"/>
      <c r="K35" s="44" t="n"/>
    </row>
    <row r="36" ht="19.5" customHeight="1" s="33">
      <c r="A36" s="41" t="n">
        <v>3</v>
      </c>
      <c r="B36" s="42" t="n"/>
      <c r="C36" s="42" t="n"/>
      <c r="D36" s="42" t="n"/>
      <c r="E36" s="42" t="n"/>
      <c r="H36" s="42" t="n"/>
      <c r="I36" s="42" t="n"/>
      <c r="J36" s="42" t="n"/>
      <c r="K36" s="42" t="n"/>
    </row>
    <row r="37" ht="19.5" customHeight="1" s="33">
      <c r="A37" s="43" t="n">
        <v>4</v>
      </c>
      <c r="B37" s="44" t="n"/>
      <c r="C37" s="44" t="n"/>
      <c r="D37" s="44" t="n"/>
      <c r="E37" s="44" t="n"/>
      <c r="H37" s="44" t="n"/>
      <c r="I37" s="44" t="n"/>
      <c r="J37" s="44" t="n"/>
      <c r="K37" s="44" t="n"/>
    </row>
    <row r="38" ht="19.5" customHeight="1" s="33">
      <c r="A38" s="41" t="n">
        <v>5</v>
      </c>
      <c r="B38" s="42" t="n"/>
      <c r="C38" s="42" t="n"/>
      <c r="D38" s="42" t="n"/>
      <c r="E38" s="42" t="n"/>
      <c r="H38" s="42" t="n"/>
      <c r="I38" s="42" t="n"/>
      <c r="J38" s="42" t="n"/>
      <c r="K38" s="42" t="n"/>
    </row>
    <row r="39" ht="19.5" customHeight="1" s="33">
      <c r="A39" s="43" t="n">
        <v>6</v>
      </c>
      <c r="B39" s="44" t="n"/>
      <c r="C39" s="44" t="n"/>
      <c r="D39" s="44" t="n"/>
      <c r="E39" s="44" t="n"/>
      <c r="H39" s="44" t="n"/>
      <c r="I39" s="44" t="n"/>
      <c r="J39" s="44" t="n"/>
      <c r="K39" s="44" t="n"/>
    </row>
    <row r="40" ht="19.5" customHeight="1" s="33">
      <c r="A40" s="41" t="n">
        <v>7</v>
      </c>
      <c r="B40" s="42" t="n"/>
      <c r="C40" s="42" t="n"/>
      <c r="D40" s="42" t="n"/>
      <c r="E40" s="42" t="n"/>
      <c r="H40" s="42" t="n"/>
      <c r="I40" s="42" t="n"/>
      <c r="J40" s="42" t="n"/>
      <c r="K40" s="42" t="n"/>
    </row>
    <row r="41" ht="23.85" customHeight="1" s="33">
      <c r="A41" s="47" t="inlineStr">
        <is>
          <t>개인차5</t>
        </is>
      </c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</row>
    <row r="42" ht="15" customHeight="1" s="33">
      <c r="A42" s="64" t="inlineStr">
        <is>
          <t>상행</t>
        </is>
      </c>
      <c r="B42" s="35" t="n"/>
      <c r="C42" s="35" t="n"/>
      <c r="D42" s="35" t="n"/>
      <c r="E42" s="35" t="n"/>
      <c r="G42" s="64" t="inlineStr">
        <is>
          <t>하행</t>
        </is>
      </c>
      <c r="H42" s="35" t="n"/>
      <c r="I42" s="35" t="n"/>
      <c r="J42" s="35" t="n"/>
      <c r="K42" s="35" t="n"/>
    </row>
    <row r="43" ht="15" customHeight="1" s="33">
      <c r="A43" s="48" t="inlineStr">
        <is>
          <t>no</t>
        </is>
      </c>
      <c r="B43" s="49" t="inlineStr">
        <is>
          <t>구역</t>
        </is>
      </c>
      <c r="C43" s="49" t="inlineStr">
        <is>
          <t>회</t>
        </is>
      </c>
      <c r="D43" s="49" t="inlineStr">
        <is>
          <t>성 명</t>
        </is>
      </c>
      <c r="E43" s="49" t="inlineStr">
        <is>
          <t>비고</t>
        </is>
      </c>
      <c r="G43" s="48" t="inlineStr">
        <is>
          <t>no</t>
        </is>
      </c>
      <c r="H43" s="49" t="inlineStr">
        <is>
          <t>구역</t>
        </is>
      </c>
      <c r="I43" s="49" t="inlineStr">
        <is>
          <t>회</t>
        </is>
      </c>
      <c r="J43" s="49" t="inlineStr">
        <is>
          <t>성 명</t>
        </is>
      </c>
      <c r="K43" s="49" t="inlineStr">
        <is>
          <t>비고</t>
        </is>
      </c>
    </row>
    <row r="44" ht="19.5" customHeight="1" s="33">
      <c r="A44" s="41" t="n">
        <v>1</v>
      </c>
      <c r="B44" s="42" t="n"/>
      <c r="C44" s="42" t="n"/>
      <c r="D44" s="42" t="n"/>
      <c r="E44" s="42" t="n"/>
      <c r="H44" s="42" t="n"/>
      <c r="I44" s="42" t="n"/>
      <c r="J44" s="42" t="n"/>
      <c r="K44" s="42" t="n"/>
    </row>
    <row r="45" ht="19.5" customHeight="1" s="33">
      <c r="A45" s="43" t="n">
        <v>2</v>
      </c>
      <c r="B45" s="44" t="n"/>
      <c r="C45" s="44" t="n"/>
      <c r="D45" s="44" t="n"/>
      <c r="E45" s="44" t="n"/>
      <c r="H45" s="44" t="n"/>
      <c r="I45" s="44" t="n"/>
      <c r="J45" s="44" t="n"/>
      <c r="K45" s="44" t="n"/>
    </row>
    <row r="46" ht="19.5" customHeight="1" s="33">
      <c r="A46" s="41" t="n">
        <v>3</v>
      </c>
      <c r="B46" s="42" t="n"/>
      <c r="C46" s="42" t="n"/>
      <c r="D46" s="42" t="n"/>
      <c r="E46" s="42" t="n"/>
      <c r="H46" s="42" t="n"/>
      <c r="I46" s="42" t="n"/>
      <c r="J46" s="42" t="n"/>
      <c r="K46" s="42" t="n"/>
    </row>
    <row r="47" ht="19.5" customHeight="1" s="33">
      <c r="A47" s="43" t="n">
        <v>4</v>
      </c>
      <c r="B47" s="44" t="n"/>
      <c r="C47" s="44" t="n"/>
      <c r="D47" s="44" t="n"/>
      <c r="E47" s="44" t="n"/>
      <c r="H47" s="44" t="n"/>
      <c r="I47" s="44" t="n"/>
      <c r="J47" s="44" t="n"/>
      <c r="K47" s="44" t="n"/>
    </row>
    <row r="48" ht="19.5" customHeight="1" s="33">
      <c r="A48" s="41" t="n">
        <v>5</v>
      </c>
      <c r="B48" s="42" t="n"/>
      <c r="C48" s="42" t="n"/>
      <c r="D48" s="42" t="n"/>
      <c r="E48" s="42" t="n"/>
      <c r="H48" s="42" t="n"/>
      <c r="I48" s="42" t="n"/>
      <c r="J48" s="42" t="n"/>
      <c r="K48" s="42" t="n"/>
    </row>
    <row r="49" ht="19.5" customHeight="1" s="33">
      <c r="A49" s="43" t="n">
        <v>6</v>
      </c>
      <c r="B49" s="44" t="n"/>
      <c r="C49" s="44" t="n"/>
      <c r="D49" s="44" t="n"/>
      <c r="E49" s="44" t="n"/>
      <c r="H49" s="44" t="n"/>
      <c r="I49" s="44" t="n"/>
      <c r="J49" s="44" t="n"/>
      <c r="K49" s="44" t="n"/>
    </row>
    <row r="50" ht="19.5" customHeight="1" s="33">
      <c r="A50" s="41" t="n">
        <v>7</v>
      </c>
      <c r="B50" s="42" t="n"/>
      <c r="C50" s="42" t="n"/>
      <c r="D50" s="42" t="n"/>
      <c r="E50" s="42" t="n"/>
      <c r="H50" s="42" t="n"/>
      <c r="I50" s="42" t="n"/>
      <c r="J50" s="42" t="n"/>
      <c r="K50" s="42" t="n"/>
    </row>
    <row r="51" ht="23.85" customHeight="1" s="33">
      <c r="A51" s="47" t="inlineStr">
        <is>
          <t>개인차6</t>
        </is>
      </c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</row>
    <row r="52" ht="15" customHeight="1" s="33">
      <c r="A52" s="64" t="inlineStr">
        <is>
          <t>상행</t>
        </is>
      </c>
      <c r="B52" s="35" t="n"/>
      <c r="C52" s="35" t="n"/>
      <c r="D52" s="35" t="n"/>
      <c r="E52" s="35" t="n"/>
      <c r="G52" s="64" t="inlineStr">
        <is>
          <t>하행</t>
        </is>
      </c>
      <c r="H52" s="35" t="n"/>
      <c r="I52" s="35" t="n"/>
      <c r="J52" s="35" t="n"/>
      <c r="K52" s="35" t="n"/>
    </row>
    <row r="53" ht="15" customHeight="1" s="33">
      <c r="A53" s="48" t="inlineStr">
        <is>
          <t>no</t>
        </is>
      </c>
      <c r="B53" s="49" t="inlineStr">
        <is>
          <t>구역</t>
        </is>
      </c>
      <c r="C53" s="49" t="inlineStr">
        <is>
          <t>회</t>
        </is>
      </c>
      <c r="D53" s="49" t="inlineStr">
        <is>
          <t>성 명</t>
        </is>
      </c>
      <c r="E53" s="49" t="inlineStr">
        <is>
          <t>비고</t>
        </is>
      </c>
      <c r="G53" s="48" t="inlineStr">
        <is>
          <t>no</t>
        </is>
      </c>
      <c r="H53" s="49" t="inlineStr">
        <is>
          <t>구역</t>
        </is>
      </c>
      <c r="I53" s="49" t="inlineStr">
        <is>
          <t>회</t>
        </is>
      </c>
      <c r="J53" s="49" t="inlineStr">
        <is>
          <t>성 명</t>
        </is>
      </c>
      <c r="K53" s="49" t="inlineStr">
        <is>
          <t>비고</t>
        </is>
      </c>
    </row>
    <row r="54" ht="19.5" customHeight="1" s="33">
      <c r="A54" s="41" t="n">
        <v>1</v>
      </c>
      <c r="B54" s="42" t="n"/>
      <c r="C54" s="42" t="n"/>
      <c r="D54" s="42" t="n"/>
      <c r="E54" s="42" t="n"/>
      <c r="H54" s="42" t="n"/>
      <c r="I54" s="42" t="n"/>
      <c r="J54" s="42" t="n"/>
      <c r="K54" s="42" t="n"/>
    </row>
    <row r="55" ht="19.5" customHeight="1" s="33">
      <c r="A55" s="43" t="n">
        <v>2</v>
      </c>
      <c r="B55" s="44" t="n"/>
      <c r="C55" s="44" t="n"/>
      <c r="D55" s="44" t="n"/>
      <c r="E55" s="44" t="n"/>
      <c r="H55" s="44" t="n"/>
      <c r="I55" s="44" t="n"/>
      <c r="J55" s="44" t="n"/>
      <c r="K55" s="44" t="n"/>
    </row>
    <row r="56" ht="19.5" customHeight="1" s="33">
      <c r="A56" s="41" t="n">
        <v>3</v>
      </c>
      <c r="B56" s="42" t="n"/>
      <c r="C56" s="42" t="n"/>
      <c r="D56" s="42" t="n"/>
      <c r="E56" s="42" t="n"/>
      <c r="H56" s="42" t="n"/>
      <c r="I56" s="42" t="n"/>
      <c r="J56" s="42" t="n"/>
      <c r="K56" s="42" t="n"/>
    </row>
    <row r="57" ht="19.5" customHeight="1" s="33">
      <c r="A57" s="43" t="n">
        <v>4</v>
      </c>
      <c r="B57" s="44" t="n"/>
      <c r="C57" s="44" t="n"/>
      <c r="D57" s="44" t="n"/>
      <c r="E57" s="44" t="n"/>
      <c r="H57" s="44" t="n"/>
      <c r="I57" s="44" t="n"/>
      <c r="J57" s="44" t="n"/>
      <c r="K57" s="44" t="n"/>
    </row>
    <row r="58" ht="19.5" customHeight="1" s="33">
      <c r="A58" s="41" t="n">
        <v>5</v>
      </c>
      <c r="B58" s="42" t="n"/>
      <c r="C58" s="42" t="n"/>
      <c r="D58" s="42" t="n"/>
      <c r="E58" s="42" t="n"/>
      <c r="H58" s="42" t="n"/>
      <c r="I58" s="42" t="n"/>
      <c r="J58" s="42" t="n"/>
      <c r="K58" s="42" t="n"/>
    </row>
    <row r="59" ht="19.5" customHeight="1" s="33">
      <c r="A59" s="43" t="n">
        <v>6</v>
      </c>
      <c r="B59" s="44" t="n"/>
      <c r="C59" s="44" t="n"/>
      <c r="D59" s="44" t="n"/>
      <c r="E59" s="44" t="n"/>
      <c r="H59" s="44" t="n"/>
      <c r="I59" s="44" t="n"/>
      <c r="J59" s="44" t="n"/>
      <c r="K59" s="44" t="n"/>
    </row>
    <row r="60" ht="19.5" customHeight="1" s="33">
      <c r="A60" s="41" t="n">
        <v>7</v>
      </c>
      <c r="B60" s="42" t="n"/>
      <c r="C60" s="42" t="n"/>
      <c r="D60" s="42" t="n"/>
      <c r="E60" s="42" t="n"/>
      <c r="H60" s="42" t="n"/>
      <c r="I60" s="42" t="n"/>
      <c r="J60" s="42" t="n"/>
      <c r="K60" s="42" t="n"/>
    </row>
    <row r="61" ht="23.85" customHeight="1" s="33">
      <c r="A61" s="47" t="inlineStr">
        <is>
          <t>개인차7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</row>
    <row r="62" ht="15" customHeight="1" s="33">
      <c r="A62" s="64" t="inlineStr">
        <is>
          <t>상행</t>
        </is>
      </c>
      <c r="B62" s="35" t="n"/>
      <c r="C62" s="35" t="n"/>
      <c r="D62" s="35" t="n"/>
      <c r="E62" s="35" t="n"/>
      <c r="G62" s="64" t="inlineStr">
        <is>
          <t>하행</t>
        </is>
      </c>
      <c r="H62" s="35" t="n"/>
      <c r="I62" s="35" t="n"/>
      <c r="J62" s="35" t="n"/>
      <c r="K62" s="35" t="n"/>
    </row>
    <row r="63" ht="15" customHeight="1" s="33">
      <c r="A63" s="48" t="inlineStr">
        <is>
          <t>no</t>
        </is>
      </c>
      <c r="B63" s="49" t="inlineStr">
        <is>
          <t>구역</t>
        </is>
      </c>
      <c r="C63" s="49" t="inlineStr">
        <is>
          <t>회</t>
        </is>
      </c>
      <c r="D63" s="49" t="inlineStr">
        <is>
          <t>성 명</t>
        </is>
      </c>
      <c r="E63" s="49" t="inlineStr">
        <is>
          <t>비고</t>
        </is>
      </c>
      <c r="G63" s="48" t="inlineStr">
        <is>
          <t>no</t>
        </is>
      </c>
      <c r="H63" s="49" t="inlineStr">
        <is>
          <t>구역</t>
        </is>
      </c>
      <c r="I63" s="49" t="inlineStr">
        <is>
          <t>회</t>
        </is>
      </c>
      <c r="J63" s="49" t="inlineStr">
        <is>
          <t>성 명</t>
        </is>
      </c>
      <c r="K63" s="49" t="inlineStr">
        <is>
          <t>비고</t>
        </is>
      </c>
    </row>
    <row r="64" ht="19.5" customHeight="1" s="33">
      <c r="A64" s="41" t="n">
        <v>1</v>
      </c>
      <c r="B64" s="42" t="n"/>
      <c r="C64" s="42" t="n"/>
      <c r="D64" s="42" t="n"/>
      <c r="E64" s="42" t="n"/>
      <c r="H64" s="42" t="n"/>
      <c r="I64" s="42" t="n"/>
      <c r="J64" s="42" t="n"/>
      <c r="K64" s="42" t="n"/>
    </row>
    <row r="65" ht="19.5" customHeight="1" s="33">
      <c r="A65" s="43" t="n">
        <v>2</v>
      </c>
      <c r="B65" s="44" t="n"/>
      <c r="C65" s="44" t="n"/>
      <c r="D65" s="44" t="n"/>
      <c r="E65" s="44" t="n"/>
      <c r="H65" s="44" t="n"/>
      <c r="I65" s="44" t="n"/>
      <c r="J65" s="44" t="n"/>
      <c r="K65" s="44" t="n"/>
    </row>
    <row r="66" ht="19.5" customHeight="1" s="33">
      <c r="A66" s="41" t="n">
        <v>3</v>
      </c>
      <c r="B66" s="42" t="n"/>
      <c r="C66" s="42" t="n"/>
      <c r="D66" s="42" t="n"/>
      <c r="E66" s="42" t="n"/>
      <c r="H66" s="42" t="n"/>
      <c r="I66" s="42" t="n"/>
      <c r="J66" s="42" t="n"/>
      <c r="K66" s="42" t="n"/>
    </row>
    <row r="67" ht="19.5" customHeight="1" s="33">
      <c r="A67" s="43" t="n">
        <v>4</v>
      </c>
      <c r="B67" s="44" t="n"/>
      <c r="C67" s="44" t="n"/>
      <c r="D67" s="44" t="n"/>
      <c r="E67" s="44" t="n"/>
      <c r="H67" s="44" t="n"/>
      <c r="I67" s="44" t="n"/>
      <c r="J67" s="44" t="n"/>
      <c r="K67" s="44" t="n"/>
    </row>
    <row r="68" ht="19.5" customHeight="1" s="33">
      <c r="A68" s="41" t="n">
        <v>5</v>
      </c>
      <c r="B68" s="42" t="n"/>
      <c r="C68" s="42" t="n"/>
      <c r="D68" s="42" t="n"/>
      <c r="E68" s="42" t="n"/>
      <c r="H68" s="42" t="n"/>
      <c r="I68" s="42" t="n"/>
      <c r="J68" s="42" t="n"/>
      <c r="K68" s="42" t="n"/>
    </row>
    <row r="69" ht="19.5" customHeight="1" s="33">
      <c r="A69" s="43" t="n">
        <v>6</v>
      </c>
      <c r="B69" s="44" t="n"/>
      <c r="C69" s="44" t="n"/>
      <c r="D69" s="44" t="n"/>
      <c r="E69" s="44" t="n"/>
      <c r="H69" s="44" t="n"/>
      <c r="I69" s="44" t="n"/>
      <c r="J69" s="44" t="n"/>
      <c r="K69" s="44" t="n"/>
    </row>
    <row r="70" ht="19.5" customHeight="1" s="33">
      <c r="A70" s="41" t="n">
        <v>7</v>
      </c>
      <c r="B70" s="42" t="n"/>
      <c r="C70" s="42" t="n"/>
      <c r="D70" s="42" t="n"/>
      <c r="E70" s="42" t="n"/>
      <c r="H70" s="42" t="n"/>
      <c r="I70" s="42" t="n"/>
      <c r="J70" s="42" t="n"/>
      <c r="K70" s="42" t="n"/>
    </row>
    <row r="71" ht="23.85" customHeight="1" s="33">
      <c r="A71" s="47" t="inlineStr">
        <is>
          <t>개인차8</t>
        </is>
      </c>
      <c r="B71" s="35" t="n"/>
      <c r="C71" s="35" t="n"/>
      <c r="D71" s="35" t="n"/>
      <c r="E71" s="35" t="n"/>
      <c r="F71" s="35" t="n"/>
      <c r="G71" s="35" t="n"/>
      <c r="H71" s="35" t="n"/>
      <c r="I71" s="35" t="n"/>
      <c r="J71" s="35" t="n"/>
      <c r="K71" s="35" t="n"/>
    </row>
    <row r="72" ht="15" customHeight="1" s="33">
      <c r="A72" s="64" t="inlineStr">
        <is>
          <t>상행</t>
        </is>
      </c>
      <c r="B72" s="35" t="n"/>
      <c r="C72" s="35" t="n"/>
      <c r="D72" s="35" t="n"/>
      <c r="E72" s="35" t="n"/>
      <c r="G72" s="64" t="inlineStr">
        <is>
          <t>하행</t>
        </is>
      </c>
      <c r="H72" s="35" t="n"/>
      <c r="I72" s="35" t="n"/>
      <c r="J72" s="35" t="n"/>
      <c r="K72" s="35" t="n"/>
    </row>
    <row r="73" ht="15" customHeight="1" s="33">
      <c r="A73" s="48" t="inlineStr">
        <is>
          <t>no</t>
        </is>
      </c>
      <c r="B73" s="49" t="inlineStr">
        <is>
          <t>구역</t>
        </is>
      </c>
      <c r="C73" s="49" t="inlineStr">
        <is>
          <t>회</t>
        </is>
      </c>
      <c r="D73" s="49" t="inlineStr">
        <is>
          <t>성 명</t>
        </is>
      </c>
      <c r="E73" s="49" t="inlineStr">
        <is>
          <t>비고</t>
        </is>
      </c>
      <c r="G73" s="48" t="inlineStr">
        <is>
          <t>no</t>
        </is>
      </c>
      <c r="H73" s="49" t="inlineStr">
        <is>
          <t>구역</t>
        </is>
      </c>
      <c r="I73" s="49" t="inlineStr">
        <is>
          <t>회</t>
        </is>
      </c>
      <c r="J73" s="49" t="inlineStr">
        <is>
          <t>성 명</t>
        </is>
      </c>
      <c r="K73" s="49" t="inlineStr">
        <is>
          <t>비고</t>
        </is>
      </c>
    </row>
    <row r="74" ht="19.5" customHeight="1" s="33">
      <c r="A74" s="41" t="n">
        <v>1</v>
      </c>
      <c r="B74" s="42" t="n"/>
      <c r="C74" s="42" t="n"/>
      <c r="D74" s="42" t="n"/>
      <c r="E74" s="42" t="n"/>
      <c r="H74" s="42" t="n"/>
      <c r="I74" s="42" t="n"/>
      <c r="J74" s="42" t="n"/>
      <c r="K74" s="42" t="n"/>
    </row>
    <row r="75" ht="19.5" customHeight="1" s="33">
      <c r="A75" s="43" t="n">
        <v>2</v>
      </c>
      <c r="B75" s="44" t="n"/>
      <c r="C75" s="44" t="n"/>
      <c r="D75" s="44" t="n"/>
      <c r="E75" s="44" t="n"/>
      <c r="H75" s="44" t="n"/>
      <c r="I75" s="44" t="n"/>
      <c r="J75" s="44" t="n"/>
      <c r="K75" s="44" t="n"/>
    </row>
    <row r="76" ht="19.5" customHeight="1" s="33">
      <c r="A76" s="41" t="n">
        <v>3</v>
      </c>
      <c r="B76" s="42" t="n"/>
      <c r="C76" s="42" t="n"/>
      <c r="D76" s="42" t="n"/>
      <c r="E76" s="42" t="n"/>
      <c r="H76" s="42" t="n"/>
      <c r="I76" s="42" t="n"/>
      <c r="J76" s="42" t="n"/>
      <c r="K76" s="42" t="n"/>
    </row>
    <row r="77" ht="19.5" customHeight="1" s="33">
      <c r="A77" s="43" t="n">
        <v>4</v>
      </c>
      <c r="B77" s="44" t="n"/>
      <c r="C77" s="44" t="n"/>
      <c r="D77" s="44" t="n"/>
      <c r="E77" s="44" t="n"/>
      <c r="H77" s="44" t="n"/>
      <c r="I77" s="44" t="n"/>
      <c r="J77" s="44" t="n"/>
      <c r="K77" s="44" t="n"/>
    </row>
    <row r="78" ht="19.5" customHeight="1" s="33">
      <c r="A78" s="41" t="n">
        <v>5</v>
      </c>
      <c r="B78" s="42" t="n"/>
      <c r="C78" s="42" t="n"/>
      <c r="D78" s="42" t="n"/>
      <c r="E78" s="42" t="n"/>
      <c r="H78" s="42" t="n"/>
      <c r="I78" s="42" t="n"/>
      <c r="J78" s="42" t="n"/>
      <c r="K78" s="42" t="n"/>
    </row>
    <row r="79" ht="19.5" customHeight="1" s="33">
      <c r="A79" s="43" t="n">
        <v>6</v>
      </c>
      <c r="B79" s="44" t="n"/>
      <c r="C79" s="44" t="n"/>
      <c r="D79" s="44" t="n"/>
      <c r="E79" s="44" t="n"/>
      <c r="H79" s="44" t="n"/>
      <c r="I79" s="44" t="n"/>
      <c r="J79" s="44" t="n"/>
      <c r="K79" s="44" t="n"/>
    </row>
    <row r="80" ht="19.5" customHeight="1" s="33">
      <c r="A80" s="41" t="n">
        <v>7</v>
      </c>
      <c r="B80" s="42" t="n"/>
      <c r="C80" s="42" t="n"/>
      <c r="D80" s="42" t="n"/>
      <c r="E80" s="42" t="n"/>
      <c r="H80" s="42" t="n"/>
      <c r="I80" s="42" t="n"/>
      <c r="J80" s="42" t="n"/>
      <c r="K80" s="42" t="n"/>
    </row>
    <row r="81" ht="23.85" customHeight="1" s="33">
      <c r="A81" s="47" t="inlineStr">
        <is>
          <t>개인차9</t>
        </is>
      </c>
      <c r="B81" s="35" t="n"/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</row>
    <row r="82" ht="15" customHeight="1" s="33">
      <c r="A82" s="64" t="inlineStr">
        <is>
          <t>상행</t>
        </is>
      </c>
      <c r="B82" s="35" t="n"/>
      <c r="C82" s="35" t="n"/>
      <c r="D82" s="35" t="n"/>
      <c r="E82" s="35" t="n"/>
      <c r="G82" s="64" t="inlineStr">
        <is>
          <t>하행</t>
        </is>
      </c>
      <c r="H82" s="35" t="n"/>
      <c r="I82" s="35" t="n"/>
      <c r="J82" s="35" t="n"/>
      <c r="K82" s="35" t="n"/>
    </row>
    <row r="83" ht="15" customHeight="1" s="33">
      <c r="A83" s="48" t="inlineStr">
        <is>
          <t>no</t>
        </is>
      </c>
      <c r="B83" s="49" t="inlineStr">
        <is>
          <t>구역</t>
        </is>
      </c>
      <c r="C83" s="49" t="inlineStr">
        <is>
          <t>회</t>
        </is>
      </c>
      <c r="D83" s="49" t="inlineStr">
        <is>
          <t>성 명</t>
        </is>
      </c>
      <c r="E83" s="49" t="inlineStr">
        <is>
          <t>비고</t>
        </is>
      </c>
      <c r="G83" s="48" t="inlineStr">
        <is>
          <t>no</t>
        </is>
      </c>
      <c r="H83" s="49" t="inlineStr">
        <is>
          <t>구역</t>
        </is>
      </c>
      <c r="I83" s="49" t="inlineStr">
        <is>
          <t>회</t>
        </is>
      </c>
      <c r="J83" s="49" t="inlineStr">
        <is>
          <t>성 명</t>
        </is>
      </c>
      <c r="K83" s="49" t="inlineStr">
        <is>
          <t>비고</t>
        </is>
      </c>
    </row>
    <row r="84" ht="19.5" customHeight="1" s="33">
      <c r="A84" s="41" t="n">
        <v>1</v>
      </c>
      <c r="B84" s="42" t="n"/>
      <c r="C84" s="42" t="n"/>
      <c r="D84" s="42" t="n"/>
      <c r="E84" s="42" t="n"/>
      <c r="H84" s="42" t="n"/>
      <c r="I84" s="42" t="n"/>
      <c r="J84" s="42" t="n"/>
      <c r="K84" s="42" t="n"/>
    </row>
    <row r="85" ht="19.5" customHeight="1" s="33">
      <c r="A85" s="43" t="n">
        <v>2</v>
      </c>
      <c r="B85" s="44" t="n"/>
      <c r="C85" s="44" t="n"/>
      <c r="D85" s="44" t="n"/>
      <c r="E85" s="44" t="n"/>
      <c r="H85" s="44" t="n"/>
      <c r="I85" s="44" t="n"/>
      <c r="J85" s="44" t="n"/>
      <c r="K85" s="44" t="n"/>
    </row>
    <row r="86" ht="19.5" customHeight="1" s="33">
      <c r="A86" s="41" t="n">
        <v>3</v>
      </c>
      <c r="B86" s="42" t="n"/>
      <c r="C86" s="42" t="n"/>
      <c r="D86" s="42" t="n"/>
      <c r="E86" s="42" t="n"/>
      <c r="H86" s="42" t="n"/>
      <c r="I86" s="42" t="n"/>
      <c r="J86" s="42" t="n"/>
      <c r="K86" s="42" t="n"/>
    </row>
    <row r="87" ht="19.5" customHeight="1" s="33">
      <c r="A87" s="43" t="n">
        <v>4</v>
      </c>
      <c r="B87" s="44" t="n"/>
      <c r="C87" s="44" t="n"/>
      <c r="D87" s="44" t="n"/>
      <c r="E87" s="44" t="n"/>
      <c r="H87" s="44" t="n"/>
      <c r="I87" s="44" t="n"/>
      <c r="J87" s="44" t="n"/>
      <c r="K87" s="44" t="n"/>
    </row>
    <row r="88" ht="19.5" customHeight="1" s="33">
      <c r="A88" s="41" t="n">
        <v>5</v>
      </c>
      <c r="B88" s="42" t="n"/>
      <c r="C88" s="42" t="n"/>
      <c r="D88" s="42" t="n"/>
      <c r="E88" s="42" t="n"/>
      <c r="H88" s="42" t="n"/>
      <c r="I88" s="42" t="n"/>
      <c r="J88" s="42" t="n"/>
      <c r="K88" s="42" t="n"/>
    </row>
    <row r="89" ht="19.5" customHeight="1" s="33">
      <c r="A89" s="43" t="n">
        <v>6</v>
      </c>
      <c r="B89" s="44" t="n"/>
      <c r="C89" s="44" t="n"/>
      <c r="D89" s="44" t="n"/>
      <c r="E89" s="44" t="n"/>
      <c r="H89" s="44" t="n"/>
      <c r="I89" s="44" t="n"/>
      <c r="J89" s="44" t="n"/>
      <c r="K89" s="44" t="n"/>
    </row>
    <row r="90" ht="19.5" customHeight="1" s="33">
      <c r="A90" s="41" t="n">
        <v>7</v>
      </c>
      <c r="B90" s="42" t="n"/>
      <c r="C90" s="42" t="n"/>
      <c r="D90" s="42" t="n"/>
      <c r="E90" s="42" t="n"/>
      <c r="H90" s="42" t="n"/>
      <c r="I90" s="42" t="n"/>
      <c r="J90" s="42" t="n"/>
      <c r="K90" s="42" t="n"/>
    </row>
    <row r="91" ht="23.85" customHeight="1" s="33">
      <c r="A91" s="47" t="inlineStr">
        <is>
          <t>개인차10</t>
        </is>
      </c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</row>
    <row r="92" ht="15" customHeight="1" s="33">
      <c r="A92" s="64" t="inlineStr">
        <is>
          <t>상행</t>
        </is>
      </c>
      <c r="B92" s="35" t="n"/>
      <c r="C92" s="35" t="n"/>
      <c r="D92" s="35" t="n"/>
      <c r="E92" s="35" t="n"/>
      <c r="G92" s="64" t="inlineStr">
        <is>
          <t>하행</t>
        </is>
      </c>
      <c r="H92" s="35" t="n"/>
      <c r="I92" s="35" t="n"/>
      <c r="J92" s="35" t="n"/>
      <c r="K92" s="35" t="n"/>
    </row>
    <row r="93" ht="15" customHeight="1" s="33">
      <c r="A93" s="48" t="inlineStr">
        <is>
          <t>no</t>
        </is>
      </c>
      <c r="B93" s="49" t="inlineStr">
        <is>
          <t>구역</t>
        </is>
      </c>
      <c r="C93" s="49" t="inlineStr">
        <is>
          <t>회</t>
        </is>
      </c>
      <c r="D93" s="49" t="inlineStr">
        <is>
          <t>성 명</t>
        </is>
      </c>
      <c r="E93" s="49" t="inlineStr">
        <is>
          <t>비고</t>
        </is>
      </c>
      <c r="G93" s="48" t="inlineStr">
        <is>
          <t>no</t>
        </is>
      </c>
      <c r="H93" s="49" t="inlineStr">
        <is>
          <t>구역</t>
        </is>
      </c>
      <c r="I93" s="49" t="inlineStr">
        <is>
          <t>회</t>
        </is>
      </c>
      <c r="J93" s="49" t="inlineStr">
        <is>
          <t>성 명</t>
        </is>
      </c>
      <c r="K93" s="49" t="inlineStr">
        <is>
          <t>비고</t>
        </is>
      </c>
    </row>
    <row r="94" ht="19.5" customHeight="1" s="33">
      <c r="A94" s="41" t="n">
        <v>1</v>
      </c>
      <c r="B94" s="42" t="n"/>
      <c r="C94" s="42" t="n"/>
      <c r="D94" s="42" t="n"/>
      <c r="E94" s="42" t="n"/>
      <c r="H94" s="42" t="n"/>
      <c r="I94" s="42" t="n"/>
      <c r="J94" s="42" t="n"/>
      <c r="K94" s="42" t="n"/>
    </row>
    <row r="95" ht="19.5" customHeight="1" s="33">
      <c r="A95" s="43" t="n">
        <v>2</v>
      </c>
      <c r="B95" s="44" t="n"/>
      <c r="C95" s="44" t="n"/>
      <c r="D95" s="44" t="n"/>
      <c r="E95" s="44" t="n"/>
      <c r="H95" s="44" t="n"/>
      <c r="I95" s="44" t="n"/>
      <c r="J95" s="44" t="n"/>
      <c r="K95" s="44" t="n"/>
    </row>
    <row r="96" ht="19.5" customHeight="1" s="33">
      <c r="A96" s="41" t="n">
        <v>3</v>
      </c>
      <c r="B96" s="42" t="n"/>
      <c r="C96" s="42" t="n"/>
      <c r="D96" s="42" t="n"/>
      <c r="E96" s="42" t="n"/>
      <c r="H96" s="42" t="n"/>
      <c r="I96" s="42" t="n"/>
      <c r="J96" s="42" t="n"/>
      <c r="K96" s="42" t="n"/>
    </row>
    <row r="97" ht="19.5" customHeight="1" s="33">
      <c r="A97" s="43" t="n">
        <v>4</v>
      </c>
      <c r="B97" s="44" t="n"/>
      <c r="C97" s="44" t="n"/>
      <c r="D97" s="44" t="n"/>
      <c r="E97" s="44" t="n"/>
      <c r="H97" s="44" t="n"/>
      <c r="I97" s="44" t="n"/>
      <c r="J97" s="44" t="n"/>
      <c r="K97" s="44" t="n"/>
    </row>
    <row r="98" ht="19.5" customHeight="1" s="33">
      <c r="A98" s="41" t="n">
        <v>5</v>
      </c>
      <c r="B98" s="42" t="n"/>
      <c r="C98" s="42" t="n"/>
      <c r="D98" s="42" t="n"/>
      <c r="E98" s="42" t="n"/>
      <c r="H98" s="42" t="n"/>
      <c r="I98" s="42" t="n"/>
      <c r="J98" s="42" t="n"/>
      <c r="K98" s="42" t="n"/>
    </row>
    <row r="99" ht="19.5" customHeight="1" s="33">
      <c r="A99" s="43" t="n">
        <v>6</v>
      </c>
      <c r="B99" s="44" t="n"/>
      <c r="C99" s="44" t="n"/>
      <c r="D99" s="44" t="n"/>
      <c r="E99" s="44" t="n"/>
      <c r="H99" s="44" t="n"/>
      <c r="I99" s="44" t="n"/>
      <c r="J99" s="44" t="n"/>
      <c r="K99" s="44" t="n"/>
    </row>
    <row r="100" ht="19.5" customHeight="1" s="33">
      <c r="A100" s="41" t="n">
        <v>7</v>
      </c>
      <c r="B100" s="42" t="n"/>
      <c r="C100" s="42" t="n"/>
      <c r="D100" s="42" t="n"/>
      <c r="E100" s="42" t="n"/>
      <c r="H100" s="42" t="n"/>
      <c r="I100" s="42" t="n"/>
      <c r="J100" s="42" t="n"/>
      <c r="K100" s="42" t="n"/>
    </row>
    <row r="101" ht="23.85" customHeight="1" s="33">
      <c r="A101" s="47" t="inlineStr">
        <is>
          <t>개인차11</t>
        </is>
      </c>
      <c r="B101" s="35" t="n"/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5" t="n"/>
    </row>
    <row r="102" ht="15" customHeight="1" s="33">
      <c r="A102" s="64" t="inlineStr">
        <is>
          <t>상행</t>
        </is>
      </c>
      <c r="B102" s="35" t="n"/>
      <c r="C102" s="35" t="n"/>
      <c r="D102" s="35" t="n"/>
      <c r="E102" s="35" t="n"/>
      <c r="G102" s="64" t="inlineStr">
        <is>
          <t>하행</t>
        </is>
      </c>
      <c r="H102" s="35" t="n"/>
      <c r="I102" s="35" t="n"/>
      <c r="J102" s="35" t="n"/>
      <c r="K102" s="35" t="n"/>
    </row>
    <row r="103" ht="15" customHeight="1" s="33">
      <c r="A103" s="48" t="inlineStr">
        <is>
          <t>no</t>
        </is>
      </c>
      <c r="B103" s="49" t="inlineStr">
        <is>
          <t>구역</t>
        </is>
      </c>
      <c r="C103" s="49" t="inlineStr">
        <is>
          <t>회</t>
        </is>
      </c>
      <c r="D103" s="49" t="inlineStr">
        <is>
          <t>성 명</t>
        </is>
      </c>
      <c r="E103" s="49" t="inlineStr">
        <is>
          <t>비고</t>
        </is>
      </c>
      <c r="G103" s="48" t="inlineStr">
        <is>
          <t>no</t>
        </is>
      </c>
      <c r="H103" s="49" t="inlineStr">
        <is>
          <t>구역</t>
        </is>
      </c>
      <c r="I103" s="49" t="inlineStr">
        <is>
          <t>회</t>
        </is>
      </c>
      <c r="J103" s="49" t="inlineStr">
        <is>
          <t>성 명</t>
        </is>
      </c>
      <c r="K103" s="49" t="inlineStr">
        <is>
          <t>비고</t>
        </is>
      </c>
    </row>
    <row r="104" ht="19.5" customHeight="1" s="33">
      <c r="A104" s="41" t="n">
        <v>1</v>
      </c>
      <c r="B104" s="42" t="n"/>
      <c r="C104" s="42" t="n"/>
      <c r="D104" s="42" t="n"/>
      <c r="E104" s="42" t="n"/>
      <c r="H104" s="42" t="n"/>
      <c r="I104" s="42" t="n"/>
      <c r="J104" s="42" t="n"/>
      <c r="K104" s="42" t="n"/>
    </row>
    <row r="105" ht="19.5" customHeight="1" s="33">
      <c r="A105" s="43" t="n">
        <v>2</v>
      </c>
      <c r="B105" s="44" t="n"/>
      <c r="C105" s="44" t="n"/>
      <c r="D105" s="44" t="n"/>
      <c r="E105" s="44" t="n"/>
      <c r="H105" s="44" t="n"/>
      <c r="I105" s="44" t="n"/>
      <c r="J105" s="44" t="n"/>
      <c r="K105" s="44" t="n"/>
    </row>
    <row r="106" ht="19.5" customHeight="1" s="33">
      <c r="A106" s="41" t="n">
        <v>3</v>
      </c>
      <c r="B106" s="42" t="n"/>
      <c r="C106" s="42" t="n"/>
      <c r="D106" s="42" t="n"/>
      <c r="E106" s="42" t="n"/>
      <c r="H106" s="42" t="n"/>
      <c r="I106" s="42" t="n"/>
      <c r="J106" s="42" t="n"/>
      <c r="K106" s="42" t="n"/>
    </row>
    <row r="107" ht="19.5" customHeight="1" s="33">
      <c r="A107" s="43" t="n">
        <v>4</v>
      </c>
      <c r="B107" s="44" t="n"/>
      <c r="C107" s="44" t="n"/>
      <c r="D107" s="44" t="n"/>
      <c r="E107" s="44" t="n"/>
      <c r="H107" s="44" t="n"/>
      <c r="I107" s="44" t="n"/>
      <c r="J107" s="44" t="n"/>
      <c r="K107" s="44" t="n"/>
    </row>
    <row r="108" ht="19.5" customHeight="1" s="33">
      <c r="A108" s="41" t="n">
        <v>5</v>
      </c>
      <c r="B108" s="42" t="n"/>
      <c r="C108" s="42" t="n"/>
      <c r="D108" s="42" t="n"/>
      <c r="E108" s="42" t="n"/>
      <c r="H108" s="42" t="n"/>
      <c r="I108" s="42" t="n"/>
      <c r="J108" s="42" t="n"/>
      <c r="K108" s="42" t="n"/>
    </row>
    <row r="109" ht="19.5" customHeight="1" s="33">
      <c r="A109" s="43" t="n">
        <v>6</v>
      </c>
      <c r="B109" s="44" t="n"/>
      <c r="C109" s="44" t="n"/>
      <c r="D109" s="44" t="n"/>
      <c r="E109" s="44" t="n"/>
      <c r="H109" s="44" t="n"/>
      <c r="I109" s="44" t="n"/>
      <c r="J109" s="44" t="n"/>
      <c r="K109" s="44" t="n"/>
    </row>
    <row r="110" ht="19.5" customHeight="1" s="33">
      <c r="A110" s="41" t="n">
        <v>7</v>
      </c>
      <c r="B110" s="42" t="n"/>
      <c r="C110" s="42" t="n"/>
      <c r="D110" s="42" t="n"/>
      <c r="E110" s="42" t="n"/>
      <c r="H110" s="42" t="n"/>
      <c r="I110" s="42" t="n"/>
      <c r="J110" s="42" t="n"/>
      <c r="K110" s="42" t="n"/>
    </row>
    <row r="111" ht="23.85" customHeight="1" s="33">
      <c r="A111" s="47" t="inlineStr">
        <is>
          <t>개인차12</t>
        </is>
      </c>
      <c r="B111" s="35" t="n"/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5" t="n"/>
    </row>
    <row r="112" ht="15" customHeight="1" s="33">
      <c r="A112" s="64" t="inlineStr">
        <is>
          <t>상행</t>
        </is>
      </c>
      <c r="B112" s="35" t="n"/>
      <c r="C112" s="35" t="n"/>
      <c r="D112" s="35" t="n"/>
      <c r="E112" s="35" t="n"/>
      <c r="G112" s="64" t="inlineStr">
        <is>
          <t>하행</t>
        </is>
      </c>
      <c r="H112" s="35" t="n"/>
      <c r="I112" s="35" t="n"/>
      <c r="J112" s="35" t="n"/>
      <c r="K112" s="35" t="n"/>
    </row>
    <row r="113" ht="15" customHeight="1" s="33">
      <c r="A113" s="48" t="inlineStr">
        <is>
          <t>no</t>
        </is>
      </c>
      <c r="B113" s="49" t="inlineStr">
        <is>
          <t>구역</t>
        </is>
      </c>
      <c r="C113" s="49" t="inlineStr">
        <is>
          <t>회</t>
        </is>
      </c>
      <c r="D113" s="49" t="inlineStr">
        <is>
          <t>성 명</t>
        </is>
      </c>
      <c r="E113" s="49" t="inlineStr">
        <is>
          <t>비고</t>
        </is>
      </c>
      <c r="G113" s="48" t="inlineStr">
        <is>
          <t>no</t>
        </is>
      </c>
      <c r="H113" s="49" t="inlineStr">
        <is>
          <t>구역</t>
        </is>
      </c>
      <c r="I113" s="49" t="inlineStr">
        <is>
          <t>회</t>
        </is>
      </c>
      <c r="J113" s="49" t="inlineStr">
        <is>
          <t>성 명</t>
        </is>
      </c>
      <c r="K113" s="49" t="inlineStr">
        <is>
          <t>비고</t>
        </is>
      </c>
    </row>
    <row r="114" ht="19.5" customHeight="1" s="33">
      <c r="A114" s="41" t="n">
        <v>1</v>
      </c>
      <c r="B114" s="42" t="n"/>
      <c r="C114" s="42" t="n"/>
      <c r="D114" s="42" t="n"/>
      <c r="E114" s="42" t="n"/>
      <c r="H114" s="42" t="n"/>
      <c r="I114" s="42" t="n"/>
      <c r="J114" s="42" t="n"/>
      <c r="K114" s="42" t="n"/>
    </row>
    <row r="115" ht="19.5" customHeight="1" s="33">
      <c r="A115" s="43" t="n">
        <v>2</v>
      </c>
      <c r="B115" s="44" t="n"/>
      <c r="C115" s="44" t="n"/>
      <c r="D115" s="44" t="n"/>
      <c r="E115" s="44" t="n"/>
      <c r="H115" s="44" t="n"/>
      <c r="I115" s="44" t="n"/>
      <c r="J115" s="44" t="n"/>
      <c r="K115" s="44" t="n"/>
    </row>
    <row r="116" ht="19.5" customHeight="1" s="33">
      <c r="A116" s="41" t="n">
        <v>3</v>
      </c>
      <c r="B116" s="42" t="n"/>
      <c r="C116" s="42" t="n"/>
      <c r="D116" s="42" t="n"/>
      <c r="E116" s="42" t="n"/>
      <c r="H116" s="42" t="n"/>
      <c r="I116" s="42" t="n"/>
      <c r="J116" s="42" t="n"/>
      <c r="K116" s="42" t="n"/>
    </row>
    <row r="117" ht="19.5" customHeight="1" s="33">
      <c r="A117" s="43" t="n">
        <v>4</v>
      </c>
      <c r="B117" s="44" t="n"/>
      <c r="C117" s="44" t="n"/>
      <c r="D117" s="44" t="n"/>
      <c r="E117" s="44" t="n"/>
      <c r="H117" s="44" t="n"/>
      <c r="I117" s="44" t="n"/>
      <c r="J117" s="44" t="n"/>
      <c r="K117" s="44" t="n"/>
    </row>
    <row r="118" ht="19.5" customHeight="1" s="33">
      <c r="A118" s="41" t="n">
        <v>5</v>
      </c>
      <c r="B118" s="42" t="n"/>
      <c r="C118" s="42" t="n"/>
      <c r="D118" s="42" t="n"/>
      <c r="E118" s="42" t="n"/>
      <c r="H118" s="42" t="n"/>
      <c r="I118" s="42" t="n"/>
      <c r="J118" s="42" t="n"/>
      <c r="K118" s="42" t="n"/>
    </row>
    <row r="119" ht="19.5" customHeight="1" s="33">
      <c r="A119" s="43" t="n">
        <v>6</v>
      </c>
      <c r="B119" s="44" t="n"/>
      <c r="C119" s="44" t="n"/>
      <c r="D119" s="44" t="n"/>
      <c r="E119" s="44" t="n"/>
      <c r="H119" s="44" t="n"/>
      <c r="I119" s="44" t="n"/>
      <c r="J119" s="44" t="n"/>
      <c r="K119" s="44" t="n"/>
    </row>
    <row r="120" ht="19.5" customHeight="1" s="33">
      <c r="A120" s="41" t="n">
        <v>7</v>
      </c>
      <c r="B120" s="42" t="n"/>
      <c r="C120" s="42" t="n"/>
      <c r="D120" s="42" t="n"/>
      <c r="E120" s="42" t="n"/>
      <c r="H120" s="42" t="n"/>
      <c r="I120" s="42" t="n"/>
      <c r="J120" s="42" t="n"/>
      <c r="K120" s="42" t="n"/>
    </row>
    <row r="121" ht="23.85" customHeight="1" s="33">
      <c r="A121" s="47" t="inlineStr">
        <is>
          <t>개인차13</t>
        </is>
      </c>
      <c r="B121" s="35" t="n"/>
      <c r="C121" s="35" t="n"/>
      <c r="D121" s="35" t="n"/>
      <c r="E121" s="35" t="n"/>
      <c r="F121" s="35" t="n"/>
      <c r="G121" s="35" t="n"/>
      <c r="H121" s="35" t="n"/>
      <c r="I121" s="35" t="n"/>
      <c r="J121" s="35" t="n"/>
      <c r="K121" s="35" t="n"/>
    </row>
    <row r="122" ht="15" customHeight="1" s="33">
      <c r="A122" s="64" t="inlineStr">
        <is>
          <t>상행</t>
        </is>
      </c>
      <c r="B122" s="35" t="n"/>
      <c r="C122" s="35" t="n"/>
      <c r="D122" s="35" t="n"/>
      <c r="E122" s="35" t="n"/>
      <c r="G122" s="64" t="inlineStr">
        <is>
          <t>하행</t>
        </is>
      </c>
      <c r="H122" s="35" t="n"/>
      <c r="I122" s="35" t="n"/>
      <c r="J122" s="35" t="n"/>
      <c r="K122" s="35" t="n"/>
    </row>
    <row r="123" ht="15" customHeight="1" s="33">
      <c r="A123" s="48" t="inlineStr">
        <is>
          <t>no</t>
        </is>
      </c>
      <c r="B123" s="49" t="inlineStr">
        <is>
          <t>구역</t>
        </is>
      </c>
      <c r="C123" s="49" t="inlineStr">
        <is>
          <t>회</t>
        </is>
      </c>
      <c r="D123" s="49" t="inlineStr">
        <is>
          <t>성 명</t>
        </is>
      </c>
      <c r="E123" s="49" t="inlineStr">
        <is>
          <t>비고</t>
        </is>
      </c>
      <c r="G123" s="48" t="inlineStr">
        <is>
          <t>no</t>
        </is>
      </c>
      <c r="H123" s="49" t="inlineStr">
        <is>
          <t>구역</t>
        </is>
      </c>
      <c r="I123" s="49" t="inlineStr">
        <is>
          <t>회</t>
        </is>
      </c>
      <c r="J123" s="49" t="inlineStr">
        <is>
          <t>성 명</t>
        </is>
      </c>
      <c r="K123" s="49" t="inlineStr">
        <is>
          <t>비고</t>
        </is>
      </c>
    </row>
    <row r="124" ht="19.5" customHeight="1" s="33">
      <c r="A124" s="41" t="n">
        <v>1</v>
      </c>
      <c r="B124" s="42" t="n"/>
      <c r="C124" s="42" t="n"/>
      <c r="D124" s="42" t="n"/>
      <c r="E124" s="42" t="n"/>
      <c r="H124" s="42" t="n"/>
      <c r="I124" s="42" t="n"/>
      <c r="J124" s="42" t="n"/>
      <c r="K124" s="42" t="n"/>
    </row>
    <row r="125" ht="19.5" customHeight="1" s="33">
      <c r="A125" s="43" t="n">
        <v>2</v>
      </c>
      <c r="B125" s="44" t="n"/>
      <c r="C125" s="44" t="n"/>
      <c r="D125" s="44" t="n"/>
      <c r="E125" s="44" t="n"/>
      <c r="H125" s="44" t="n"/>
      <c r="I125" s="44" t="n"/>
      <c r="J125" s="44" t="n"/>
      <c r="K125" s="44" t="n"/>
    </row>
    <row r="126" ht="19.5" customHeight="1" s="33">
      <c r="A126" s="41" t="n">
        <v>3</v>
      </c>
      <c r="B126" s="42" t="n"/>
      <c r="C126" s="42" t="n"/>
      <c r="D126" s="42" t="n"/>
      <c r="E126" s="42" t="n"/>
      <c r="H126" s="42" t="n"/>
      <c r="I126" s="42" t="n"/>
      <c r="J126" s="42" t="n"/>
      <c r="K126" s="42" t="n"/>
    </row>
    <row r="127" ht="19.5" customHeight="1" s="33">
      <c r="A127" s="43" t="n">
        <v>4</v>
      </c>
      <c r="B127" s="44" t="n"/>
      <c r="C127" s="44" t="n"/>
      <c r="D127" s="44" t="n"/>
      <c r="E127" s="44" t="n"/>
      <c r="H127" s="44" t="n"/>
      <c r="I127" s="44" t="n"/>
      <c r="J127" s="44" t="n"/>
      <c r="K127" s="44" t="n"/>
    </row>
    <row r="128" ht="19.5" customHeight="1" s="33">
      <c r="A128" s="41" t="n">
        <v>5</v>
      </c>
      <c r="B128" s="42" t="n"/>
      <c r="C128" s="42" t="n"/>
      <c r="D128" s="42" t="n"/>
      <c r="E128" s="42" t="n"/>
      <c r="H128" s="42" t="n"/>
      <c r="I128" s="42" t="n"/>
      <c r="J128" s="42" t="n"/>
      <c r="K128" s="42" t="n"/>
    </row>
    <row r="129" ht="19.5" customHeight="1" s="33">
      <c r="A129" s="43" t="n">
        <v>6</v>
      </c>
      <c r="B129" s="44" t="n"/>
      <c r="C129" s="44" t="n"/>
      <c r="D129" s="44" t="n"/>
      <c r="E129" s="44" t="n"/>
      <c r="H129" s="44" t="n"/>
      <c r="I129" s="44" t="n"/>
      <c r="J129" s="44" t="n"/>
      <c r="K129" s="44" t="n"/>
    </row>
    <row r="130" ht="19.5" customHeight="1" s="33">
      <c r="A130" s="41" t="n">
        <v>7</v>
      </c>
      <c r="B130" s="42" t="n"/>
      <c r="C130" s="42" t="n"/>
      <c r="D130" s="42" t="n"/>
      <c r="E130" s="42" t="n"/>
      <c r="H130" s="42" t="n"/>
      <c r="I130" s="42" t="n"/>
      <c r="J130" s="42" t="n"/>
      <c r="K130" s="42" t="n"/>
    </row>
    <row r="131" ht="23.85" customHeight="1" s="33">
      <c r="A131" s="47" t="inlineStr">
        <is>
          <t>개인차14</t>
        </is>
      </c>
      <c r="B131" s="35" t="n"/>
      <c r="C131" s="35" t="n"/>
      <c r="D131" s="35" t="n"/>
      <c r="E131" s="35" t="n"/>
      <c r="F131" s="35" t="n"/>
      <c r="G131" s="35" t="n"/>
      <c r="H131" s="35" t="n"/>
      <c r="I131" s="35" t="n"/>
      <c r="J131" s="35" t="n"/>
      <c r="K131" s="35" t="n"/>
    </row>
    <row r="132" ht="15" customHeight="1" s="33">
      <c r="A132" s="64" t="inlineStr">
        <is>
          <t>상행</t>
        </is>
      </c>
      <c r="B132" s="35" t="n"/>
      <c r="C132" s="35" t="n"/>
      <c r="D132" s="35" t="n"/>
      <c r="E132" s="35" t="n"/>
      <c r="G132" s="64" t="inlineStr">
        <is>
          <t>하행</t>
        </is>
      </c>
      <c r="H132" s="35" t="n"/>
      <c r="I132" s="35" t="n"/>
      <c r="J132" s="35" t="n"/>
      <c r="K132" s="35" t="n"/>
    </row>
    <row r="133" ht="15" customHeight="1" s="33">
      <c r="A133" s="48" t="inlineStr">
        <is>
          <t>no</t>
        </is>
      </c>
      <c r="B133" s="49" t="inlineStr">
        <is>
          <t>구역</t>
        </is>
      </c>
      <c r="C133" s="49" t="inlineStr">
        <is>
          <t>회</t>
        </is>
      </c>
      <c r="D133" s="49" t="inlineStr">
        <is>
          <t>성 명</t>
        </is>
      </c>
      <c r="E133" s="49" t="inlineStr">
        <is>
          <t>비고</t>
        </is>
      </c>
      <c r="G133" s="48" t="inlineStr">
        <is>
          <t>no</t>
        </is>
      </c>
      <c r="H133" s="49" t="inlineStr">
        <is>
          <t>구역</t>
        </is>
      </c>
      <c r="I133" s="49" t="inlineStr">
        <is>
          <t>회</t>
        </is>
      </c>
      <c r="J133" s="49" t="inlineStr">
        <is>
          <t>성 명</t>
        </is>
      </c>
      <c r="K133" s="49" t="inlineStr">
        <is>
          <t>비고</t>
        </is>
      </c>
    </row>
    <row r="134" ht="19.5" customHeight="1" s="33">
      <c r="A134" s="41" t="n">
        <v>1</v>
      </c>
      <c r="B134" s="42" t="n"/>
      <c r="C134" s="42" t="n"/>
      <c r="D134" s="42" t="n"/>
      <c r="E134" s="42" t="n"/>
      <c r="H134" s="42" t="n"/>
      <c r="I134" s="42" t="n"/>
      <c r="J134" s="42" t="n"/>
      <c r="K134" s="42" t="n"/>
    </row>
    <row r="135" ht="19.5" customHeight="1" s="33">
      <c r="A135" s="43" t="n">
        <v>2</v>
      </c>
      <c r="B135" s="44" t="n"/>
      <c r="C135" s="44" t="n"/>
      <c r="D135" s="44" t="n"/>
      <c r="E135" s="44" t="n"/>
      <c r="H135" s="44" t="n"/>
      <c r="I135" s="44" t="n"/>
      <c r="J135" s="44" t="n"/>
      <c r="K135" s="44" t="n"/>
    </row>
    <row r="136" ht="19.5" customHeight="1" s="33">
      <c r="A136" s="41" t="n">
        <v>3</v>
      </c>
      <c r="B136" s="42" t="n"/>
      <c r="C136" s="42" t="n"/>
      <c r="D136" s="42" t="n"/>
      <c r="E136" s="42" t="n"/>
      <c r="H136" s="42" t="n"/>
      <c r="I136" s="42" t="n"/>
      <c r="J136" s="42" t="n"/>
      <c r="K136" s="42" t="n"/>
    </row>
    <row r="137" ht="19.5" customHeight="1" s="33">
      <c r="A137" s="43" t="n">
        <v>4</v>
      </c>
      <c r="B137" s="44" t="n"/>
      <c r="C137" s="44" t="n"/>
      <c r="D137" s="44" t="n"/>
      <c r="E137" s="44" t="n"/>
      <c r="H137" s="44" t="n"/>
      <c r="I137" s="44" t="n"/>
      <c r="J137" s="44" t="n"/>
      <c r="K137" s="44" t="n"/>
    </row>
    <row r="138" ht="19.5" customHeight="1" s="33">
      <c r="A138" s="41" t="n">
        <v>5</v>
      </c>
      <c r="B138" s="42" t="n"/>
      <c r="C138" s="42" t="n"/>
      <c r="D138" s="42" t="n"/>
      <c r="E138" s="42" t="n"/>
      <c r="H138" s="42" t="n"/>
      <c r="I138" s="42" t="n"/>
      <c r="J138" s="42" t="n"/>
      <c r="K138" s="42" t="n"/>
    </row>
    <row r="139" ht="19.5" customHeight="1" s="33">
      <c r="A139" s="43" t="n">
        <v>6</v>
      </c>
      <c r="B139" s="44" t="n"/>
      <c r="C139" s="44" t="n"/>
      <c r="D139" s="44" t="n"/>
      <c r="E139" s="44" t="n"/>
      <c r="H139" s="44" t="n"/>
      <c r="I139" s="44" t="n"/>
      <c r="J139" s="44" t="n"/>
      <c r="K139" s="44" t="n"/>
    </row>
    <row r="140" ht="19.5" customHeight="1" s="33">
      <c r="A140" s="41" t="n">
        <v>7</v>
      </c>
      <c r="B140" s="42" t="n"/>
      <c r="C140" s="42" t="n"/>
      <c r="D140" s="42" t="n"/>
      <c r="E140" s="42" t="n"/>
      <c r="H140" s="42" t="n"/>
      <c r="I140" s="42" t="n"/>
      <c r="J140" s="42" t="n"/>
      <c r="K140" s="42" t="n"/>
    </row>
    <row r="141" ht="23.85" customHeight="1" s="33">
      <c r="A141" s="47" t="inlineStr">
        <is>
          <t>개인차15</t>
        </is>
      </c>
      <c r="B141" s="35" t="n"/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5" t="n"/>
    </row>
    <row r="142" ht="15" customHeight="1" s="33">
      <c r="A142" s="64" t="inlineStr">
        <is>
          <t>상행</t>
        </is>
      </c>
      <c r="B142" s="35" t="n"/>
      <c r="C142" s="35" t="n"/>
      <c r="D142" s="35" t="n"/>
      <c r="E142" s="35" t="n"/>
      <c r="G142" s="64" t="inlineStr">
        <is>
          <t>하행</t>
        </is>
      </c>
      <c r="H142" s="35" t="n"/>
      <c r="I142" s="35" t="n"/>
      <c r="J142" s="35" t="n"/>
      <c r="K142" s="35" t="n"/>
    </row>
    <row r="143" ht="15" customHeight="1" s="33">
      <c r="A143" s="48" t="inlineStr">
        <is>
          <t>no</t>
        </is>
      </c>
      <c r="B143" s="49" t="inlineStr">
        <is>
          <t>구역</t>
        </is>
      </c>
      <c r="C143" s="49" t="inlineStr">
        <is>
          <t>회</t>
        </is>
      </c>
      <c r="D143" s="49" t="inlineStr">
        <is>
          <t>성 명</t>
        </is>
      </c>
      <c r="E143" s="49" t="inlineStr">
        <is>
          <t>비고</t>
        </is>
      </c>
      <c r="G143" s="48" t="inlineStr">
        <is>
          <t>no</t>
        </is>
      </c>
      <c r="H143" s="49" t="inlineStr">
        <is>
          <t>구역</t>
        </is>
      </c>
      <c r="I143" s="49" t="inlineStr">
        <is>
          <t>회</t>
        </is>
      </c>
      <c r="J143" s="49" t="inlineStr">
        <is>
          <t>성 명</t>
        </is>
      </c>
      <c r="K143" s="49" t="inlineStr">
        <is>
          <t>비고</t>
        </is>
      </c>
    </row>
    <row r="144" ht="19.5" customHeight="1" s="33">
      <c r="A144" s="41" t="n">
        <v>1</v>
      </c>
      <c r="B144" s="42" t="n"/>
      <c r="C144" s="42" t="n"/>
      <c r="D144" s="42" t="n"/>
      <c r="E144" s="42" t="n"/>
      <c r="H144" s="42" t="n"/>
      <c r="I144" s="42" t="n"/>
      <c r="J144" s="42" t="n"/>
      <c r="K144" s="42" t="n"/>
    </row>
    <row r="145" ht="19.5" customHeight="1" s="33">
      <c r="A145" s="43" t="n">
        <v>2</v>
      </c>
      <c r="B145" s="44" t="n"/>
      <c r="C145" s="44" t="n"/>
      <c r="D145" s="44" t="n"/>
      <c r="E145" s="44" t="n"/>
      <c r="H145" s="44" t="n"/>
      <c r="I145" s="44" t="n"/>
      <c r="J145" s="44" t="n"/>
      <c r="K145" s="44" t="n"/>
    </row>
    <row r="146" ht="19.5" customHeight="1" s="33">
      <c r="A146" s="41" t="n">
        <v>3</v>
      </c>
      <c r="B146" s="42" t="n"/>
      <c r="C146" s="42" t="n"/>
      <c r="D146" s="42" t="n"/>
      <c r="E146" s="42" t="n"/>
      <c r="H146" s="42" t="n"/>
      <c r="I146" s="42" t="n"/>
      <c r="J146" s="42" t="n"/>
      <c r="K146" s="42" t="n"/>
    </row>
    <row r="147" ht="19.5" customHeight="1" s="33">
      <c r="A147" s="43" t="n">
        <v>4</v>
      </c>
      <c r="B147" s="44" t="n"/>
      <c r="C147" s="44" t="n"/>
      <c r="D147" s="44" t="n"/>
      <c r="E147" s="44" t="n"/>
      <c r="H147" s="44" t="n"/>
      <c r="I147" s="44" t="n"/>
      <c r="J147" s="44" t="n"/>
      <c r="K147" s="44" t="n"/>
    </row>
    <row r="148" ht="19.5" customHeight="1" s="33">
      <c r="A148" s="41" t="n">
        <v>5</v>
      </c>
      <c r="B148" s="42" t="n"/>
      <c r="C148" s="42" t="n"/>
      <c r="D148" s="42" t="n"/>
      <c r="E148" s="42" t="n"/>
      <c r="H148" s="42" t="n"/>
      <c r="I148" s="42" t="n"/>
      <c r="J148" s="42" t="n"/>
      <c r="K148" s="42" t="n"/>
    </row>
    <row r="149" ht="19.5" customHeight="1" s="33">
      <c r="A149" s="43" t="n">
        <v>6</v>
      </c>
      <c r="B149" s="44" t="n"/>
      <c r="C149" s="44" t="n"/>
      <c r="D149" s="44" t="n"/>
      <c r="E149" s="44" t="n"/>
      <c r="H149" s="44" t="n"/>
      <c r="I149" s="44" t="n"/>
      <c r="J149" s="44" t="n"/>
      <c r="K149" s="44" t="n"/>
    </row>
    <row r="150" ht="19.5" customHeight="1" s="33">
      <c r="A150" s="41" t="n">
        <v>7</v>
      </c>
      <c r="B150" s="42" t="n"/>
      <c r="C150" s="42" t="n"/>
      <c r="D150" s="42" t="n"/>
      <c r="E150" s="42" t="n"/>
      <c r="H150" s="42" t="n"/>
      <c r="I150" s="42" t="n"/>
      <c r="J150" s="42" t="n"/>
      <c r="K150" s="42" t="n"/>
    </row>
    <row r="151" ht="23.85" customHeight="1" s="33">
      <c r="A151" s="47" t="inlineStr">
        <is>
          <t>개인차16</t>
        </is>
      </c>
      <c r="B151" s="35" t="n"/>
      <c r="C151" s="35" t="n"/>
      <c r="D151" s="35" t="n"/>
      <c r="E151" s="35" t="n"/>
      <c r="F151" s="35" t="n"/>
      <c r="G151" s="35" t="n"/>
      <c r="H151" s="35" t="n"/>
      <c r="I151" s="35" t="n"/>
      <c r="J151" s="35" t="n"/>
      <c r="K151" s="35" t="n"/>
    </row>
    <row r="152" ht="15" customHeight="1" s="33">
      <c r="A152" s="64" t="inlineStr">
        <is>
          <t>상행</t>
        </is>
      </c>
      <c r="B152" s="35" t="n"/>
      <c r="C152" s="35" t="n"/>
      <c r="D152" s="35" t="n"/>
      <c r="E152" s="35" t="n"/>
      <c r="G152" s="64" t="inlineStr">
        <is>
          <t>하행</t>
        </is>
      </c>
      <c r="H152" s="35" t="n"/>
      <c r="I152" s="35" t="n"/>
      <c r="J152" s="35" t="n"/>
      <c r="K152" s="35" t="n"/>
    </row>
    <row r="153" ht="15" customHeight="1" s="33">
      <c r="A153" s="48" t="inlineStr">
        <is>
          <t>no</t>
        </is>
      </c>
      <c r="B153" s="49" t="inlineStr">
        <is>
          <t>구역</t>
        </is>
      </c>
      <c r="C153" s="49" t="inlineStr">
        <is>
          <t>회</t>
        </is>
      </c>
      <c r="D153" s="49" t="inlineStr">
        <is>
          <t>성 명</t>
        </is>
      </c>
      <c r="E153" s="49" t="inlineStr">
        <is>
          <t>비고</t>
        </is>
      </c>
      <c r="G153" s="48" t="inlineStr">
        <is>
          <t>no</t>
        </is>
      </c>
      <c r="H153" s="49" t="inlineStr">
        <is>
          <t>구역</t>
        </is>
      </c>
      <c r="I153" s="49" t="inlineStr">
        <is>
          <t>회</t>
        </is>
      </c>
      <c r="J153" s="49" t="inlineStr">
        <is>
          <t>성 명</t>
        </is>
      </c>
      <c r="K153" s="49" t="inlineStr">
        <is>
          <t>비고</t>
        </is>
      </c>
    </row>
    <row r="154" ht="19.5" customHeight="1" s="33">
      <c r="A154" s="41" t="n">
        <v>1</v>
      </c>
      <c r="B154" s="42" t="n"/>
      <c r="C154" s="42" t="n"/>
      <c r="D154" s="42" t="n"/>
      <c r="E154" s="42" t="n"/>
      <c r="H154" s="42" t="n"/>
      <c r="I154" s="42" t="n"/>
      <c r="J154" s="42" t="n"/>
      <c r="K154" s="42" t="n"/>
    </row>
    <row r="155" ht="19.5" customHeight="1" s="33">
      <c r="A155" s="43" t="n">
        <v>2</v>
      </c>
      <c r="B155" s="44" t="n"/>
      <c r="C155" s="44" t="n"/>
      <c r="D155" s="44" t="n"/>
      <c r="E155" s="44" t="n"/>
      <c r="H155" s="44" t="n"/>
      <c r="I155" s="44" t="n"/>
      <c r="J155" s="44" t="n"/>
      <c r="K155" s="44" t="n"/>
    </row>
    <row r="156" ht="19.5" customHeight="1" s="33">
      <c r="A156" s="41" t="n">
        <v>3</v>
      </c>
      <c r="B156" s="42" t="n"/>
      <c r="C156" s="42" t="n"/>
      <c r="D156" s="42" t="n"/>
      <c r="E156" s="42" t="n"/>
      <c r="H156" s="42" t="n"/>
      <c r="I156" s="42" t="n"/>
      <c r="J156" s="42" t="n"/>
      <c r="K156" s="42" t="n"/>
    </row>
    <row r="157" ht="19.5" customHeight="1" s="33">
      <c r="A157" s="43" t="n">
        <v>4</v>
      </c>
      <c r="B157" s="44" t="n"/>
      <c r="C157" s="44" t="n"/>
      <c r="D157" s="44" t="n"/>
      <c r="E157" s="44" t="n"/>
      <c r="H157" s="44" t="n"/>
      <c r="I157" s="44" t="n"/>
      <c r="J157" s="44" t="n"/>
      <c r="K157" s="44" t="n"/>
    </row>
    <row r="158" ht="19.5" customHeight="1" s="33">
      <c r="A158" s="41" t="n">
        <v>5</v>
      </c>
      <c r="B158" s="42" t="n"/>
      <c r="C158" s="42" t="n"/>
      <c r="D158" s="42" t="n"/>
      <c r="E158" s="42" t="n"/>
      <c r="H158" s="42" t="n"/>
      <c r="I158" s="42" t="n"/>
      <c r="J158" s="42" t="n"/>
      <c r="K158" s="42" t="n"/>
    </row>
    <row r="159" ht="19.5" customHeight="1" s="33">
      <c r="A159" s="43" t="n">
        <v>6</v>
      </c>
      <c r="B159" s="44" t="n"/>
      <c r="C159" s="44" t="n"/>
      <c r="D159" s="44" t="n"/>
      <c r="E159" s="44" t="n"/>
      <c r="H159" s="44" t="n"/>
      <c r="I159" s="44" t="n"/>
      <c r="J159" s="44" t="n"/>
      <c r="K159" s="44" t="n"/>
    </row>
    <row r="160" ht="19.5" customHeight="1" s="33">
      <c r="A160" s="41" t="n">
        <v>7</v>
      </c>
      <c r="B160" s="42" t="n"/>
      <c r="C160" s="42" t="n"/>
      <c r="D160" s="42" t="n"/>
      <c r="E160" s="42" t="n"/>
      <c r="H160" s="42" t="n"/>
      <c r="I160" s="42" t="n"/>
      <c r="J160" s="42" t="n"/>
      <c r="K160" s="42" t="n"/>
    </row>
    <row r="161" ht="23.85" customHeight="1" s="33">
      <c r="A161" s="47" t="inlineStr">
        <is>
          <t>개인차17</t>
        </is>
      </c>
      <c r="B161" s="35" t="n"/>
      <c r="C161" s="35" t="n"/>
      <c r="D161" s="35" t="n"/>
      <c r="E161" s="35" t="n"/>
      <c r="F161" s="35" t="n"/>
      <c r="G161" s="35" t="n"/>
      <c r="H161" s="35" t="n"/>
      <c r="I161" s="35" t="n"/>
      <c r="J161" s="35" t="n"/>
      <c r="K161" s="35" t="n"/>
    </row>
    <row r="162" ht="15" customHeight="1" s="33">
      <c r="A162" s="64" t="inlineStr">
        <is>
          <t>상행</t>
        </is>
      </c>
      <c r="B162" s="35" t="n"/>
      <c r="C162" s="35" t="n"/>
      <c r="D162" s="35" t="n"/>
      <c r="E162" s="35" t="n"/>
      <c r="G162" s="64" t="inlineStr">
        <is>
          <t>하행</t>
        </is>
      </c>
      <c r="H162" s="35" t="n"/>
      <c r="I162" s="35" t="n"/>
      <c r="J162" s="35" t="n"/>
      <c r="K162" s="35" t="n"/>
    </row>
    <row r="163" ht="15" customHeight="1" s="33">
      <c r="A163" s="48" t="inlineStr">
        <is>
          <t>no</t>
        </is>
      </c>
      <c r="B163" s="49" t="inlineStr">
        <is>
          <t>구역</t>
        </is>
      </c>
      <c r="C163" s="49" t="inlineStr">
        <is>
          <t>회</t>
        </is>
      </c>
      <c r="D163" s="49" t="inlineStr">
        <is>
          <t>성 명</t>
        </is>
      </c>
      <c r="E163" s="49" t="inlineStr">
        <is>
          <t>비고</t>
        </is>
      </c>
      <c r="G163" s="48" t="inlineStr">
        <is>
          <t>no</t>
        </is>
      </c>
      <c r="H163" s="49" t="inlineStr">
        <is>
          <t>구역</t>
        </is>
      </c>
      <c r="I163" s="49" t="inlineStr">
        <is>
          <t>회</t>
        </is>
      </c>
      <c r="J163" s="49" t="inlineStr">
        <is>
          <t>성 명</t>
        </is>
      </c>
      <c r="K163" s="49" t="inlineStr">
        <is>
          <t>비고</t>
        </is>
      </c>
    </row>
    <row r="164" ht="19.5" customHeight="1" s="33">
      <c r="A164" s="41" t="n">
        <v>1</v>
      </c>
      <c r="B164" s="42" t="n"/>
      <c r="C164" s="42" t="n"/>
      <c r="D164" s="42" t="n"/>
      <c r="E164" s="42" t="n"/>
      <c r="H164" s="42" t="n"/>
      <c r="I164" s="42" t="n"/>
      <c r="J164" s="42" t="n"/>
      <c r="K164" s="42" t="n"/>
    </row>
    <row r="165" ht="19.5" customHeight="1" s="33">
      <c r="A165" s="43" t="n">
        <v>2</v>
      </c>
      <c r="B165" s="44" t="n"/>
      <c r="C165" s="44" t="n"/>
      <c r="D165" s="44" t="n"/>
      <c r="E165" s="44" t="n"/>
      <c r="H165" s="44" t="n"/>
      <c r="I165" s="44" t="n"/>
      <c r="J165" s="44" t="n"/>
      <c r="K165" s="44" t="n"/>
    </row>
    <row r="166" ht="19.5" customHeight="1" s="33">
      <c r="A166" s="41" t="n">
        <v>3</v>
      </c>
      <c r="B166" s="42" t="n"/>
      <c r="C166" s="42" t="n"/>
      <c r="D166" s="42" t="n"/>
      <c r="E166" s="42" t="n"/>
      <c r="H166" s="42" t="n"/>
      <c r="I166" s="42" t="n"/>
      <c r="J166" s="42" t="n"/>
      <c r="K166" s="42" t="n"/>
    </row>
    <row r="167" ht="19.5" customHeight="1" s="33">
      <c r="A167" s="43" t="n">
        <v>4</v>
      </c>
      <c r="B167" s="44" t="n"/>
      <c r="C167" s="44" t="n"/>
      <c r="D167" s="44" t="n"/>
      <c r="E167" s="44" t="n"/>
      <c r="H167" s="44" t="n"/>
      <c r="I167" s="44" t="n"/>
      <c r="J167" s="44" t="n"/>
      <c r="K167" s="44" t="n"/>
    </row>
    <row r="168" ht="19.5" customHeight="1" s="33">
      <c r="A168" s="41" t="n">
        <v>5</v>
      </c>
      <c r="B168" s="42" t="n"/>
      <c r="C168" s="42" t="n"/>
      <c r="D168" s="42" t="n"/>
      <c r="E168" s="42" t="n"/>
      <c r="H168" s="42" t="n"/>
      <c r="I168" s="42" t="n"/>
      <c r="J168" s="42" t="n"/>
      <c r="K168" s="42" t="n"/>
    </row>
    <row r="169" ht="19.5" customHeight="1" s="33">
      <c r="A169" s="43" t="n">
        <v>6</v>
      </c>
      <c r="B169" s="44" t="n"/>
      <c r="C169" s="44" t="n"/>
      <c r="D169" s="44" t="n"/>
      <c r="E169" s="44" t="n"/>
      <c r="H169" s="44" t="n"/>
      <c r="I169" s="44" t="n"/>
      <c r="J169" s="44" t="n"/>
      <c r="K169" s="44" t="n"/>
    </row>
    <row r="170" ht="19.5" customHeight="1" s="33">
      <c r="A170" s="41" t="n">
        <v>7</v>
      </c>
      <c r="B170" s="42" t="n"/>
      <c r="C170" s="42" t="n"/>
      <c r="D170" s="42" t="n"/>
      <c r="E170" s="42" t="n"/>
      <c r="H170" s="42" t="n"/>
      <c r="I170" s="42" t="n"/>
      <c r="J170" s="42" t="n"/>
      <c r="K170" s="42" t="n"/>
    </row>
    <row r="171" ht="23.85" customHeight="1" s="33">
      <c r="A171" s="47" t="inlineStr">
        <is>
          <t>개인차18</t>
        </is>
      </c>
      <c r="B171" s="35" t="n"/>
      <c r="C171" s="35" t="n"/>
      <c r="D171" s="35" t="n"/>
      <c r="E171" s="35" t="n"/>
      <c r="F171" s="35" t="n"/>
      <c r="G171" s="35" t="n"/>
      <c r="H171" s="35" t="n"/>
      <c r="I171" s="35" t="n"/>
      <c r="J171" s="35" t="n"/>
      <c r="K171" s="35" t="n"/>
    </row>
    <row r="172" ht="15" customHeight="1" s="33">
      <c r="A172" s="64" t="inlineStr">
        <is>
          <t>상행</t>
        </is>
      </c>
      <c r="B172" s="35" t="n"/>
      <c r="C172" s="35" t="n"/>
      <c r="D172" s="35" t="n"/>
      <c r="E172" s="35" t="n"/>
      <c r="G172" s="64" t="inlineStr">
        <is>
          <t>하행</t>
        </is>
      </c>
      <c r="H172" s="35" t="n"/>
      <c r="I172" s="35" t="n"/>
      <c r="J172" s="35" t="n"/>
      <c r="K172" s="35" t="n"/>
    </row>
    <row r="173" ht="15" customHeight="1" s="33">
      <c r="A173" s="48" t="inlineStr">
        <is>
          <t>no</t>
        </is>
      </c>
      <c r="B173" s="49" t="inlineStr">
        <is>
          <t>구역</t>
        </is>
      </c>
      <c r="C173" s="49" t="inlineStr">
        <is>
          <t>회</t>
        </is>
      </c>
      <c r="D173" s="49" t="inlineStr">
        <is>
          <t>성 명</t>
        </is>
      </c>
      <c r="E173" s="49" t="inlineStr">
        <is>
          <t>비고</t>
        </is>
      </c>
      <c r="G173" s="48" t="inlineStr">
        <is>
          <t>no</t>
        </is>
      </c>
      <c r="H173" s="49" t="inlineStr">
        <is>
          <t>구역</t>
        </is>
      </c>
      <c r="I173" s="49" t="inlineStr">
        <is>
          <t>회</t>
        </is>
      </c>
      <c r="J173" s="49" t="inlineStr">
        <is>
          <t>성 명</t>
        </is>
      </c>
      <c r="K173" s="49" t="inlineStr">
        <is>
          <t>비고</t>
        </is>
      </c>
    </row>
    <row r="174" ht="19.5" customHeight="1" s="33">
      <c r="A174" s="41" t="n">
        <v>1</v>
      </c>
      <c r="B174" s="42" t="n"/>
      <c r="C174" s="42" t="n"/>
      <c r="D174" s="42" t="n"/>
      <c r="E174" s="42" t="n"/>
      <c r="H174" s="42" t="n"/>
      <c r="I174" s="42" t="n"/>
      <c r="J174" s="42" t="n"/>
      <c r="K174" s="42" t="n"/>
    </row>
    <row r="175" ht="19.5" customHeight="1" s="33">
      <c r="A175" s="43" t="n">
        <v>2</v>
      </c>
      <c r="B175" s="44" t="n"/>
      <c r="C175" s="44" t="n"/>
      <c r="D175" s="44" t="n"/>
      <c r="E175" s="44" t="n"/>
      <c r="H175" s="44" t="n"/>
      <c r="I175" s="44" t="n"/>
      <c r="J175" s="44" t="n"/>
      <c r="K175" s="44" t="n"/>
    </row>
    <row r="176" ht="19.5" customHeight="1" s="33">
      <c r="A176" s="41" t="n">
        <v>3</v>
      </c>
      <c r="B176" s="42" t="n"/>
      <c r="C176" s="42" t="n"/>
      <c r="D176" s="42" t="n"/>
      <c r="E176" s="42" t="n"/>
      <c r="H176" s="42" t="n"/>
      <c r="I176" s="42" t="n"/>
      <c r="J176" s="42" t="n"/>
      <c r="K176" s="42" t="n"/>
    </row>
    <row r="177" ht="19.5" customHeight="1" s="33">
      <c r="A177" s="43" t="n">
        <v>4</v>
      </c>
      <c r="B177" s="44" t="n"/>
      <c r="C177" s="44" t="n"/>
      <c r="D177" s="44" t="n"/>
      <c r="E177" s="44" t="n"/>
      <c r="H177" s="44" t="n"/>
      <c r="I177" s="44" t="n"/>
      <c r="J177" s="44" t="n"/>
      <c r="K177" s="44" t="n"/>
    </row>
    <row r="178" ht="19.5" customHeight="1" s="33">
      <c r="A178" s="41" t="n">
        <v>5</v>
      </c>
      <c r="B178" s="42" t="n"/>
      <c r="C178" s="42" t="n"/>
      <c r="D178" s="42" t="n"/>
      <c r="E178" s="42" t="n"/>
      <c r="H178" s="42" t="n"/>
      <c r="I178" s="42" t="n"/>
      <c r="J178" s="42" t="n"/>
      <c r="K178" s="42" t="n"/>
    </row>
    <row r="179" ht="19.5" customHeight="1" s="33">
      <c r="A179" s="43" t="n">
        <v>6</v>
      </c>
      <c r="B179" s="44" t="n"/>
      <c r="C179" s="44" t="n"/>
      <c r="D179" s="44" t="n"/>
      <c r="E179" s="44" t="n"/>
      <c r="H179" s="44" t="n"/>
      <c r="I179" s="44" t="n"/>
      <c r="J179" s="44" t="n"/>
      <c r="K179" s="44" t="n"/>
    </row>
    <row r="180" ht="19.5" customHeight="1" s="33">
      <c r="A180" s="41" t="n">
        <v>7</v>
      </c>
      <c r="B180" s="42" t="n"/>
      <c r="C180" s="42" t="n"/>
      <c r="D180" s="42" t="n"/>
      <c r="E180" s="42" t="n"/>
      <c r="H180" s="42" t="n"/>
      <c r="I180" s="42" t="n"/>
      <c r="J180" s="42" t="n"/>
      <c r="K180" s="42" t="n"/>
    </row>
    <row r="181" ht="23.85" customHeight="1" s="33">
      <c r="A181" s="47" t="inlineStr">
        <is>
          <t>개인차19</t>
        </is>
      </c>
      <c r="B181" s="35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5" t="n"/>
    </row>
    <row r="182" ht="15" customHeight="1" s="33">
      <c r="A182" s="64" t="inlineStr">
        <is>
          <t>상행</t>
        </is>
      </c>
      <c r="B182" s="35" t="n"/>
      <c r="C182" s="35" t="n"/>
      <c r="D182" s="35" t="n"/>
      <c r="E182" s="35" t="n"/>
      <c r="G182" s="64" t="inlineStr">
        <is>
          <t>하행</t>
        </is>
      </c>
      <c r="H182" s="35" t="n"/>
      <c r="I182" s="35" t="n"/>
      <c r="J182" s="35" t="n"/>
      <c r="K182" s="35" t="n"/>
    </row>
    <row r="183" ht="15" customHeight="1" s="33">
      <c r="A183" s="48" t="inlineStr">
        <is>
          <t>no</t>
        </is>
      </c>
      <c r="B183" s="49" t="inlineStr">
        <is>
          <t>구역</t>
        </is>
      </c>
      <c r="C183" s="49" t="inlineStr">
        <is>
          <t>회</t>
        </is>
      </c>
      <c r="D183" s="49" t="inlineStr">
        <is>
          <t>성 명</t>
        </is>
      </c>
      <c r="E183" s="49" t="inlineStr">
        <is>
          <t>비고</t>
        </is>
      </c>
      <c r="G183" s="48" t="inlineStr">
        <is>
          <t>no</t>
        </is>
      </c>
      <c r="H183" s="49" t="inlineStr">
        <is>
          <t>구역</t>
        </is>
      </c>
      <c r="I183" s="49" t="inlineStr">
        <is>
          <t>회</t>
        </is>
      </c>
      <c r="J183" s="49" t="inlineStr">
        <is>
          <t>성 명</t>
        </is>
      </c>
      <c r="K183" s="49" t="inlineStr">
        <is>
          <t>비고</t>
        </is>
      </c>
    </row>
    <row r="184" ht="19.5" customHeight="1" s="33">
      <c r="A184" s="41" t="n">
        <v>1</v>
      </c>
      <c r="B184" s="42" t="n"/>
      <c r="C184" s="42" t="n"/>
      <c r="D184" s="42" t="n"/>
      <c r="E184" s="42" t="n"/>
      <c r="H184" s="42" t="n"/>
      <c r="I184" s="42" t="n"/>
      <c r="J184" s="42" t="n"/>
      <c r="K184" s="42" t="n"/>
    </row>
    <row r="185" ht="19.5" customHeight="1" s="33">
      <c r="A185" s="43" t="n">
        <v>2</v>
      </c>
      <c r="B185" s="44" t="n"/>
      <c r="C185" s="44" t="n"/>
      <c r="D185" s="44" t="n"/>
      <c r="E185" s="44" t="n"/>
      <c r="H185" s="44" t="n"/>
      <c r="I185" s="44" t="n"/>
      <c r="J185" s="44" t="n"/>
      <c r="K185" s="44" t="n"/>
    </row>
    <row r="186" ht="19.5" customHeight="1" s="33">
      <c r="A186" s="41" t="n">
        <v>3</v>
      </c>
      <c r="B186" s="42" t="n"/>
      <c r="C186" s="42" t="n"/>
      <c r="D186" s="42" t="n"/>
      <c r="E186" s="42" t="n"/>
      <c r="H186" s="42" t="n"/>
      <c r="I186" s="42" t="n"/>
      <c r="J186" s="42" t="n"/>
      <c r="K186" s="42" t="n"/>
    </row>
    <row r="187" ht="19.5" customHeight="1" s="33">
      <c r="A187" s="43" t="n">
        <v>4</v>
      </c>
      <c r="B187" s="44" t="n"/>
      <c r="C187" s="44" t="n"/>
      <c r="D187" s="44" t="n"/>
      <c r="E187" s="44" t="n"/>
      <c r="H187" s="44" t="n"/>
      <c r="I187" s="44" t="n"/>
      <c r="J187" s="44" t="n"/>
      <c r="K187" s="44" t="n"/>
    </row>
    <row r="188" ht="19.5" customHeight="1" s="33">
      <c r="A188" s="41" t="n">
        <v>5</v>
      </c>
      <c r="B188" s="42" t="n"/>
      <c r="C188" s="42" t="n"/>
      <c r="D188" s="42" t="n"/>
      <c r="E188" s="42" t="n"/>
      <c r="H188" s="42" t="n"/>
      <c r="I188" s="42" t="n"/>
      <c r="J188" s="42" t="n"/>
      <c r="K188" s="42" t="n"/>
    </row>
    <row r="189" ht="19.5" customHeight="1" s="33">
      <c r="A189" s="43" t="n">
        <v>6</v>
      </c>
      <c r="B189" s="44" t="n"/>
      <c r="C189" s="44" t="n"/>
      <c r="D189" s="44" t="n"/>
      <c r="E189" s="44" t="n"/>
      <c r="H189" s="44" t="n"/>
      <c r="I189" s="44" t="n"/>
      <c r="J189" s="44" t="n"/>
      <c r="K189" s="44" t="n"/>
    </row>
    <row r="190" ht="19.5" customHeight="1" s="33">
      <c r="A190" s="41" t="n">
        <v>7</v>
      </c>
      <c r="B190" s="42" t="n"/>
      <c r="C190" s="42" t="n"/>
      <c r="D190" s="42" t="n"/>
      <c r="E190" s="42" t="n"/>
      <c r="H190" s="42" t="n"/>
      <c r="I190" s="42" t="n"/>
      <c r="J190" s="42" t="n"/>
      <c r="K190" s="42" t="n"/>
    </row>
    <row r="191" ht="23.85" customHeight="1" s="33">
      <c r="A191" s="47" t="inlineStr">
        <is>
          <t>개인차20</t>
        </is>
      </c>
      <c r="B191" s="35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5" t="n"/>
    </row>
    <row r="192" ht="15" customHeight="1" s="33">
      <c r="A192" s="64" t="inlineStr">
        <is>
          <t>상행</t>
        </is>
      </c>
      <c r="B192" s="35" t="n"/>
      <c r="C192" s="35" t="n"/>
      <c r="D192" s="35" t="n"/>
      <c r="E192" s="35" t="n"/>
      <c r="G192" s="64" t="inlineStr">
        <is>
          <t>하행</t>
        </is>
      </c>
      <c r="H192" s="35" t="n"/>
      <c r="I192" s="35" t="n"/>
      <c r="J192" s="35" t="n"/>
      <c r="K192" s="35" t="n"/>
    </row>
    <row r="193" ht="15" customHeight="1" s="33">
      <c r="A193" s="48" t="inlineStr">
        <is>
          <t>no</t>
        </is>
      </c>
      <c r="B193" s="49" t="inlineStr">
        <is>
          <t>구역</t>
        </is>
      </c>
      <c r="C193" s="49" t="inlineStr">
        <is>
          <t>회</t>
        </is>
      </c>
      <c r="D193" s="49" t="inlineStr">
        <is>
          <t>성 명</t>
        </is>
      </c>
      <c r="E193" s="49" t="inlineStr">
        <is>
          <t>비고</t>
        </is>
      </c>
      <c r="G193" s="48" t="inlineStr">
        <is>
          <t>no</t>
        </is>
      </c>
      <c r="H193" s="49" t="inlineStr">
        <is>
          <t>구역</t>
        </is>
      </c>
      <c r="I193" s="49" t="inlineStr">
        <is>
          <t>회</t>
        </is>
      </c>
      <c r="J193" s="49" t="inlineStr">
        <is>
          <t>성 명</t>
        </is>
      </c>
      <c r="K193" s="49" t="inlineStr">
        <is>
          <t>비고</t>
        </is>
      </c>
    </row>
    <row r="194" ht="19.5" customHeight="1" s="33">
      <c r="A194" s="41" t="n">
        <v>1</v>
      </c>
      <c r="B194" s="42" t="n"/>
      <c r="C194" s="42" t="n"/>
      <c r="D194" s="42" t="n"/>
      <c r="E194" s="42" t="n"/>
      <c r="H194" s="42" t="n"/>
      <c r="I194" s="42" t="n"/>
      <c r="J194" s="42" t="n"/>
      <c r="K194" s="42" t="n"/>
    </row>
    <row r="195" ht="19.5" customHeight="1" s="33">
      <c r="A195" s="43" t="n">
        <v>2</v>
      </c>
      <c r="B195" s="44" t="n"/>
      <c r="C195" s="44" t="n"/>
      <c r="D195" s="44" t="n"/>
      <c r="E195" s="44" t="n"/>
      <c r="H195" s="44" t="n"/>
      <c r="I195" s="44" t="n"/>
      <c r="J195" s="44" t="n"/>
      <c r="K195" s="44" t="n"/>
    </row>
    <row r="196" ht="19.5" customHeight="1" s="33">
      <c r="A196" s="41" t="n">
        <v>3</v>
      </c>
      <c r="B196" s="42" t="n"/>
      <c r="C196" s="42" t="n"/>
      <c r="D196" s="42" t="n"/>
      <c r="E196" s="42" t="n"/>
      <c r="H196" s="42" t="n"/>
      <c r="I196" s="42" t="n"/>
      <c r="J196" s="42" t="n"/>
      <c r="K196" s="42" t="n"/>
    </row>
    <row r="197" ht="19.5" customHeight="1" s="33">
      <c r="A197" s="43" t="n">
        <v>4</v>
      </c>
      <c r="B197" s="44" t="n"/>
      <c r="C197" s="44" t="n"/>
      <c r="D197" s="44" t="n"/>
      <c r="E197" s="44" t="n"/>
      <c r="H197" s="44" t="n"/>
      <c r="I197" s="44" t="n"/>
      <c r="J197" s="44" t="n"/>
      <c r="K197" s="44" t="n"/>
    </row>
    <row r="198" ht="19.5" customHeight="1" s="33">
      <c r="A198" s="41" t="n">
        <v>5</v>
      </c>
      <c r="B198" s="42" t="n"/>
      <c r="C198" s="42" t="n"/>
      <c r="D198" s="42" t="n"/>
      <c r="E198" s="42" t="n"/>
      <c r="H198" s="42" t="n"/>
      <c r="I198" s="42" t="n"/>
      <c r="J198" s="42" t="n"/>
      <c r="K198" s="42" t="n"/>
    </row>
    <row r="199" ht="19.5" customHeight="1" s="33">
      <c r="A199" s="43" t="n">
        <v>6</v>
      </c>
      <c r="B199" s="44" t="n"/>
      <c r="C199" s="44" t="n"/>
      <c r="D199" s="44" t="n"/>
      <c r="E199" s="44" t="n"/>
      <c r="H199" s="44" t="n"/>
      <c r="I199" s="44" t="n"/>
      <c r="J199" s="44" t="n"/>
      <c r="K199" s="44" t="n"/>
    </row>
    <row r="200" ht="19.5" customHeight="1" s="33">
      <c r="A200" s="41" t="n">
        <v>7</v>
      </c>
      <c r="B200" s="42" t="n"/>
      <c r="C200" s="42" t="n"/>
      <c r="D200" s="42" t="n"/>
      <c r="E200" s="42" t="n"/>
      <c r="H200" s="42" t="n"/>
      <c r="I200" s="42" t="n"/>
      <c r="J200" s="42" t="n"/>
      <c r="K200" s="42" t="n"/>
    </row>
    <row r="201" ht="27.75" customHeight="1" s="33">
      <c r="A201" s="47" t="inlineStr">
        <is>
          <t>개인차21</t>
        </is>
      </c>
      <c r="B201" s="35" t="n"/>
      <c r="C201" s="35" t="n"/>
      <c r="D201" s="35" t="n"/>
      <c r="E201" s="35" t="n"/>
      <c r="F201" s="35" t="n"/>
      <c r="G201" s="35" t="n"/>
      <c r="H201" s="35" t="n"/>
      <c r="I201" s="35" t="n"/>
      <c r="J201" s="35" t="n"/>
      <c r="K201" s="35" t="n"/>
    </row>
    <row r="202" ht="15" customHeight="1" s="33">
      <c r="A202" s="64" t="inlineStr">
        <is>
          <t>상행</t>
        </is>
      </c>
      <c r="B202" s="35" t="n"/>
      <c r="C202" s="35" t="n"/>
      <c r="D202" s="35" t="n"/>
      <c r="E202" s="35" t="n"/>
      <c r="G202" s="64" t="inlineStr">
        <is>
          <t>하행</t>
        </is>
      </c>
      <c r="H202" s="35" t="n"/>
      <c r="I202" s="35" t="n"/>
      <c r="J202" s="35" t="n"/>
      <c r="K202" s="35" t="n"/>
    </row>
    <row r="203" ht="15" customHeight="1" s="33">
      <c r="A203" s="48" t="inlineStr">
        <is>
          <t>no</t>
        </is>
      </c>
      <c r="B203" s="49" t="inlineStr">
        <is>
          <t>구역</t>
        </is>
      </c>
      <c r="C203" s="49" t="inlineStr">
        <is>
          <t>회(부서)</t>
        </is>
      </c>
      <c r="D203" s="49" t="inlineStr">
        <is>
          <t>성 명</t>
        </is>
      </c>
      <c r="E203" s="49" t="inlineStr">
        <is>
          <t>비고</t>
        </is>
      </c>
      <c r="G203" s="48" t="inlineStr">
        <is>
          <t>no</t>
        </is>
      </c>
      <c r="H203" s="49" t="inlineStr">
        <is>
          <t>구역</t>
        </is>
      </c>
      <c r="I203" s="49" t="inlineStr">
        <is>
          <t>회(부서)</t>
        </is>
      </c>
      <c r="J203" s="49" t="inlineStr">
        <is>
          <t>성 명</t>
        </is>
      </c>
      <c r="K203" s="49" t="inlineStr">
        <is>
          <t>비고</t>
        </is>
      </c>
    </row>
    <row r="204" ht="19.5" customHeight="1" s="33">
      <c r="A204" s="41" t="n">
        <v>1</v>
      </c>
      <c r="B204" s="42" t="n"/>
      <c r="C204" s="42" t="n"/>
      <c r="D204" s="42" t="n"/>
      <c r="E204" s="42" t="n"/>
      <c r="H204" s="42" t="n"/>
      <c r="I204" s="42" t="n"/>
      <c r="J204" s="42" t="n"/>
      <c r="K204" s="42" t="n"/>
    </row>
    <row r="205" ht="19.5" customHeight="1" s="33">
      <c r="A205" s="43" t="n">
        <v>2</v>
      </c>
      <c r="B205" s="44" t="n"/>
      <c r="C205" s="44" t="n"/>
      <c r="D205" s="44" t="n"/>
      <c r="E205" s="44" t="n"/>
      <c r="H205" s="44" t="n"/>
      <c r="I205" s="44" t="n"/>
      <c r="J205" s="44" t="n"/>
      <c r="K205" s="44" t="n"/>
    </row>
    <row r="206" ht="19.5" customHeight="1" s="33">
      <c r="A206" s="41" t="n">
        <v>3</v>
      </c>
      <c r="B206" s="42" t="n"/>
      <c r="C206" s="42" t="n"/>
      <c r="D206" s="42" t="n"/>
      <c r="E206" s="42" t="n"/>
      <c r="H206" s="42" t="n"/>
      <c r="I206" s="42" t="n"/>
      <c r="J206" s="42" t="n"/>
      <c r="K206" s="42" t="n"/>
    </row>
    <row r="207" ht="19.5" customHeight="1" s="33">
      <c r="A207" s="43" t="n">
        <v>4</v>
      </c>
      <c r="B207" s="44" t="n"/>
      <c r="C207" s="44" t="n"/>
      <c r="D207" s="44" t="n"/>
      <c r="E207" s="44" t="n"/>
      <c r="H207" s="44" t="n"/>
      <c r="I207" s="44" t="n"/>
      <c r="J207" s="44" t="n"/>
      <c r="K207" s="44" t="n"/>
    </row>
    <row r="208" ht="19.5" customHeight="1" s="33">
      <c r="A208" s="41" t="n">
        <v>5</v>
      </c>
      <c r="B208" s="42" t="n"/>
      <c r="C208" s="42" t="n"/>
      <c r="D208" s="42" t="n"/>
      <c r="E208" s="42" t="n"/>
      <c r="H208" s="42" t="n"/>
      <c r="I208" s="42" t="n"/>
      <c r="J208" s="42" t="n"/>
      <c r="K208" s="42" t="n"/>
    </row>
    <row r="209" ht="19.5" customHeight="1" s="33">
      <c r="A209" s="43" t="n">
        <v>6</v>
      </c>
      <c r="B209" s="44" t="n"/>
      <c r="C209" s="44" t="n"/>
      <c r="D209" s="44" t="n"/>
      <c r="E209" s="44" t="n"/>
      <c r="H209" s="44" t="n"/>
      <c r="I209" s="44" t="n"/>
      <c r="J209" s="44" t="n"/>
      <c r="K209" s="44" t="n"/>
    </row>
    <row r="210" ht="19.5" customHeight="1" s="33">
      <c r="A210" s="41" t="n">
        <v>7</v>
      </c>
      <c r="B210" s="42" t="n"/>
      <c r="C210" s="42" t="n"/>
      <c r="D210" s="42" t="n"/>
      <c r="E210" s="42" t="n"/>
      <c r="H210" s="42" t="n"/>
      <c r="I210" s="42" t="n"/>
      <c r="J210" s="42" t="n"/>
      <c r="K210" s="42" t="n"/>
    </row>
    <row r="211" ht="27.75" customHeight="1" s="33">
      <c r="A211" s="47" t="inlineStr">
        <is>
          <t>개인차22</t>
        </is>
      </c>
      <c r="B211" s="35" t="n"/>
      <c r="C211" s="35" t="n"/>
      <c r="D211" s="35" t="n"/>
      <c r="E211" s="35" t="n"/>
      <c r="F211" s="35" t="n"/>
      <c r="G211" s="35" t="n"/>
      <c r="H211" s="35" t="n"/>
      <c r="I211" s="35" t="n"/>
      <c r="J211" s="35" t="n"/>
      <c r="K211" s="35" t="n"/>
    </row>
    <row r="212" ht="15" customHeight="1" s="33">
      <c r="A212" s="64" t="inlineStr">
        <is>
          <t>상행</t>
        </is>
      </c>
      <c r="B212" s="35" t="n"/>
      <c r="C212" s="35" t="n"/>
      <c r="D212" s="35" t="n"/>
      <c r="E212" s="35" t="n"/>
      <c r="G212" s="64" t="inlineStr">
        <is>
          <t>하행</t>
        </is>
      </c>
      <c r="H212" s="35" t="n"/>
      <c r="I212" s="35" t="n"/>
      <c r="J212" s="35" t="n"/>
      <c r="K212" s="35" t="n"/>
    </row>
    <row r="213" ht="15" customHeight="1" s="33">
      <c r="A213" s="48" t="inlineStr">
        <is>
          <t>no</t>
        </is>
      </c>
      <c r="B213" s="49" t="inlineStr">
        <is>
          <t>구역</t>
        </is>
      </c>
      <c r="C213" s="49" t="inlineStr">
        <is>
          <t>회(부서)</t>
        </is>
      </c>
      <c r="D213" s="49" t="inlineStr">
        <is>
          <t>성 명</t>
        </is>
      </c>
      <c r="E213" s="49" t="inlineStr">
        <is>
          <t>비고</t>
        </is>
      </c>
      <c r="G213" s="48" t="inlineStr">
        <is>
          <t>no</t>
        </is>
      </c>
      <c r="H213" s="49" t="inlineStr">
        <is>
          <t>구역</t>
        </is>
      </c>
      <c r="I213" s="49" t="inlineStr">
        <is>
          <t>회(부서)</t>
        </is>
      </c>
      <c r="J213" s="49" t="inlineStr">
        <is>
          <t>성 명</t>
        </is>
      </c>
      <c r="K213" s="49" t="inlineStr">
        <is>
          <t>비고</t>
        </is>
      </c>
    </row>
    <row r="214" ht="19.5" customHeight="1" s="33">
      <c r="A214" s="41" t="n">
        <v>1</v>
      </c>
      <c r="B214" s="42" t="n"/>
      <c r="C214" s="42" t="n"/>
      <c r="D214" s="42" t="n"/>
      <c r="E214" s="42" t="n"/>
      <c r="H214" s="42" t="n"/>
      <c r="I214" s="42" t="n"/>
      <c r="J214" s="42" t="n"/>
      <c r="K214" s="42" t="n"/>
    </row>
    <row r="215" ht="19.5" customHeight="1" s="33">
      <c r="A215" s="43" t="n">
        <v>2</v>
      </c>
      <c r="B215" s="44" t="n"/>
      <c r="C215" s="44" t="n"/>
      <c r="D215" s="44" t="n"/>
      <c r="E215" s="44" t="n"/>
      <c r="H215" s="44" t="n"/>
      <c r="I215" s="44" t="n"/>
      <c r="J215" s="44" t="n"/>
      <c r="K215" s="44" t="n"/>
    </row>
    <row r="216" ht="19.5" customHeight="1" s="33">
      <c r="A216" s="41" t="n">
        <v>3</v>
      </c>
      <c r="B216" s="42" t="n"/>
      <c r="C216" s="42" t="n"/>
      <c r="D216" s="42" t="n"/>
      <c r="E216" s="42" t="n"/>
      <c r="H216" s="42" t="n"/>
      <c r="I216" s="42" t="n"/>
      <c r="J216" s="42" t="n"/>
      <c r="K216" s="42" t="n"/>
    </row>
    <row r="217" ht="19.5" customHeight="1" s="33">
      <c r="A217" s="43" t="n">
        <v>4</v>
      </c>
      <c r="B217" s="44" t="n"/>
      <c r="C217" s="44" t="n"/>
      <c r="D217" s="44" t="n"/>
      <c r="E217" s="44" t="n"/>
      <c r="H217" s="44" t="n"/>
      <c r="I217" s="44" t="n"/>
      <c r="J217" s="44" t="n"/>
      <c r="K217" s="44" t="n"/>
    </row>
    <row r="218" ht="19.5" customHeight="1" s="33">
      <c r="A218" s="41" t="n">
        <v>5</v>
      </c>
      <c r="B218" s="42" t="n"/>
      <c r="C218" s="42" t="n"/>
      <c r="D218" s="42" t="n"/>
      <c r="E218" s="42" t="n"/>
      <c r="H218" s="42" t="n"/>
      <c r="I218" s="42" t="n"/>
      <c r="J218" s="42" t="n"/>
      <c r="K218" s="42" t="n"/>
    </row>
    <row r="219" ht="19.5" customHeight="1" s="33">
      <c r="A219" s="43" t="n">
        <v>6</v>
      </c>
      <c r="B219" s="44" t="n"/>
      <c r="C219" s="44" t="n"/>
      <c r="D219" s="44" t="n"/>
      <c r="E219" s="44" t="n"/>
      <c r="H219" s="44" t="n"/>
      <c r="I219" s="44" t="n"/>
      <c r="J219" s="44" t="n"/>
      <c r="K219" s="44" t="n"/>
    </row>
    <row r="220" ht="19.5" customHeight="1" s="33">
      <c r="A220" s="41" t="n">
        <v>7</v>
      </c>
      <c r="B220" s="42" t="n"/>
      <c r="C220" s="42" t="n"/>
      <c r="D220" s="42" t="n"/>
      <c r="E220" s="42" t="n"/>
      <c r="H220" s="42" t="n"/>
      <c r="I220" s="42" t="n"/>
      <c r="J220" s="42" t="n"/>
      <c r="K220" s="42" t="n"/>
    </row>
    <row r="221" ht="27.75" customHeight="1" s="33">
      <c r="A221" s="47" t="inlineStr">
        <is>
          <t>개인차23</t>
        </is>
      </c>
      <c r="B221" s="35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</row>
    <row r="222" ht="15" customHeight="1" s="33">
      <c r="A222" s="64" t="inlineStr">
        <is>
          <t>상행</t>
        </is>
      </c>
      <c r="B222" s="35" t="n"/>
      <c r="C222" s="35" t="n"/>
      <c r="D222" s="35" t="n"/>
      <c r="E222" s="35" t="n"/>
      <c r="G222" s="64" t="inlineStr">
        <is>
          <t>하행</t>
        </is>
      </c>
      <c r="H222" s="35" t="n"/>
      <c r="I222" s="35" t="n"/>
      <c r="J222" s="35" t="n"/>
      <c r="K222" s="35" t="n"/>
    </row>
    <row r="223" ht="15" customHeight="1" s="33">
      <c r="A223" s="48" t="inlineStr">
        <is>
          <t>no</t>
        </is>
      </c>
      <c r="B223" s="49" t="inlineStr">
        <is>
          <t>구역</t>
        </is>
      </c>
      <c r="C223" s="49" t="inlineStr">
        <is>
          <t>회(부서)</t>
        </is>
      </c>
      <c r="D223" s="49" t="inlineStr">
        <is>
          <t>성 명</t>
        </is>
      </c>
      <c r="E223" s="49" t="inlineStr">
        <is>
          <t>비고</t>
        </is>
      </c>
      <c r="G223" s="48" t="inlineStr">
        <is>
          <t>no</t>
        </is>
      </c>
      <c r="H223" s="49" t="inlineStr">
        <is>
          <t>구역</t>
        </is>
      </c>
      <c r="I223" s="49" t="inlineStr">
        <is>
          <t>회(부서)</t>
        </is>
      </c>
      <c r="J223" s="49" t="inlineStr">
        <is>
          <t>성 명</t>
        </is>
      </c>
      <c r="K223" s="49" t="inlineStr">
        <is>
          <t>비고</t>
        </is>
      </c>
    </row>
    <row r="224" ht="19.5" customHeight="1" s="33">
      <c r="A224" s="41" t="n">
        <v>1</v>
      </c>
      <c r="B224" s="42" t="n"/>
      <c r="C224" s="42" t="n"/>
      <c r="D224" s="42" t="n"/>
      <c r="E224" s="42" t="n"/>
      <c r="H224" s="42" t="n"/>
      <c r="I224" s="42" t="n"/>
      <c r="J224" s="42" t="n"/>
      <c r="K224" s="42" t="n"/>
    </row>
    <row r="225" ht="19.5" customHeight="1" s="33">
      <c r="A225" s="43" t="n">
        <v>2</v>
      </c>
      <c r="B225" s="44" t="n"/>
      <c r="C225" s="44" t="n"/>
      <c r="D225" s="44" t="n"/>
      <c r="E225" s="44" t="n"/>
      <c r="H225" s="44" t="n"/>
      <c r="I225" s="44" t="n"/>
      <c r="J225" s="44" t="n"/>
      <c r="K225" s="44" t="n"/>
    </row>
    <row r="226" ht="19.5" customHeight="1" s="33">
      <c r="A226" s="41" t="n">
        <v>3</v>
      </c>
      <c r="B226" s="42" t="n"/>
      <c r="C226" s="42" t="n"/>
      <c r="D226" s="42" t="n"/>
      <c r="E226" s="42" t="n"/>
      <c r="H226" s="42" t="n"/>
      <c r="I226" s="42" t="n"/>
      <c r="J226" s="42" t="n"/>
      <c r="K226" s="42" t="n"/>
    </row>
    <row r="227" ht="19.5" customHeight="1" s="33">
      <c r="A227" s="43" t="n">
        <v>4</v>
      </c>
      <c r="B227" s="44" t="n"/>
      <c r="C227" s="44" t="n"/>
      <c r="D227" s="44" t="n"/>
      <c r="E227" s="44" t="n"/>
      <c r="H227" s="44" t="n"/>
      <c r="I227" s="44" t="n"/>
      <c r="J227" s="44" t="n"/>
      <c r="K227" s="44" t="n"/>
    </row>
    <row r="228" ht="19.5" customHeight="1" s="33">
      <c r="A228" s="41" t="n">
        <v>5</v>
      </c>
      <c r="B228" s="42" t="n"/>
      <c r="C228" s="42" t="n"/>
      <c r="D228" s="42" t="n"/>
      <c r="E228" s="42" t="n"/>
      <c r="H228" s="42" t="n"/>
      <c r="I228" s="42" t="n"/>
      <c r="J228" s="42" t="n"/>
      <c r="K228" s="42" t="n"/>
    </row>
    <row r="229" ht="19.5" customHeight="1" s="33">
      <c r="A229" s="43" t="n">
        <v>6</v>
      </c>
      <c r="B229" s="44" t="n"/>
      <c r="C229" s="44" t="n"/>
      <c r="D229" s="44" t="n"/>
      <c r="E229" s="44" t="n"/>
      <c r="H229" s="44" t="n"/>
      <c r="I229" s="44" t="n"/>
      <c r="J229" s="44" t="n"/>
      <c r="K229" s="44" t="n"/>
    </row>
    <row r="230" ht="19.5" customHeight="1" s="33">
      <c r="A230" s="41" t="n">
        <v>7</v>
      </c>
      <c r="B230" s="42" t="n"/>
      <c r="C230" s="42" t="n"/>
      <c r="D230" s="42" t="n"/>
      <c r="E230" s="42" t="n"/>
      <c r="H230" s="42" t="n"/>
      <c r="I230" s="42" t="n"/>
      <c r="J230" s="42" t="n"/>
      <c r="K230" s="42" t="n"/>
    </row>
    <row r="231" ht="27.75" customHeight="1" s="33">
      <c r="A231" s="47" t="inlineStr">
        <is>
          <t>개인차24</t>
        </is>
      </c>
      <c r="B231" s="35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</row>
    <row r="232" ht="15" customHeight="1" s="33">
      <c r="A232" s="64" t="inlineStr">
        <is>
          <t>상행</t>
        </is>
      </c>
      <c r="B232" s="35" t="n"/>
      <c r="C232" s="35" t="n"/>
      <c r="D232" s="35" t="n"/>
      <c r="E232" s="35" t="n"/>
      <c r="G232" s="64" t="inlineStr">
        <is>
          <t>하행</t>
        </is>
      </c>
      <c r="H232" s="35" t="n"/>
      <c r="I232" s="35" t="n"/>
      <c r="J232" s="35" t="n"/>
      <c r="K232" s="35" t="n"/>
    </row>
    <row r="233" ht="15" customHeight="1" s="33">
      <c r="A233" s="48" t="inlineStr">
        <is>
          <t>no</t>
        </is>
      </c>
      <c r="B233" s="49" t="inlineStr">
        <is>
          <t>구역</t>
        </is>
      </c>
      <c r="C233" s="49" t="inlineStr">
        <is>
          <t>회(부서)</t>
        </is>
      </c>
      <c r="D233" s="49" t="inlineStr">
        <is>
          <t>성 명</t>
        </is>
      </c>
      <c r="E233" s="49" t="inlineStr">
        <is>
          <t>비고</t>
        </is>
      </c>
      <c r="G233" s="48" t="inlineStr">
        <is>
          <t>no</t>
        </is>
      </c>
      <c r="H233" s="49" t="inlineStr">
        <is>
          <t>구역</t>
        </is>
      </c>
      <c r="I233" s="49" t="inlineStr">
        <is>
          <t>회(부서)</t>
        </is>
      </c>
      <c r="J233" s="49" t="inlineStr">
        <is>
          <t>성 명</t>
        </is>
      </c>
      <c r="K233" s="49" t="inlineStr">
        <is>
          <t>비고</t>
        </is>
      </c>
    </row>
    <row r="234" ht="19.5" customHeight="1" s="33">
      <c r="A234" s="41" t="n">
        <v>1</v>
      </c>
      <c r="B234" s="42" t="n"/>
      <c r="C234" s="42" t="n"/>
      <c r="D234" s="42" t="n"/>
      <c r="E234" s="42" t="n"/>
      <c r="H234" s="42" t="n"/>
      <c r="I234" s="42" t="n"/>
      <c r="J234" s="42" t="n"/>
      <c r="K234" s="42" t="n"/>
    </row>
    <row r="235" ht="19.5" customHeight="1" s="33">
      <c r="A235" s="43" t="n">
        <v>2</v>
      </c>
      <c r="B235" s="44" t="n"/>
      <c r="C235" s="44" t="n"/>
      <c r="D235" s="44" t="n"/>
      <c r="E235" s="44" t="n"/>
      <c r="H235" s="44" t="n"/>
      <c r="I235" s="44" t="n"/>
      <c r="J235" s="44" t="n"/>
      <c r="K235" s="44" t="n"/>
    </row>
    <row r="236" ht="19.5" customHeight="1" s="33">
      <c r="A236" s="41" t="n">
        <v>3</v>
      </c>
      <c r="B236" s="42" t="n"/>
      <c r="C236" s="42" t="n"/>
      <c r="D236" s="42" t="n"/>
      <c r="E236" s="42" t="n"/>
      <c r="H236" s="42" t="n"/>
      <c r="I236" s="42" t="n"/>
      <c r="J236" s="42" t="n"/>
      <c r="K236" s="42" t="n"/>
    </row>
    <row r="237" ht="19.5" customHeight="1" s="33">
      <c r="A237" s="43" t="n">
        <v>4</v>
      </c>
      <c r="B237" s="44" t="n"/>
      <c r="C237" s="44" t="n"/>
      <c r="D237" s="44" t="n"/>
      <c r="E237" s="44" t="n"/>
      <c r="H237" s="44" t="n"/>
      <c r="I237" s="44" t="n"/>
      <c r="J237" s="44" t="n"/>
      <c r="K237" s="44" t="n"/>
    </row>
    <row r="238" ht="19.5" customHeight="1" s="33">
      <c r="A238" s="41" t="n">
        <v>5</v>
      </c>
      <c r="B238" s="42" t="n"/>
      <c r="C238" s="42" t="n"/>
      <c r="D238" s="42" t="n"/>
      <c r="E238" s="42" t="n"/>
      <c r="H238" s="42" t="n"/>
      <c r="I238" s="42" t="n"/>
      <c r="J238" s="42" t="n"/>
      <c r="K238" s="42" t="n"/>
    </row>
    <row r="239" ht="19.5" customHeight="1" s="33">
      <c r="A239" s="43" t="n">
        <v>6</v>
      </c>
      <c r="B239" s="44" t="n"/>
      <c r="C239" s="44" t="n"/>
      <c r="D239" s="44" t="n"/>
      <c r="E239" s="44" t="n"/>
      <c r="H239" s="44" t="n"/>
      <c r="I239" s="44" t="n"/>
      <c r="J239" s="44" t="n"/>
      <c r="K239" s="44" t="n"/>
    </row>
    <row r="240" ht="19.5" customHeight="1" s="33">
      <c r="A240" s="41" t="n">
        <v>7</v>
      </c>
      <c r="B240" s="42" t="n"/>
      <c r="C240" s="42" t="n"/>
      <c r="D240" s="42" t="n"/>
      <c r="E240" s="42" t="n"/>
      <c r="H240" s="42" t="n"/>
      <c r="I240" s="42" t="n"/>
      <c r="J240" s="42" t="n"/>
      <c r="K240" s="42" t="n"/>
    </row>
    <row r="241" ht="27.75" customHeight="1" s="33">
      <c r="A241" s="47" t="inlineStr">
        <is>
          <t>개인차25</t>
        </is>
      </c>
      <c r="B241" s="35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</row>
    <row r="242" ht="15" customHeight="1" s="33">
      <c r="A242" s="64" t="inlineStr">
        <is>
          <t>상행</t>
        </is>
      </c>
      <c r="B242" s="35" t="n"/>
      <c r="C242" s="35" t="n"/>
      <c r="D242" s="35" t="n"/>
      <c r="E242" s="35" t="n"/>
      <c r="G242" s="64" t="inlineStr">
        <is>
          <t>하행</t>
        </is>
      </c>
      <c r="H242" s="35" t="n"/>
      <c r="I242" s="35" t="n"/>
      <c r="J242" s="35" t="n"/>
      <c r="K242" s="35" t="n"/>
    </row>
    <row r="243" ht="15" customHeight="1" s="33">
      <c r="A243" s="48" t="inlineStr">
        <is>
          <t>no</t>
        </is>
      </c>
      <c r="B243" s="49" t="inlineStr">
        <is>
          <t>구역</t>
        </is>
      </c>
      <c r="C243" s="49" t="inlineStr">
        <is>
          <t>회(부서)</t>
        </is>
      </c>
      <c r="D243" s="49" t="inlineStr">
        <is>
          <t>성 명</t>
        </is>
      </c>
      <c r="E243" s="49" t="inlineStr">
        <is>
          <t>비고</t>
        </is>
      </c>
      <c r="G243" s="48" t="inlineStr">
        <is>
          <t>no</t>
        </is>
      </c>
      <c r="H243" s="49" t="inlineStr">
        <is>
          <t>구역</t>
        </is>
      </c>
      <c r="I243" s="49" t="inlineStr">
        <is>
          <t>회(부서)</t>
        </is>
      </c>
      <c r="J243" s="49" t="inlineStr">
        <is>
          <t>성 명</t>
        </is>
      </c>
      <c r="K243" s="49" t="inlineStr">
        <is>
          <t>비고</t>
        </is>
      </c>
    </row>
    <row r="244" ht="19.5" customHeight="1" s="33">
      <c r="A244" s="41" t="n">
        <v>1</v>
      </c>
      <c r="B244" s="42" t="n"/>
      <c r="C244" s="42" t="n"/>
      <c r="D244" s="42" t="n"/>
      <c r="E244" s="42" t="n"/>
      <c r="H244" s="42" t="n"/>
      <c r="I244" s="42" t="n"/>
      <c r="J244" s="42" t="n"/>
      <c r="K244" s="42" t="n"/>
    </row>
    <row r="245" ht="19.5" customHeight="1" s="33">
      <c r="A245" s="43" t="n">
        <v>2</v>
      </c>
      <c r="B245" s="44" t="n"/>
      <c r="C245" s="44" t="n"/>
      <c r="D245" s="44" t="n"/>
      <c r="E245" s="44" t="n"/>
      <c r="H245" s="44" t="n"/>
      <c r="I245" s="44" t="n"/>
      <c r="J245" s="44" t="n"/>
      <c r="K245" s="44" t="n"/>
    </row>
    <row r="246" ht="19.5" customHeight="1" s="33">
      <c r="A246" s="41" t="n">
        <v>3</v>
      </c>
      <c r="B246" s="42" t="n"/>
      <c r="C246" s="42" t="n"/>
      <c r="D246" s="42" t="n"/>
      <c r="E246" s="42" t="n"/>
      <c r="H246" s="42" t="n"/>
      <c r="I246" s="42" t="n"/>
      <c r="J246" s="42" t="n"/>
      <c r="K246" s="42" t="n"/>
    </row>
    <row r="247" ht="19.5" customHeight="1" s="33">
      <c r="A247" s="43" t="n">
        <v>4</v>
      </c>
      <c r="B247" s="44" t="n"/>
      <c r="C247" s="44" t="n"/>
      <c r="D247" s="44" t="n"/>
      <c r="E247" s="44" t="n"/>
      <c r="H247" s="44" t="n"/>
      <c r="I247" s="44" t="n"/>
      <c r="J247" s="44" t="n"/>
      <c r="K247" s="44" t="n"/>
    </row>
    <row r="248" ht="19.5" customHeight="1" s="33">
      <c r="A248" s="41" t="n">
        <v>5</v>
      </c>
      <c r="B248" s="42" t="n"/>
      <c r="C248" s="42" t="n"/>
      <c r="D248" s="42" t="n"/>
      <c r="E248" s="42" t="n"/>
      <c r="H248" s="42" t="n"/>
      <c r="I248" s="42" t="n"/>
      <c r="J248" s="42" t="n"/>
      <c r="K248" s="42" t="n"/>
    </row>
    <row r="249" ht="19.5" customHeight="1" s="33">
      <c r="A249" s="43" t="n">
        <v>6</v>
      </c>
      <c r="B249" s="44" t="n"/>
      <c r="C249" s="44" t="n"/>
      <c r="D249" s="44" t="n"/>
      <c r="E249" s="44" t="n"/>
      <c r="H249" s="44" t="n"/>
      <c r="I249" s="44" t="n"/>
      <c r="J249" s="44" t="n"/>
      <c r="K249" s="44" t="n"/>
    </row>
    <row r="250" ht="19.5" customHeight="1" s="33">
      <c r="A250" s="41" t="n">
        <v>7</v>
      </c>
      <c r="B250" s="42" t="n"/>
      <c r="C250" s="42" t="n"/>
      <c r="D250" s="42" t="n"/>
      <c r="E250" s="42" t="n"/>
      <c r="H250" s="42" t="n"/>
      <c r="I250" s="42" t="n"/>
      <c r="J250" s="42" t="n"/>
      <c r="K250" s="42" t="n"/>
    </row>
    <row r="251" ht="27.75" customHeight="1" s="33">
      <c r="A251" s="47" t="inlineStr">
        <is>
          <t>개인차26</t>
        </is>
      </c>
      <c r="B251" s="35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</row>
    <row r="252" ht="15" customHeight="1" s="33">
      <c r="A252" s="64" t="inlineStr">
        <is>
          <t>상행</t>
        </is>
      </c>
      <c r="B252" s="35" t="n"/>
      <c r="C252" s="35" t="n"/>
      <c r="D252" s="35" t="n"/>
      <c r="E252" s="35" t="n"/>
      <c r="G252" s="64" t="inlineStr">
        <is>
          <t>하행</t>
        </is>
      </c>
      <c r="H252" s="35" t="n"/>
      <c r="I252" s="35" t="n"/>
      <c r="J252" s="35" t="n"/>
      <c r="K252" s="35" t="n"/>
    </row>
    <row r="253" ht="15" customHeight="1" s="33">
      <c r="A253" s="48" t="inlineStr">
        <is>
          <t>no</t>
        </is>
      </c>
      <c r="B253" s="49" t="inlineStr">
        <is>
          <t>구역</t>
        </is>
      </c>
      <c r="C253" s="49" t="inlineStr">
        <is>
          <t>회(부서)</t>
        </is>
      </c>
      <c r="D253" s="49" t="inlineStr">
        <is>
          <t>성 명</t>
        </is>
      </c>
      <c r="E253" s="49" t="inlineStr">
        <is>
          <t>비고</t>
        </is>
      </c>
      <c r="G253" s="48" t="inlineStr">
        <is>
          <t>no</t>
        </is>
      </c>
      <c r="H253" s="49" t="inlineStr">
        <is>
          <t>구역</t>
        </is>
      </c>
      <c r="I253" s="49" t="inlineStr">
        <is>
          <t>회(부서)</t>
        </is>
      </c>
      <c r="J253" s="49" t="inlineStr">
        <is>
          <t>성 명</t>
        </is>
      </c>
      <c r="K253" s="49" t="inlineStr">
        <is>
          <t>비고</t>
        </is>
      </c>
    </row>
    <row r="254" ht="19.5" customHeight="1" s="33">
      <c r="A254" s="41" t="n">
        <v>1</v>
      </c>
      <c r="B254" s="42" t="n"/>
      <c r="C254" s="42" t="n"/>
      <c r="D254" s="42" t="n"/>
      <c r="E254" s="42" t="n"/>
      <c r="H254" s="42" t="n"/>
      <c r="I254" s="42" t="n"/>
      <c r="J254" s="42" t="n"/>
      <c r="K254" s="42" t="n"/>
    </row>
    <row r="255" ht="19.5" customHeight="1" s="33">
      <c r="A255" s="43" t="n">
        <v>2</v>
      </c>
      <c r="B255" s="44" t="n"/>
      <c r="C255" s="44" t="n"/>
      <c r="D255" s="44" t="n"/>
      <c r="E255" s="44" t="n"/>
      <c r="H255" s="44" t="n"/>
      <c r="I255" s="44" t="n"/>
      <c r="J255" s="44" t="n"/>
      <c r="K255" s="44" t="n"/>
    </row>
    <row r="256" ht="19.5" customHeight="1" s="33">
      <c r="A256" s="41" t="n">
        <v>3</v>
      </c>
      <c r="B256" s="42" t="n"/>
      <c r="C256" s="42" t="n"/>
      <c r="D256" s="42" t="n"/>
      <c r="E256" s="42" t="n"/>
      <c r="H256" s="42" t="n"/>
      <c r="I256" s="42" t="n"/>
      <c r="J256" s="42" t="n"/>
      <c r="K256" s="42" t="n"/>
    </row>
    <row r="257" ht="19.5" customHeight="1" s="33">
      <c r="A257" s="43" t="n">
        <v>4</v>
      </c>
      <c r="B257" s="44" t="n"/>
      <c r="C257" s="44" t="n"/>
      <c r="D257" s="44" t="n"/>
      <c r="E257" s="44" t="n"/>
      <c r="H257" s="44" t="n"/>
      <c r="I257" s="44" t="n"/>
      <c r="J257" s="44" t="n"/>
      <c r="K257" s="44" t="n"/>
    </row>
    <row r="258" ht="19.5" customHeight="1" s="33">
      <c r="A258" s="41" t="n">
        <v>5</v>
      </c>
      <c r="B258" s="42" t="n"/>
      <c r="C258" s="42" t="n"/>
      <c r="D258" s="42" t="n"/>
      <c r="E258" s="42" t="n"/>
      <c r="H258" s="42" t="n"/>
      <c r="I258" s="42" t="n"/>
      <c r="J258" s="42" t="n"/>
      <c r="K258" s="42" t="n"/>
    </row>
    <row r="259" ht="19.5" customHeight="1" s="33">
      <c r="A259" s="43" t="n">
        <v>6</v>
      </c>
      <c r="B259" s="44" t="n"/>
      <c r="C259" s="44" t="n"/>
      <c r="D259" s="44" t="n"/>
      <c r="E259" s="44" t="n"/>
      <c r="H259" s="44" t="n"/>
      <c r="I259" s="44" t="n"/>
      <c r="J259" s="44" t="n"/>
      <c r="K259" s="44" t="n"/>
    </row>
    <row r="260" ht="19.5" customHeight="1" s="33">
      <c r="A260" s="41" t="n">
        <v>7</v>
      </c>
      <c r="B260" s="42" t="n"/>
      <c r="C260" s="42" t="n"/>
      <c r="D260" s="42" t="n"/>
      <c r="E260" s="42" t="n"/>
      <c r="H260" s="42" t="n"/>
      <c r="I260" s="42" t="n"/>
      <c r="J260" s="42" t="n"/>
      <c r="K260" s="42" t="n"/>
    </row>
    <row r="261" ht="27.75" customHeight="1" s="33">
      <c r="A261" s="47" t="inlineStr">
        <is>
          <t>개인차27</t>
        </is>
      </c>
      <c r="B261" s="35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</row>
    <row r="262" ht="15" customHeight="1" s="33">
      <c r="A262" s="64" t="inlineStr">
        <is>
          <t>상행</t>
        </is>
      </c>
      <c r="B262" s="35" t="n"/>
      <c r="C262" s="35" t="n"/>
      <c r="D262" s="35" t="n"/>
      <c r="E262" s="35" t="n"/>
      <c r="G262" s="64" t="inlineStr">
        <is>
          <t>하행</t>
        </is>
      </c>
      <c r="H262" s="35" t="n"/>
      <c r="I262" s="35" t="n"/>
      <c r="J262" s="35" t="n"/>
      <c r="K262" s="35" t="n"/>
    </row>
    <row r="263" ht="15" customHeight="1" s="33">
      <c r="A263" s="48" t="inlineStr">
        <is>
          <t>no</t>
        </is>
      </c>
      <c r="B263" s="49" t="inlineStr">
        <is>
          <t>구역</t>
        </is>
      </c>
      <c r="C263" s="49" t="inlineStr">
        <is>
          <t>회(부서)</t>
        </is>
      </c>
      <c r="D263" s="49" t="inlineStr">
        <is>
          <t>성 명</t>
        </is>
      </c>
      <c r="E263" s="49" t="inlineStr">
        <is>
          <t>비고</t>
        </is>
      </c>
      <c r="G263" s="48" t="inlineStr">
        <is>
          <t>no</t>
        </is>
      </c>
      <c r="H263" s="49" t="inlineStr">
        <is>
          <t>구역</t>
        </is>
      </c>
      <c r="I263" s="49" t="inlineStr">
        <is>
          <t>회(부서)</t>
        </is>
      </c>
      <c r="J263" s="49" t="inlineStr">
        <is>
          <t>성 명</t>
        </is>
      </c>
      <c r="K263" s="49" t="inlineStr">
        <is>
          <t>비고</t>
        </is>
      </c>
    </row>
    <row r="264" ht="19.5" customHeight="1" s="33">
      <c r="A264" s="41" t="n">
        <v>1</v>
      </c>
      <c r="B264" s="42" t="n"/>
      <c r="C264" s="42" t="n"/>
      <c r="D264" s="42" t="n"/>
      <c r="E264" s="42" t="n"/>
      <c r="H264" s="42" t="n"/>
      <c r="I264" s="42" t="n"/>
      <c r="J264" s="42" t="n"/>
      <c r="K264" s="42" t="n"/>
    </row>
    <row r="265" ht="19.5" customHeight="1" s="33">
      <c r="A265" s="43" t="n">
        <v>2</v>
      </c>
      <c r="B265" s="44" t="n"/>
      <c r="C265" s="44" t="n"/>
      <c r="D265" s="44" t="n"/>
      <c r="E265" s="44" t="n"/>
      <c r="H265" s="44" t="n"/>
      <c r="I265" s="44" t="n"/>
      <c r="J265" s="44" t="n"/>
      <c r="K265" s="44" t="n"/>
    </row>
    <row r="266" ht="19.5" customHeight="1" s="33">
      <c r="A266" s="41" t="n">
        <v>3</v>
      </c>
      <c r="B266" s="42" t="n"/>
      <c r="C266" s="42" t="n"/>
      <c r="D266" s="42" t="n"/>
      <c r="E266" s="42" t="n"/>
      <c r="H266" s="42" t="n"/>
      <c r="I266" s="42" t="n"/>
      <c r="J266" s="42" t="n"/>
      <c r="K266" s="42" t="n"/>
    </row>
    <row r="267" ht="19.5" customHeight="1" s="33">
      <c r="A267" s="43" t="n">
        <v>4</v>
      </c>
      <c r="B267" s="44" t="n"/>
      <c r="C267" s="44" t="n"/>
      <c r="D267" s="44" t="n"/>
      <c r="E267" s="44" t="n"/>
      <c r="H267" s="44" t="n"/>
      <c r="I267" s="44" t="n"/>
      <c r="J267" s="44" t="n"/>
      <c r="K267" s="44" t="n"/>
    </row>
    <row r="268" ht="19.5" customHeight="1" s="33">
      <c r="A268" s="41" t="n">
        <v>5</v>
      </c>
      <c r="B268" s="42" t="n"/>
      <c r="C268" s="42" t="n"/>
      <c r="D268" s="42" t="n"/>
      <c r="E268" s="42" t="n"/>
      <c r="H268" s="42" t="n"/>
      <c r="I268" s="42" t="n"/>
      <c r="J268" s="42" t="n"/>
      <c r="K268" s="42" t="n"/>
    </row>
    <row r="269" ht="19.5" customHeight="1" s="33">
      <c r="A269" s="43" t="n">
        <v>6</v>
      </c>
      <c r="B269" s="44" t="n"/>
      <c r="C269" s="44" t="n"/>
      <c r="D269" s="44" t="n"/>
      <c r="E269" s="44" t="n"/>
      <c r="H269" s="44" t="n"/>
      <c r="I269" s="44" t="n"/>
      <c r="J269" s="44" t="n"/>
      <c r="K269" s="44" t="n"/>
    </row>
    <row r="270" ht="19.5" customHeight="1" s="33">
      <c r="A270" s="41" t="n">
        <v>7</v>
      </c>
      <c r="B270" s="42" t="n"/>
      <c r="C270" s="42" t="n"/>
      <c r="D270" s="42" t="n"/>
      <c r="E270" s="42" t="n"/>
      <c r="H270" s="42" t="n"/>
      <c r="I270" s="42" t="n"/>
      <c r="J270" s="42" t="n"/>
      <c r="K270" s="42" t="n"/>
    </row>
    <row r="271" ht="27.75" customHeight="1" s="33">
      <c r="A271" s="47" t="inlineStr">
        <is>
          <t>개인차28</t>
        </is>
      </c>
      <c r="B271" s="35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</row>
    <row r="272" ht="15" customHeight="1" s="33">
      <c r="A272" s="64" t="inlineStr">
        <is>
          <t>상행</t>
        </is>
      </c>
      <c r="B272" s="35" t="n"/>
      <c r="C272" s="35" t="n"/>
      <c r="D272" s="35" t="n"/>
      <c r="E272" s="35" t="n"/>
      <c r="G272" s="64" t="inlineStr">
        <is>
          <t>하행</t>
        </is>
      </c>
      <c r="H272" s="35" t="n"/>
      <c r="I272" s="35" t="n"/>
      <c r="J272" s="35" t="n"/>
      <c r="K272" s="35" t="n"/>
    </row>
    <row r="273" ht="15" customHeight="1" s="33">
      <c r="A273" s="48" t="inlineStr">
        <is>
          <t>no</t>
        </is>
      </c>
      <c r="B273" s="49" t="inlineStr">
        <is>
          <t>구역</t>
        </is>
      </c>
      <c r="C273" s="49" t="inlineStr">
        <is>
          <t>회(부서)</t>
        </is>
      </c>
      <c r="D273" s="49" t="inlineStr">
        <is>
          <t>성 명</t>
        </is>
      </c>
      <c r="E273" s="49" t="inlineStr">
        <is>
          <t>비고</t>
        </is>
      </c>
      <c r="G273" s="48" t="inlineStr">
        <is>
          <t>no</t>
        </is>
      </c>
      <c r="H273" s="49" t="inlineStr">
        <is>
          <t>구역</t>
        </is>
      </c>
      <c r="I273" s="49" t="inlineStr">
        <is>
          <t>회(부서)</t>
        </is>
      </c>
      <c r="J273" s="49" t="inlineStr">
        <is>
          <t>성 명</t>
        </is>
      </c>
      <c r="K273" s="49" t="inlineStr">
        <is>
          <t>비고</t>
        </is>
      </c>
    </row>
    <row r="274" ht="19.5" customHeight="1" s="33">
      <c r="A274" s="41" t="n">
        <v>1</v>
      </c>
      <c r="B274" s="42" t="n"/>
      <c r="C274" s="42" t="n"/>
      <c r="D274" s="42" t="n"/>
      <c r="E274" s="42" t="n"/>
      <c r="H274" s="42" t="n"/>
      <c r="I274" s="42" t="n"/>
      <c r="J274" s="42" t="n"/>
      <c r="K274" s="42" t="n"/>
    </row>
    <row r="275" ht="19.5" customHeight="1" s="33">
      <c r="A275" s="43" t="n">
        <v>2</v>
      </c>
      <c r="B275" s="44" t="n"/>
      <c r="C275" s="44" t="n"/>
      <c r="D275" s="44" t="n"/>
      <c r="E275" s="44" t="n"/>
      <c r="H275" s="44" t="n"/>
      <c r="I275" s="44" t="n"/>
      <c r="J275" s="44" t="n"/>
      <c r="K275" s="44" t="n"/>
    </row>
    <row r="276" ht="19.5" customHeight="1" s="33">
      <c r="A276" s="41" t="n">
        <v>3</v>
      </c>
      <c r="B276" s="42" t="n"/>
      <c r="C276" s="42" t="n"/>
      <c r="D276" s="42" t="n"/>
      <c r="E276" s="42" t="n"/>
      <c r="H276" s="42" t="n"/>
      <c r="I276" s="42" t="n"/>
      <c r="J276" s="42" t="n"/>
      <c r="K276" s="42" t="n"/>
    </row>
    <row r="277" ht="19.5" customHeight="1" s="33">
      <c r="A277" s="43" t="n">
        <v>4</v>
      </c>
      <c r="B277" s="44" t="n"/>
      <c r="C277" s="44" t="n"/>
      <c r="D277" s="44" t="n"/>
      <c r="E277" s="44" t="n"/>
      <c r="H277" s="44" t="n"/>
      <c r="I277" s="44" t="n"/>
      <c r="J277" s="44" t="n"/>
      <c r="K277" s="44" t="n"/>
    </row>
    <row r="278" ht="19.5" customHeight="1" s="33">
      <c r="A278" s="41" t="n">
        <v>5</v>
      </c>
      <c r="B278" s="42" t="n"/>
      <c r="C278" s="42" t="n"/>
      <c r="D278" s="42" t="n"/>
      <c r="E278" s="42" t="n"/>
      <c r="H278" s="42" t="n"/>
      <c r="I278" s="42" t="n"/>
      <c r="J278" s="42" t="n"/>
      <c r="K278" s="42" t="n"/>
    </row>
    <row r="279" ht="19.5" customHeight="1" s="33">
      <c r="A279" s="43" t="n">
        <v>6</v>
      </c>
      <c r="B279" s="44" t="n"/>
      <c r="C279" s="44" t="n"/>
      <c r="D279" s="44" t="n"/>
      <c r="E279" s="44" t="n"/>
      <c r="H279" s="44" t="n"/>
      <c r="I279" s="44" t="n"/>
      <c r="J279" s="44" t="n"/>
      <c r="K279" s="44" t="n"/>
    </row>
    <row r="280" ht="19.5" customHeight="1" s="33">
      <c r="A280" s="41" t="n">
        <v>7</v>
      </c>
      <c r="B280" s="42" t="n"/>
      <c r="C280" s="42" t="n"/>
      <c r="D280" s="42" t="n"/>
      <c r="E280" s="42" t="n"/>
      <c r="H280" s="42" t="n"/>
      <c r="I280" s="42" t="n"/>
      <c r="J280" s="42" t="n"/>
      <c r="K280" s="42" t="n"/>
    </row>
    <row r="281" ht="27.75" customHeight="1" s="33">
      <c r="A281" s="47" t="inlineStr">
        <is>
          <t>개인차29</t>
        </is>
      </c>
      <c r="B281" s="35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</row>
    <row r="282" ht="15" customHeight="1" s="33">
      <c r="A282" s="64" t="inlineStr">
        <is>
          <t>상행</t>
        </is>
      </c>
      <c r="B282" s="35" t="n"/>
      <c r="C282" s="35" t="n"/>
      <c r="D282" s="35" t="n"/>
      <c r="E282" s="35" t="n"/>
      <c r="G282" s="64" t="inlineStr">
        <is>
          <t>하행</t>
        </is>
      </c>
      <c r="H282" s="35" t="n"/>
      <c r="I282" s="35" t="n"/>
      <c r="J282" s="35" t="n"/>
      <c r="K282" s="35" t="n"/>
    </row>
    <row r="283" ht="15" customHeight="1" s="33">
      <c r="A283" s="48" t="inlineStr">
        <is>
          <t>no</t>
        </is>
      </c>
      <c r="B283" s="49" t="inlineStr">
        <is>
          <t>구역</t>
        </is>
      </c>
      <c r="C283" s="49" t="inlineStr">
        <is>
          <t>회(부서)</t>
        </is>
      </c>
      <c r="D283" s="49" t="inlineStr">
        <is>
          <t>성 명</t>
        </is>
      </c>
      <c r="E283" s="49" t="inlineStr">
        <is>
          <t>비고</t>
        </is>
      </c>
      <c r="G283" s="48" t="inlineStr">
        <is>
          <t>no</t>
        </is>
      </c>
      <c r="H283" s="49" t="inlineStr">
        <is>
          <t>구역</t>
        </is>
      </c>
      <c r="I283" s="49" t="inlineStr">
        <is>
          <t>회(부서)</t>
        </is>
      </c>
      <c r="J283" s="49" t="inlineStr">
        <is>
          <t>성 명</t>
        </is>
      </c>
      <c r="K283" s="49" t="inlineStr">
        <is>
          <t>비고</t>
        </is>
      </c>
    </row>
    <row r="284" ht="19.5" customHeight="1" s="33">
      <c r="A284" s="41" t="n">
        <v>1</v>
      </c>
      <c r="B284" s="42" t="n"/>
      <c r="C284" s="42" t="n"/>
      <c r="D284" s="42" t="n"/>
      <c r="E284" s="42" t="n"/>
      <c r="H284" s="42" t="n"/>
      <c r="I284" s="42" t="n"/>
      <c r="J284" s="42" t="n"/>
      <c r="K284" s="42" t="n"/>
    </row>
    <row r="285" ht="19.5" customHeight="1" s="33">
      <c r="A285" s="43" t="n">
        <v>2</v>
      </c>
      <c r="B285" s="44" t="n"/>
      <c r="C285" s="44" t="n"/>
      <c r="D285" s="44" t="n"/>
      <c r="E285" s="44" t="n"/>
      <c r="H285" s="44" t="n"/>
      <c r="I285" s="44" t="n"/>
      <c r="J285" s="44" t="n"/>
      <c r="K285" s="44" t="n"/>
    </row>
    <row r="286" ht="19.5" customHeight="1" s="33">
      <c r="A286" s="41" t="n">
        <v>3</v>
      </c>
      <c r="B286" s="42" t="n"/>
      <c r="C286" s="42" t="n"/>
      <c r="D286" s="42" t="n"/>
      <c r="E286" s="42" t="n"/>
      <c r="H286" s="42" t="n"/>
      <c r="I286" s="42" t="n"/>
      <c r="J286" s="42" t="n"/>
      <c r="K286" s="42" t="n"/>
    </row>
    <row r="287" ht="19.5" customHeight="1" s="33">
      <c r="A287" s="43" t="n">
        <v>4</v>
      </c>
      <c r="B287" s="44" t="n"/>
      <c r="C287" s="44" t="n"/>
      <c r="D287" s="44" t="n"/>
      <c r="E287" s="44" t="n"/>
      <c r="H287" s="44" t="n"/>
      <c r="I287" s="44" t="n"/>
      <c r="J287" s="44" t="n"/>
      <c r="K287" s="44" t="n"/>
    </row>
    <row r="288" ht="19.5" customHeight="1" s="33">
      <c r="A288" s="41" t="n">
        <v>5</v>
      </c>
      <c r="B288" s="42" t="n"/>
      <c r="C288" s="42" t="n"/>
      <c r="D288" s="42" t="n"/>
      <c r="E288" s="42" t="n"/>
      <c r="H288" s="42" t="n"/>
      <c r="I288" s="42" t="n"/>
      <c r="J288" s="42" t="n"/>
      <c r="K288" s="42" t="n"/>
    </row>
    <row r="289" ht="19.5" customHeight="1" s="33">
      <c r="A289" s="43" t="n">
        <v>6</v>
      </c>
      <c r="B289" s="44" t="n"/>
      <c r="C289" s="44" t="n"/>
      <c r="D289" s="44" t="n"/>
      <c r="E289" s="44" t="n"/>
      <c r="H289" s="44" t="n"/>
      <c r="I289" s="44" t="n"/>
      <c r="J289" s="44" t="n"/>
      <c r="K289" s="44" t="n"/>
    </row>
    <row r="290" ht="19.5" customHeight="1" s="33">
      <c r="A290" s="41" t="n">
        <v>7</v>
      </c>
      <c r="B290" s="42" t="n"/>
      <c r="C290" s="42" t="n"/>
      <c r="D290" s="42" t="n"/>
      <c r="E290" s="42" t="n"/>
      <c r="H290" s="42" t="n"/>
      <c r="I290" s="42" t="n"/>
      <c r="J290" s="42" t="n"/>
      <c r="K290" s="42" t="n"/>
    </row>
    <row r="291" ht="27.75" customHeight="1" s="33">
      <c r="A291" s="47" t="inlineStr">
        <is>
          <t>개인차30</t>
        </is>
      </c>
      <c r="B291" s="35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</row>
    <row r="292" ht="15" customHeight="1" s="33">
      <c r="A292" s="64" t="inlineStr">
        <is>
          <t>상행</t>
        </is>
      </c>
      <c r="B292" s="35" t="n"/>
      <c r="C292" s="35" t="n"/>
      <c r="D292" s="35" t="n"/>
      <c r="E292" s="35" t="n"/>
      <c r="G292" s="64" t="inlineStr">
        <is>
          <t>하행</t>
        </is>
      </c>
      <c r="H292" s="35" t="n"/>
      <c r="I292" s="35" t="n"/>
      <c r="J292" s="35" t="n"/>
      <c r="K292" s="35" t="n"/>
    </row>
    <row r="293" ht="15" customHeight="1" s="33">
      <c r="A293" s="48" t="inlineStr">
        <is>
          <t>no</t>
        </is>
      </c>
      <c r="B293" s="49" t="inlineStr">
        <is>
          <t>구역</t>
        </is>
      </c>
      <c r="C293" s="49" t="inlineStr">
        <is>
          <t>회(부서)</t>
        </is>
      </c>
      <c r="D293" s="49" t="inlineStr">
        <is>
          <t>성 명</t>
        </is>
      </c>
      <c r="E293" s="49" t="inlineStr">
        <is>
          <t>비고</t>
        </is>
      </c>
      <c r="G293" s="48" t="inlineStr">
        <is>
          <t>no</t>
        </is>
      </c>
      <c r="H293" s="49" t="inlineStr">
        <is>
          <t>구역</t>
        </is>
      </c>
      <c r="I293" s="49" t="inlineStr">
        <is>
          <t>회(부서)</t>
        </is>
      </c>
      <c r="J293" s="49" t="inlineStr">
        <is>
          <t>성 명</t>
        </is>
      </c>
      <c r="K293" s="49" t="inlineStr">
        <is>
          <t>비고</t>
        </is>
      </c>
    </row>
    <row r="294" ht="19.5" customHeight="1" s="33">
      <c r="A294" s="41" t="n">
        <v>1</v>
      </c>
      <c r="B294" s="42" t="n"/>
      <c r="C294" s="42" t="n"/>
      <c r="D294" s="42" t="n"/>
      <c r="E294" s="42" t="n"/>
      <c r="H294" s="42" t="n"/>
      <c r="I294" s="42" t="n"/>
      <c r="J294" s="42" t="n"/>
      <c r="K294" s="42" t="n"/>
    </row>
    <row r="295" ht="19.5" customHeight="1" s="33">
      <c r="A295" s="43" t="n">
        <v>2</v>
      </c>
      <c r="B295" s="44" t="n"/>
      <c r="C295" s="44" t="n"/>
      <c r="D295" s="44" t="n"/>
      <c r="E295" s="44" t="n"/>
      <c r="H295" s="44" t="n"/>
      <c r="I295" s="44" t="n"/>
      <c r="J295" s="44" t="n"/>
      <c r="K295" s="44" t="n"/>
    </row>
    <row r="296" ht="19.5" customHeight="1" s="33">
      <c r="A296" s="41" t="n">
        <v>3</v>
      </c>
      <c r="B296" s="42" t="n"/>
      <c r="C296" s="42" t="n"/>
      <c r="D296" s="42" t="n"/>
      <c r="E296" s="42" t="n"/>
      <c r="H296" s="42" t="n"/>
      <c r="I296" s="42" t="n"/>
      <c r="J296" s="42" t="n"/>
      <c r="K296" s="42" t="n"/>
    </row>
    <row r="297" ht="19.5" customHeight="1" s="33">
      <c r="A297" s="43" t="n">
        <v>4</v>
      </c>
      <c r="B297" s="44" t="n"/>
      <c r="C297" s="44" t="n"/>
      <c r="D297" s="44" t="n"/>
      <c r="E297" s="44" t="n"/>
      <c r="H297" s="44" t="n"/>
      <c r="I297" s="44" t="n"/>
      <c r="J297" s="44" t="n"/>
      <c r="K297" s="44" t="n"/>
    </row>
    <row r="298" ht="19.5" customHeight="1" s="33">
      <c r="A298" s="41" t="n">
        <v>5</v>
      </c>
      <c r="B298" s="42" t="n"/>
      <c r="C298" s="42" t="n"/>
      <c r="D298" s="42" t="n"/>
      <c r="E298" s="42" t="n"/>
      <c r="H298" s="42" t="n"/>
      <c r="I298" s="42" t="n"/>
      <c r="J298" s="42" t="n"/>
      <c r="K298" s="42" t="n"/>
    </row>
    <row r="299" ht="19.5" customHeight="1" s="33">
      <c r="A299" s="43" t="n">
        <v>6</v>
      </c>
      <c r="B299" s="44" t="n"/>
      <c r="C299" s="44" t="n"/>
      <c r="D299" s="44" t="n"/>
      <c r="E299" s="44" t="n"/>
      <c r="H299" s="44" t="n"/>
      <c r="I299" s="44" t="n"/>
      <c r="J299" s="44" t="n"/>
      <c r="K299" s="44" t="n"/>
    </row>
    <row r="300" ht="19.5" customHeight="1" s="33">
      <c r="A300" s="41" t="n">
        <v>7</v>
      </c>
      <c r="B300" s="42" t="n"/>
      <c r="C300" s="42" t="n"/>
      <c r="D300" s="42" t="n"/>
      <c r="E300" s="42" t="n"/>
      <c r="H300" s="42" t="n"/>
      <c r="I300" s="42" t="n"/>
      <c r="J300" s="42" t="n"/>
      <c r="K300" s="42" t="n"/>
    </row>
  </sheetData>
  <mergeCells count="90">
    <mergeCell ref="G232:K232"/>
    <mergeCell ref="A232:E232"/>
    <mergeCell ref="G12:K12"/>
    <mergeCell ref="A142:E142"/>
    <mergeCell ref="A182:E182"/>
    <mergeCell ref="A51:K51"/>
    <mergeCell ref="A291:K291"/>
    <mergeCell ref="G132:K132"/>
    <mergeCell ref="A241:K241"/>
    <mergeCell ref="G272:K272"/>
    <mergeCell ref="A41:K41"/>
    <mergeCell ref="G112:K112"/>
    <mergeCell ref="A221:K221"/>
    <mergeCell ref="A282:E282"/>
    <mergeCell ref="G62:K62"/>
    <mergeCell ref="A192:E192"/>
    <mergeCell ref="A272:E272"/>
    <mergeCell ref="A101:K101"/>
    <mergeCell ref="A251:K251"/>
    <mergeCell ref="A151:K151"/>
    <mergeCell ref="G192:K192"/>
    <mergeCell ref="A141:K141"/>
    <mergeCell ref="A52:E52"/>
    <mergeCell ref="G212:K212"/>
    <mergeCell ref="G252:K252"/>
    <mergeCell ref="G52:K52"/>
    <mergeCell ref="A222:E222"/>
    <mergeCell ref="G2:K2"/>
    <mergeCell ref="A11:K11"/>
    <mergeCell ref="G42:K42"/>
    <mergeCell ref="A132:E132"/>
    <mergeCell ref="A191:K191"/>
    <mergeCell ref="A61:K61"/>
    <mergeCell ref="G262:K262"/>
    <mergeCell ref="G122:K122"/>
    <mergeCell ref="G172:K172"/>
    <mergeCell ref="A12:E12"/>
    <mergeCell ref="G92:K92"/>
    <mergeCell ref="G152:K152"/>
    <mergeCell ref="A71:K71"/>
    <mergeCell ref="G142:K142"/>
    <mergeCell ref="A32:E32"/>
    <mergeCell ref="A181:K181"/>
    <mergeCell ref="A91:K91"/>
    <mergeCell ref="A131:K131"/>
    <mergeCell ref="A171:K171"/>
    <mergeCell ref="A231:K231"/>
    <mergeCell ref="G32:K32"/>
    <mergeCell ref="A202:E202"/>
    <mergeCell ref="A111:K111"/>
    <mergeCell ref="A82:E82"/>
    <mergeCell ref="A1:K1"/>
    <mergeCell ref="A281:K281"/>
    <mergeCell ref="G82:K82"/>
    <mergeCell ref="A172:E172"/>
    <mergeCell ref="A252:E252"/>
    <mergeCell ref="A271:K271"/>
    <mergeCell ref="A292:E292"/>
    <mergeCell ref="A2:E2"/>
    <mergeCell ref="A21:K21"/>
    <mergeCell ref="A42:E42"/>
    <mergeCell ref="A22:E22"/>
    <mergeCell ref="A122:E122"/>
    <mergeCell ref="G182:K182"/>
    <mergeCell ref="A72:E72"/>
    <mergeCell ref="A112:E112"/>
    <mergeCell ref="A152:E152"/>
    <mergeCell ref="G202:K202"/>
    <mergeCell ref="G102:K102"/>
    <mergeCell ref="G242:K242"/>
    <mergeCell ref="A211:K211"/>
    <mergeCell ref="G282:K282"/>
    <mergeCell ref="G72:K72"/>
    <mergeCell ref="A201:K201"/>
    <mergeCell ref="A261:K261"/>
    <mergeCell ref="A162:E162"/>
    <mergeCell ref="A212:E212"/>
    <mergeCell ref="G292:K292"/>
    <mergeCell ref="G162:K162"/>
    <mergeCell ref="A242:E242"/>
    <mergeCell ref="G222:K222"/>
    <mergeCell ref="A262:E262"/>
    <mergeCell ref="A62:E62"/>
    <mergeCell ref="A92:E92"/>
    <mergeCell ref="A81:K81"/>
    <mergeCell ref="A102:E102"/>
    <mergeCell ref="A121:K121"/>
    <mergeCell ref="A161:K161"/>
    <mergeCell ref="G22:K22"/>
    <mergeCell ref="A31:K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K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7" customWidth="1" style="32" min="2" max="2"/>
    <col width="9" customWidth="1" style="32" min="3" max="3"/>
    <col width="8" customWidth="1" style="32" min="4" max="4"/>
    <col width="14.6" customWidth="1" style="32" min="5" max="5"/>
    <col width="2" customWidth="1" style="32" min="6" max="6"/>
    <col width="4" customWidth="1" style="32" min="7" max="7"/>
    <col width="7" customWidth="1" style="32" min="8" max="8"/>
    <col width="9" customWidth="1" style="32" min="9" max="9"/>
    <col width="8" customWidth="1" style="32" min="10" max="10"/>
    <col width="14.6" customWidth="1" style="32" min="11" max="11"/>
  </cols>
  <sheetData>
    <row r="1" ht="30" customHeight="1" s="33">
      <c r="A1" s="47" t="inlineStr">
        <is>
          <t>타교회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15" customHeight="1" s="33">
      <c r="A2" s="64" t="inlineStr">
        <is>
          <t>상행</t>
        </is>
      </c>
      <c r="B2" s="35" t="n"/>
      <c r="C2" s="35" t="n"/>
      <c r="D2" s="35" t="n"/>
      <c r="E2" s="35" t="n"/>
      <c r="G2" s="64" t="inlineStr">
        <is>
          <t>하행</t>
        </is>
      </c>
      <c r="H2" s="35" t="n"/>
      <c r="I2" s="35" t="n"/>
      <c r="J2" s="35" t="n"/>
      <c r="K2" s="35" t="n"/>
    </row>
    <row r="3" ht="15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비고</t>
        </is>
      </c>
      <c r="G3" s="48" t="inlineStr">
        <is>
          <t>NO</t>
        </is>
      </c>
      <c r="H3" s="49" t="inlineStr">
        <is>
          <t>구역</t>
        </is>
      </c>
      <c r="I3" s="49" t="inlineStr">
        <is>
          <t>회(부서)</t>
        </is>
      </c>
      <c r="J3" s="49" t="inlineStr">
        <is>
          <t>성 명</t>
        </is>
      </c>
      <c r="K3" s="49" t="inlineStr">
        <is>
          <t>비고</t>
        </is>
      </c>
    </row>
    <row r="4" ht="19.5" customHeight="1" s="33">
      <c r="A4" s="41" t="n">
        <v>1</v>
      </c>
      <c r="B4" s="42" t="n"/>
      <c r="C4" s="42" t="n"/>
      <c r="D4" s="42" t="n"/>
      <c r="E4" s="42" t="n"/>
      <c r="H4" s="42" t="n"/>
      <c r="I4" s="42" t="n"/>
      <c r="J4" s="42" t="n"/>
      <c r="K4" s="42" t="n"/>
    </row>
    <row r="5" ht="19.5" customHeight="1" s="33">
      <c r="A5" s="43" t="n">
        <v>2</v>
      </c>
      <c r="B5" s="44" t="n"/>
      <c r="C5" s="44" t="n"/>
      <c r="D5" s="44" t="n"/>
      <c r="E5" s="44" t="n"/>
      <c r="H5" s="44" t="n"/>
      <c r="I5" s="44" t="n"/>
      <c r="J5" s="44" t="n"/>
      <c r="K5" s="44" t="n"/>
    </row>
    <row r="6" ht="19.5" customHeight="1" s="33">
      <c r="A6" s="41" t="n">
        <v>3</v>
      </c>
      <c r="B6" s="42" t="n"/>
      <c r="C6" s="42" t="n"/>
      <c r="D6" s="42" t="n"/>
      <c r="E6" s="42" t="n"/>
      <c r="H6" s="42" t="n"/>
      <c r="I6" s="42" t="n"/>
      <c r="J6" s="42" t="n"/>
      <c r="K6" s="42" t="n"/>
    </row>
    <row r="7" ht="19.5" customHeight="1" s="33">
      <c r="A7" s="43" t="n">
        <v>4</v>
      </c>
      <c r="B7" s="44" t="n"/>
      <c r="C7" s="44" t="n"/>
      <c r="D7" s="44" t="n"/>
      <c r="E7" s="44" t="n"/>
      <c r="H7" s="44" t="n"/>
      <c r="I7" s="44" t="n"/>
      <c r="J7" s="44" t="n"/>
      <c r="K7" s="44" t="n"/>
    </row>
    <row r="8" ht="19.5" customHeight="1" s="33">
      <c r="A8" s="41" t="n">
        <v>5</v>
      </c>
      <c r="B8" s="42" t="n"/>
      <c r="C8" s="42" t="n"/>
      <c r="D8" s="42" t="n"/>
      <c r="E8" s="42" t="n"/>
      <c r="H8" s="42" t="n"/>
      <c r="I8" s="42" t="n"/>
      <c r="J8" s="42" t="n"/>
      <c r="K8" s="42" t="n"/>
    </row>
    <row r="9" ht="19.5" customHeight="1" s="33">
      <c r="A9" s="43" t="n">
        <v>6</v>
      </c>
      <c r="B9" s="44" t="n"/>
      <c r="C9" s="44" t="n"/>
      <c r="D9" s="44" t="n"/>
      <c r="E9" s="44" t="n"/>
      <c r="H9" s="44" t="n"/>
      <c r="I9" s="44" t="n"/>
      <c r="J9" s="44" t="n"/>
      <c r="K9" s="44" t="n"/>
    </row>
    <row r="10" ht="19.5" customHeight="1" s="33">
      <c r="A10" s="41" t="n">
        <v>7</v>
      </c>
      <c r="B10" s="42" t="n"/>
      <c r="C10" s="42" t="n"/>
      <c r="D10" s="42" t="n"/>
      <c r="E10" s="42" t="n"/>
      <c r="H10" s="42" t="n"/>
      <c r="I10" s="42" t="n"/>
      <c r="J10" s="42" t="n"/>
      <c r="K10" s="42" t="n"/>
    </row>
    <row r="11" ht="19.5" customHeight="1" s="33">
      <c r="A11" s="43" t="n">
        <v>8</v>
      </c>
      <c r="B11" s="44" t="n"/>
      <c r="C11" s="44" t="n"/>
      <c r="D11" s="44" t="n"/>
      <c r="E11" s="44" t="n"/>
      <c r="H11" s="44" t="n"/>
      <c r="I11" s="44" t="n"/>
      <c r="J11" s="44" t="n"/>
      <c r="K11" s="44" t="n"/>
    </row>
    <row r="12" ht="19.5" customHeight="1" s="33">
      <c r="A12" s="41" t="n">
        <v>9</v>
      </c>
      <c r="B12" s="42" t="n"/>
      <c r="C12" s="42" t="n"/>
      <c r="D12" s="42" t="n"/>
      <c r="E12" s="42" t="n"/>
      <c r="H12" s="42" t="n"/>
      <c r="I12" s="42" t="n"/>
      <c r="J12" s="42" t="n"/>
      <c r="K12" s="42" t="n"/>
    </row>
    <row r="13" ht="19.5" customHeight="1" s="33">
      <c r="A13" s="43" t="n">
        <v>10</v>
      </c>
      <c r="B13" s="44" t="n"/>
      <c r="C13" s="44" t="n"/>
      <c r="D13" s="44" t="n"/>
      <c r="E13" s="44" t="n"/>
      <c r="H13" s="44" t="n"/>
      <c r="I13" s="44" t="n"/>
      <c r="J13" s="44" t="n"/>
      <c r="K13" s="44" t="n"/>
    </row>
    <row r="14" ht="19.5" customHeight="1" s="33">
      <c r="A14" s="41" t="n">
        <v>11</v>
      </c>
      <c r="B14" s="42" t="n"/>
      <c r="C14" s="42" t="n"/>
      <c r="D14" s="42" t="n"/>
      <c r="E14" s="42" t="n"/>
      <c r="H14" s="42" t="n"/>
      <c r="I14" s="42" t="n"/>
      <c r="J14" s="42" t="n"/>
      <c r="K14" s="42" t="n"/>
    </row>
    <row r="15" ht="19.5" customHeight="1" s="33">
      <c r="A15" s="43" t="n">
        <v>12</v>
      </c>
      <c r="B15" s="44" t="n"/>
      <c r="C15" s="44" t="n"/>
      <c r="D15" s="44" t="n"/>
      <c r="E15" s="44" t="n"/>
      <c r="H15" s="44" t="n"/>
      <c r="I15" s="44" t="n"/>
      <c r="J15" s="44" t="n"/>
      <c r="K15" s="44" t="n"/>
    </row>
    <row r="16" ht="19.5" customHeight="1" s="33">
      <c r="A16" s="41" t="n">
        <v>13</v>
      </c>
      <c r="B16" s="42" t="n"/>
      <c r="C16" s="42" t="n"/>
      <c r="D16" s="42" t="n"/>
      <c r="E16" s="42" t="n"/>
      <c r="H16" s="42" t="n"/>
      <c r="I16" s="42" t="n"/>
      <c r="J16" s="42" t="n"/>
      <c r="K16" s="42" t="n"/>
    </row>
    <row r="17" ht="19.5" customHeight="1" s="33">
      <c r="A17" s="43" t="n">
        <v>14</v>
      </c>
      <c r="B17" s="44" t="n"/>
      <c r="C17" s="44" t="n"/>
      <c r="D17" s="44" t="n"/>
      <c r="E17" s="44" t="n"/>
      <c r="H17" s="44" t="n"/>
      <c r="I17" s="44" t="n"/>
      <c r="J17" s="44" t="n"/>
      <c r="K17" s="44" t="n"/>
    </row>
    <row r="18" ht="19.5" customHeight="1" s="33">
      <c r="A18" s="41" t="n">
        <v>15</v>
      </c>
      <c r="B18" s="42" t="n"/>
      <c r="C18" s="42" t="n"/>
      <c r="D18" s="42" t="n"/>
      <c r="E18" s="42" t="n"/>
      <c r="H18" s="42" t="n"/>
      <c r="I18" s="42" t="n"/>
      <c r="J18" s="42" t="n"/>
      <c r="K18" s="42" t="n"/>
    </row>
    <row r="19" ht="19.5" customHeight="1" s="33">
      <c r="A19" s="43" t="n">
        <v>16</v>
      </c>
      <c r="B19" s="44" t="n"/>
      <c r="C19" s="44" t="n"/>
      <c r="D19" s="44" t="n"/>
      <c r="E19" s="44" t="n"/>
      <c r="H19" s="44" t="n"/>
      <c r="I19" s="44" t="n"/>
      <c r="J19" s="44" t="n"/>
      <c r="K19" s="44" t="n"/>
    </row>
    <row r="20" ht="19.5" customHeight="1" s="33">
      <c r="A20" s="41" t="n">
        <v>17</v>
      </c>
      <c r="B20" s="42" t="n"/>
      <c r="C20" s="42" t="n"/>
      <c r="D20" s="42" t="n"/>
      <c r="E20" s="42" t="n"/>
      <c r="H20" s="42" t="n"/>
      <c r="I20" s="42" t="n"/>
      <c r="J20" s="42" t="n"/>
      <c r="K20" s="42" t="n"/>
    </row>
    <row r="21" ht="19.5" customHeight="1" s="33">
      <c r="A21" s="43" t="n">
        <v>18</v>
      </c>
      <c r="B21" s="44" t="n"/>
      <c r="C21" s="44" t="n"/>
      <c r="D21" s="44" t="n"/>
      <c r="E21" s="44" t="n"/>
      <c r="H21" s="44" t="n"/>
      <c r="I21" s="44" t="n"/>
      <c r="J21" s="44" t="n"/>
      <c r="K21" s="44" t="n"/>
    </row>
    <row r="22" ht="19.5" customHeight="1" s="33">
      <c r="A22" s="41" t="n">
        <v>19</v>
      </c>
      <c r="B22" s="42" t="n"/>
      <c r="C22" s="42" t="n"/>
      <c r="D22" s="42" t="n"/>
      <c r="E22" s="42" t="n"/>
      <c r="H22" s="42" t="n"/>
      <c r="I22" s="42" t="n"/>
      <c r="J22" s="42" t="n"/>
      <c r="K22" s="42" t="n"/>
    </row>
    <row r="23" ht="19.5" customHeight="1" s="33">
      <c r="A23" s="43" t="n">
        <v>20</v>
      </c>
      <c r="B23" s="44" t="n"/>
      <c r="C23" s="44" t="n"/>
      <c r="D23" s="44" t="n"/>
      <c r="E23" s="44" t="n"/>
      <c r="H23" s="44" t="n"/>
      <c r="I23" s="44" t="n"/>
      <c r="J23" s="44" t="n"/>
      <c r="K23" s="44" t="n"/>
    </row>
    <row r="24" ht="19.5" customHeight="1" s="33">
      <c r="A24" s="41" t="n">
        <v>21</v>
      </c>
      <c r="B24" s="42" t="n"/>
      <c r="C24" s="42" t="n"/>
      <c r="D24" s="42" t="n"/>
      <c r="E24" s="42" t="n"/>
      <c r="H24" s="42" t="n"/>
      <c r="I24" s="42" t="n"/>
      <c r="J24" s="42" t="n"/>
      <c r="K24" s="42" t="n"/>
    </row>
    <row r="25" ht="19.5" customHeight="1" s="33">
      <c r="A25" s="43" t="n">
        <v>22</v>
      </c>
      <c r="B25" s="44" t="n"/>
      <c r="C25" s="44" t="n"/>
      <c r="D25" s="44" t="n"/>
      <c r="E25" s="44" t="n"/>
      <c r="H25" s="44" t="n"/>
      <c r="I25" s="44" t="n"/>
      <c r="J25" s="44" t="n"/>
      <c r="K25" s="44" t="n"/>
    </row>
    <row r="26" ht="19.5" customHeight="1" s="33">
      <c r="A26" s="41" t="n">
        <v>23</v>
      </c>
      <c r="B26" s="42" t="n"/>
      <c r="C26" s="42" t="n"/>
      <c r="D26" s="42" t="n"/>
      <c r="E26" s="42" t="n"/>
      <c r="H26" s="42" t="n"/>
      <c r="I26" s="42" t="n"/>
      <c r="J26" s="42" t="n"/>
      <c r="K26" s="42" t="n"/>
    </row>
    <row r="27" ht="19.5" customHeight="1" s="33">
      <c r="A27" s="43" t="n">
        <v>24</v>
      </c>
      <c r="B27" s="44" t="n"/>
      <c r="C27" s="44" t="n"/>
      <c r="D27" s="44" t="n"/>
      <c r="E27" s="44" t="n"/>
      <c r="H27" s="44" t="n"/>
      <c r="I27" s="44" t="n"/>
      <c r="J27" s="44" t="n"/>
      <c r="K27" s="44" t="n"/>
    </row>
    <row r="28" ht="19.5" customHeight="1" s="33">
      <c r="A28" s="41" t="n">
        <v>25</v>
      </c>
      <c r="B28" s="42" t="n"/>
      <c r="C28" s="42" t="n"/>
      <c r="D28" s="42" t="n"/>
      <c r="E28" s="42" t="n"/>
      <c r="H28" s="42" t="n"/>
      <c r="I28" s="42" t="n"/>
      <c r="J28" s="42" t="n"/>
      <c r="K28" s="42" t="n"/>
    </row>
    <row r="29" ht="19.5" customHeight="1" s="33">
      <c r="A29" s="43" t="n">
        <v>26</v>
      </c>
      <c r="B29" s="44" t="n"/>
      <c r="C29" s="44" t="n"/>
      <c r="D29" s="44" t="n"/>
      <c r="E29" s="44" t="n"/>
      <c r="H29" s="44" t="n"/>
      <c r="I29" s="44" t="n"/>
      <c r="J29" s="44" t="n"/>
      <c r="K29" s="44" t="n"/>
    </row>
    <row r="30" ht="19.5" customHeight="1" s="33">
      <c r="A30" s="41" t="n">
        <v>27</v>
      </c>
      <c r="B30" s="42" t="n"/>
      <c r="C30" s="42" t="n"/>
      <c r="D30" s="42" t="n"/>
      <c r="E30" s="42" t="n"/>
      <c r="H30" s="42" t="n"/>
      <c r="I30" s="42" t="n"/>
      <c r="J30" s="42" t="n"/>
      <c r="K30" s="42" t="n"/>
    </row>
    <row r="31" ht="19.5" customHeight="1" s="33">
      <c r="A31" s="43" t="n">
        <v>28</v>
      </c>
      <c r="B31" s="44" t="n"/>
      <c r="C31" s="44" t="n"/>
      <c r="D31" s="44" t="n"/>
      <c r="E31" s="44" t="n"/>
      <c r="H31" s="44" t="n"/>
      <c r="I31" s="44" t="n"/>
      <c r="J31" s="44" t="n"/>
      <c r="K31" s="44" t="n"/>
    </row>
    <row r="32" ht="19.5" customHeight="1" s="33">
      <c r="A32" s="41" t="n">
        <v>29</v>
      </c>
      <c r="B32" s="42" t="n"/>
      <c r="C32" s="42" t="n"/>
      <c r="D32" s="42" t="n"/>
      <c r="E32" s="42" t="n"/>
      <c r="H32" s="42" t="n"/>
      <c r="I32" s="42" t="n"/>
      <c r="J32" s="42" t="n"/>
      <c r="K32" s="42" t="n"/>
    </row>
    <row r="33" ht="19.5" customHeight="1" s="33">
      <c r="A33" s="43" t="n">
        <v>30</v>
      </c>
      <c r="B33" s="44" t="n"/>
      <c r="C33" s="44" t="n"/>
      <c r="D33" s="44" t="n"/>
      <c r="E33" s="44" t="n"/>
      <c r="H33" s="44" t="n"/>
      <c r="I33" s="44" t="n"/>
      <c r="J33" s="44" t="n"/>
      <c r="K33" s="44" t="n"/>
    </row>
    <row r="34" ht="19.5" customHeight="1" s="33">
      <c r="A34" s="41" t="n">
        <v>31</v>
      </c>
      <c r="B34" s="42" t="n"/>
      <c r="C34" s="42" t="n"/>
      <c r="D34" s="42" t="n"/>
      <c r="E34" s="42" t="n"/>
      <c r="H34" s="42" t="n"/>
      <c r="I34" s="42" t="n"/>
      <c r="J34" s="42" t="n"/>
      <c r="K34" s="42" t="n"/>
    </row>
    <row r="35" ht="19.5" customHeight="1" s="33">
      <c r="A35" s="43" t="n">
        <v>32</v>
      </c>
      <c r="B35" s="44" t="n"/>
      <c r="C35" s="44" t="n"/>
      <c r="D35" s="44" t="n"/>
      <c r="E35" s="44" t="n"/>
      <c r="H35" s="44" t="n"/>
      <c r="I35" s="44" t="n"/>
      <c r="J35" s="44" t="n"/>
      <c r="K35" s="44" t="n"/>
    </row>
    <row r="36" ht="19.5" customHeight="1" s="33">
      <c r="A36" s="41" t="n">
        <v>33</v>
      </c>
      <c r="B36" s="42" t="n"/>
      <c r="C36" s="42" t="n"/>
      <c r="D36" s="42" t="n"/>
      <c r="E36" s="42" t="n"/>
      <c r="H36" s="42" t="n"/>
      <c r="I36" s="42" t="n"/>
      <c r="J36" s="42" t="n"/>
      <c r="K36" s="42" t="n"/>
    </row>
    <row r="37" ht="19.5" customHeight="1" s="33">
      <c r="A37" s="43" t="n">
        <v>34</v>
      </c>
      <c r="B37" s="44" t="n"/>
      <c r="C37" s="44" t="n"/>
      <c r="D37" s="44" t="n"/>
      <c r="E37" s="44" t="n"/>
      <c r="H37" s="44" t="n"/>
      <c r="I37" s="44" t="n"/>
      <c r="J37" s="44" t="n"/>
      <c r="K37" s="44" t="n"/>
    </row>
    <row r="38" ht="19.5" customHeight="1" s="33">
      <c r="A38" s="41" t="n">
        <v>35</v>
      </c>
      <c r="B38" s="42" t="n"/>
      <c r="C38" s="42" t="n"/>
      <c r="D38" s="42" t="n"/>
      <c r="E38" s="42" t="n"/>
      <c r="H38" s="42" t="n"/>
      <c r="I38" s="42" t="n"/>
      <c r="J38" s="42" t="n"/>
      <c r="K38" s="42" t="n"/>
    </row>
    <row r="39" ht="19.5" customHeight="1" s="33">
      <c r="A39" s="43" t="n">
        <v>36</v>
      </c>
      <c r="B39" s="44" t="n"/>
      <c r="C39" s="44" t="n"/>
      <c r="D39" s="44" t="n"/>
      <c r="E39" s="44" t="n"/>
      <c r="H39" s="44" t="n"/>
      <c r="I39" s="44" t="n"/>
      <c r="J39" s="44" t="n"/>
      <c r="K39" s="44" t="n"/>
    </row>
    <row r="40" ht="19.5" customHeight="1" s="33">
      <c r="A40" s="41" t="n">
        <v>37</v>
      </c>
      <c r="B40" s="42" t="n"/>
      <c r="C40" s="42" t="n"/>
      <c r="D40" s="42" t="n"/>
      <c r="E40" s="42" t="n"/>
      <c r="H40" s="42" t="n"/>
      <c r="I40" s="42" t="n"/>
      <c r="J40" s="42" t="n"/>
      <c r="K40" s="42" t="n"/>
    </row>
    <row r="41" ht="19.5" customHeight="1" s="33">
      <c r="A41" s="43" t="n">
        <v>38</v>
      </c>
      <c r="B41" s="44" t="n"/>
      <c r="C41" s="44" t="n"/>
      <c r="D41" s="44" t="n"/>
      <c r="E41" s="44" t="n"/>
      <c r="H41" s="44" t="n"/>
      <c r="I41" s="44" t="n"/>
      <c r="J41" s="44" t="n"/>
      <c r="K41" s="44" t="n"/>
    </row>
    <row r="42" ht="19.5" customHeight="1" s="33">
      <c r="A42" s="41" t="n">
        <v>39</v>
      </c>
      <c r="B42" s="42" t="n"/>
      <c r="C42" s="42" t="n"/>
      <c r="D42" s="42" t="n"/>
      <c r="E42" s="42" t="n"/>
      <c r="H42" s="42" t="n"/>
      <c r="I42" s="42" t="n"/>
      <c r="J42" s="42" t="n"/>
      <c r="K42" s="42" t="n"/>
    </row>
    <row r="43" ht="19.5" customHeight="1" s="33">
      <c r="A43" s="43" t="n">
        <v>40</v>
      </c>
      <c r="B43" s="44" t="n"/>
      <c r="C43" s="44" t="n"/>
      <c r="D43" s="44" t="n"/>
      <c r="E43" s="44" t="n"/>
      <c r="H43" s="44" t="n"/>
      <c r="I43" s="44" t="n"/>
      <c r="J43" s="44" t="n"/>
      <c r="K43" s="44" t="n"/>
    </row>
    <row r="44" ht="15" customHeight="1" s="33">
      <c r="A44" s="45" t="inlineStr">
        <is>
          <t>타교회  합  계</t>
        </is>
      </c>
      <c r="B44" s="35" t="n"/>
      <c r="C44" s="35" t="n"/>
      <c r="D44" s="35" t="n"/>
      <c r="E44" s="35" t="n"/>
      <c r="G44" s="45" t="inlineStr">
        <is>
          <t>타교회  합  계</t>
        </is>
      </c>
      <c r="H44" s="35" t="n"/>
      <c r="I44" s="35" t="n"/>
      <c r="J44" s="35" t="n"/>
      <c r="K44" s="35" t="n"/>
    </row>
    <row r="45" ht="23.85" customHeight="1" s="33">
      <c r="A45" s="47" t="inlineStr">
        <is>
          <t>대중교통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</row>
    <row r="46" ht="15" customHeight="1" s="33">
      <c r="A46" s="64" t="inlineStr">
        <is>
          <t>상행</t>
        </is>
      </c>
      <c r="B46" s="35" t="n"/>
      <c r="C46" s="35" t="n"/>
      <c r="D46" s="35" t="n"/>
      <c r="E46" s="35" t="n"/>
      <c r="G46" s="64" t="inlineStr">
        <is>
          <t>하행</t>
        </is>
      </c>
      <c r="H46" s="35" t="n"/>
      <c r="I46" s="35" t="n"/>
      <c r="J46" s="35" t="n"/>
      <c r="K46" s="35" t="n"/>
    </row>
    <row r="47" ht="15" customHeight="1" s="33">
      <c r="A47" s="48" t="inlineStr">
        <is>
          <t>NO</t>
        </is>
      </c>
      <c r="B47" s="49" t="inlineStr">
        <is>
          <t>구역</t>
        </is>
      </c>
      <c r="C47" s="49" t="inlineStr">
        <is>
          <t>부서</t>
        </is>
      </c>
      <c r="D47" s="49" t="inlineStr">
        <is>
          <t>성 명</t>
        </is>
      </c>
      <c r="E47" s="49" t="inlineStr">
        <is>
          <t>비고</t>
        </is>
      </c>
      <c r="G47" s="48" t="inlineStr">
        <is>
          <t>NO</t>
        </is>
      </c>
      <c r="H47" s="49" t="inlineStr">
        <is>
          <t>구역</t>
        </is>
      </c>
      <c r="I47" s="49" t="inlineStr">
        <is>
          <t>부서</t>
        </is>
      </c>
      <c r="J47" s="49" t="inlineStr">
        <is>
          <t>성 명</t>
        </is>
      </c>
      <c r="K47" s="49" t="inlineStr">
        <is>
          <t>비고</t>
        </is>
      </c>
    </row>
    <row r="48" ht="19.5" customHeight="1" s="33">
      <c r="A48" s="41" t="n">
        <v>1</v>
      </c>
      <c r="B48" s="42" t="n"/>
      <c r="C48" s="42" t="n"/>
      <c r="D48" s="42" t="n"/>
      <c r="E48" s="42" t="n"/>
      <c r="H48" s="42" t="n"/>
      <c r="I48" s="42" t="n"/>
      <c r="J48" s="42" t="n"/>
      <c r="K48" s="42" t="n"/>
    </row>
    <row r="49" ht="19.5" customHeight="1" s="33">
      <c r="A49" s="43" t="n">
        <v>2</v>
      </c>
      <c r="B49" s="44" t="n"/>
      <c r="C49" s="44" t="n"/>
      <c r="D49" s="44" t="n"/>
      <c r="E49" s="44" t="n"/>
      <c r="H49" s="44" t="n"/>
      <c r="I49" s="44" t="n"/>
      <c r="J49" s="44" t="n"/>
      <c r="K49" s="44" t="n"/>
    </row>
    <row r="50" ht="19.5" customHeight="1" s="33">
      <c r="A50" s="41" t="n">
        <v>3</v>
      </c>
      <c r="B50" s="42" t="n"/>
      <c r="C50" s="42" t="n"/>
      <c r="D50" s="42" t="n"/>
      <c r="E50" s="42" t="n"/>
      <c r="H50" s="42" t="n"/>
      <c r="I50" s="42" t="n"/>
      <c r="J50" s="42" t="n"/>
      <c r="K50" s="42" t="n"/>
    </row>
    <row r="51" ht="19.5" customHeight="1" s="33">
      <c r="A51" s="43" t="n">
        <v>4</v>
      </c>
      <c r="B51" s="44" t="n"/>
      <c r="C51" s="44" t="n"/>
      <c r="D51" s="44" t="n"/>
      <c r="E51" s="44" t="n"/>
      <c r="H51" s="44" t="n"/>
      <c r="I51" s="44" t="n"/>
      <c r="J51" s="44" t="n"/>
      <c r="K51" s="44" t="n"/>
    </row>
    <row r="52" ht="19.5" customHeight="1" s="33">
      <c r="A52" s="41" t="n">
        <v>5</v>
      </c>
      <c r="B52" s="42" t="n"/>
      <c r="C52" s="42" t="n"/>
      <c r="D52" s="42" t="n"/>
      <c r="E52" s="42" t="n"/>
      <c r="H52" s="42" t="n"/>
      <c r="I52" s="42" t="n"/>
      <c r="J52" s="42" t="n"/>
      <c r="K52" s="42" t="n"/>
    </row>
    <row r="53" ht="19.5" customHeight="1" s="33">
      <c r="A53" s="43" t="n">
        <v>6</v>
      </c>
      <c r="B53" s="44" t="n"/>
      <c r="C53" s="44" t="n"/>
      <c r="D53" s="44" t="n"/>
      <c r="E53" s="44" t="n"/>
      <c r="H53" s="44" t="n"/>
      <c r="I53" s="44" t="n"/>
      <c r="J53" s="44" t="n"/>
      <c r="K53" s="44" t="n"/>
    </row>
    <row r="54" ht="19.5" customHeight="1" s="33">
      <c r="A54" s="41" t="n">
        <v>7</v>
      </c>
      <c r="B54" s="42" t="n"/>
      <c r="C54" s="42" t="n"/>
      <c r="D54" s="42" t="n"/>
      <c r="E54" s="42" t="n"/>
      <c r="H54" s="42" t="n"/>
      <c r="I54" s="42" t="n"/>
      <c r="J54" s="42" t="n"/>
      <c r="K54" s="42" t="n"/>
    </row>
    <row r="55" ht="19.5" customHeight="1" s="33">
      <c r="A55" s="43" t="n">
        <v>8</v>
      </c>
      <c r="B55" s="44" t="n"/>
      <c r="C55" s="44" t="n"/>
      <c r="D55" s="44" t="n"/>
      <c r="E55" s="44" t="n"/>
      <c r="H55" s="44" t="n"/>
      <c r="I55" s="44" t="n"/>
      <c r="J55" s="44" t="n"/>
      <c r="K55" s="44" t="n"/>
    </row>
    <row r="56" ht="19.5" customHeight="1" s="33">
      <c r="A56" s="41" t="n">
        <v>9</v>
      </c>
      <c r="B56" s="42" t="n"/>
      <c r="C56" s="42" t="n"/>
      <c r="D56" s="42" t="n"/>
      <c r="E56" s="42" t="n"/>
      <c r="H56" s="42" t="n"/>
      <c r="I56" s="42" t="n"/>
      <c r="J56" s="42" t="n"/>
      <c r="K56" s="42" t="n"/>
    </row>
    <row r="57" ht="19.5" customHeight="1" s="33">
      <c r="A57" s="43" t="n">
        <v>10</v>
      </c>
      <c r="B57" s="44" t="n"/>
      <c r="C57" s="44" t="n"/>
      <c r="D57" s="44" t="n"/>
      <c r="E57" s="44" t="n"/>
      <c r="H57" s="44" t="n"/>
      <c r="I57" s="44" t="n"/>
      <c r="J57" s="44" t="n"/>
      <c r="K57" s="44" t="n"/>
    </row>
    <row r="58" ht="19.5" customHeight="1" s="33">
      <c r="A58" s="41" t="n">
        <v>11</v>
      </c>
      <c r="B58" s="42" t="n"/>
      <c r="C58" s="42" t="n"/>
      <c r="D58" s="42" t="n"/>
      <c r="E58" s="42" t="n"/>
      <c r="H58" s="42" t="n"/>
      <c r="I58" s="42" t="n"/>
      <c r="J58" s="42" t="n"/>
      <c r="K58" s="42" t="n"/>
    </row>
    <row r="59" ht="19.5" customHeight="1" s="33">
      <c r="A59" s="43" t="n">
        <v>12</v>
      </c>
      <c r="B59" s="44" t="n"/>
      <c r="C59" s="44" t="n"/>
      <c r="D59" s="44" t="n"/>
      <c r="E59" s="44" t="n"/>
      <c r="H59" s="44" t="n"/>
      <c r="I59" s="44" t="n"/>
      <c r="J59" s="44" t="n"/>
      <c r="K59" s="44" t="n"/>
    </row>
    <row r="60" ht="19.5" customHeight="1" s="33">
      <c r="A60" s="41" t="n">
        <v>13</v>
      </c>
      <c r="B60" s="42" t="n"/>
      <c r="C60" s="42" t="n"/>
      <c r="D60" s="42" t="n"/>
      <c r="E60" s="42" t="n"/>
      <c r="H60" s="42" t="n"/>
      <c r="I60" s="42" t="n"/>
      <c r="J60" s="42" t="n"/>
      <c r="K60" s="42" t="n"/>
    </row>
    <row r="61" ht="19.5" customHeight="1" s="33">
      <c r="A61" s="43" t="n">
        <v>14</v>
      </c>
      <c r="B61" s="44" t="n"/>
      <c r="C61" s="44" t="n"/>
      <c r="D61" s="44" t="n"/>
      <c r="E61" s="44" t="n"/>
      <c r="H61" s="44" t="n"/>
      <c r="I61" s="44" t="n"/>
      <c r="J61" s="44" t="n"/>
      <c r="K61" s="44" t="n"/>
    </row>
    <row r="62" ht="19.5" customHeight="1" s="33">
      <c r="A62" s="41" t="n">
        <v>15</v>
      </c>
      <c r="B62" s="42" t="n"/>
      <c r="C62" s="42" t="n"/>
      <c r="D62" s="42" t="n"/>
      <c r="E62" s="42" t="n"/>
      <c r="H62" s="42" t="n"/>
      <c r="I62" s="42" t="n"/>
      <c r="J62" s="42" t="n"/>
      <c r="K62" s="42" t="n"/>
    </row>
    <row r="63" ht="19.5" customHeight="1" s="33">
      <c r="A63" s="43" t="n">
        <v>16</v>
      </c>
      <c r="B63" s="44" t="n"/>
      <c r="C63" s="44" t="n"/>
      <c r="D63" s="44" t="n"/>
      <c r="E63" s="44" t="n"/>
      <c r="H63" s="44" t="n"/>
      <c r="I63" s="44" t="n"/>
      <c r="J63" s="44" t="n"/>
      <c r="K63" s="44" t="n"/>
    </row>
    <row r="64" ht="19.5" customHeight="1" s="33">
      <c r="A64" s="41" t="n">
        <v>17</v>
      </c>
      <c r="B64" s="42" t="n"/>
      <c r="C64" s="42" t="n"/>
      <c r="D64" s="42" t="n"/>
      <c r="E64" s="42" t="n"/>
      <c r="H64" s="42" t="n"/>
      <c r="I64" s="42" t="n"/>
      <c r="J64" s="42" t="n"/>
      <c r="K64" s="42" t="n"/>
    </row>
    <row r="65" ht="19.5" customHeight="1" s="33">
      <c r="A65" s="43" t="n">
        <v>18</v>
      </c>
      <c r="B65" s="44" t="n"/>
      <c r="C65" s="44" t="n"/>
      <c r="D65" s="44" t="n"/>
      <c r="E65" s="44" t="n"/>
      <c r="H65" s="44" t="n"/>
      <c r="I65" s="44" t="n"/>
      <c r="J65" s="44" t="n"/>
      <c r="K65" s="44" t="n"/>
    </row>
    <row r="66" ht="19.5" customHeight="1" s="33">
      <c r="A66" s="41" t="n">
        <v>19</v>
      </c>
      <c r="B66" s="42" t="n"/>
      <c r="C66" s="42" t="n"/>
      <c r="D66" s="42" t="n"/>
      <c r="E66" s="42" t="n"/>
      <c r="H66" s="42" t="n"/>
      <c r="I66" s="42" t="n"/>
      <c r="J66" s="42" t="n"/>
      <c r="K66" s="42" t="n"/>
    </row>
    <row r="67" ht="19.5" customHeight="1" s="33">
      <c r="A67" s="43" t="n">
        <v>20</v>
      </c>
      <c r="B67" s="44" t="n"/>
      <c r="C67" s="44" t="n"/>
      <c r="D67" s="44" t="n"/>
      <c r="E67" s="44" t="n"/>
      <c r="H67" s="44" t="n"/>
      <c r="I67" s="44" t="n"/>
      <c r="J67" s="44" t="n"/>
      <c r="K67" s="44" t="n"/>
    </row>
    <row r="68" ht="19.5" customHeight="1" s="33">
      <c r="A68" s="41" t="n">
        <v>21</v>
      </c>
      <c r="B68" s="42" t="n"/>
      <c r="C68" s="42" t="n"/>
      <c r="D68" s="42" t="n"/>
      <c r="E68" s="42" t="n"/>
      <c r="H68" s="42" t="n"/>
      <c r="I68" s="42" t="n"/>
      <c r="J68" s="42" t="n"/>
      <c r="K68" s="42" t="n"/>
    </row>
    <row r="69" ht="19.5" customHeight="1" s="33">
      <c r="A69" s="43" t="n">
        <v>22</v>
      </c>
      <c r="B69" s="44" t="n"/>
      <c r="C69" s="44" t="n"/>
      <c r="D69" s="44" t="n"/>
      <c r="E69" s="44" t="n"/>
      <c r="H69" s="44" t="n"/>
      <c r="I69" s="44" t="n"/>
      <c r="J69" s="44" t="n"/>
      <c r="K69" s="44" t="n"/>
    </row>
    <row r="70" ht="19.5" customHeight="1" s="33">
      <c r="A70" s="41" t="n">
        <v>23</v>
      </c>
      <c r="B70" s="42" t="n"/>
      <c r="C70" s="42" t="n"/>
      <c r="D70" s="42" t="n"/>
      <c r="E70" s="42" t="n"/>
      <c r="H70" s="42" t="n"/>
      <c r="I70" s="42" t="n"/>
      <c r="J70" s="42" t="n"/>
      <c r="K70" s="42" t="n"/>
    </row>
    <row r="71" ht="19.5" customHeight="1" s="33">
      <c r="A71" s="43" t="n">
        <v>24</v>
      </c>
      <c r="B71" s="44" t="n"/>
      <c r="C71" s="44" t="n"/>
      <c r="D71" s="44" t="n"/>
      <c r="E71" s="44" t="n"/>
      <c r="H71" s="44" t="n"/>
      <c r="I71" s="44" t="n"/>
      <c r="J71" s="44" t="n"/>
      <c r="K71" s="44" t="n"/>
    </row>
    <row r="72" ht="19.5" customHeight="1" s="33">
      <c r="A72" s="41" t="n">
        <v>25</v>
      </c>
      <c r="B72" s="42" t="n"/>
      <c r="C72" s="42" t="n"/>
      <c r="D72" s="42" t="n"/>
      <c r="E72" s="42" t="n"/>
      <c r="H72" s="42" t="n"/>
      <c r="I72" s="42" t="n"/>
      <c r="J72" s="42" t="n"/>
      <c r="K72" s="42" t="n"/>
    </row>
    <row r="73" ht="19.5" customHeight="1" s="33">
      <c r="A73" s="43" t="n">
        <v>26</v>
      </c>
      <c r="B73" s="44" t="n"/>
      <c r="C73" s="44" t="n"/>
      <c r="D73" s="44" t="n"/>
      <c r="E73" s="44" t="n"/>
      <c r="H73" s="44" t="n"/>
      <c r="I73" s="44" t="n"/>
      <c r="J73" s="44" t="n"/>
      <c r="K73" s="44" t="n"/>
    </row>
    <row r="74" ht="19.5" customHeight="1" s="33">
      <c r="A74" s="41" t="n">
        <v>27</v>
      </c>
      <c r="B74" s="42" t="n"/>
      <c r="C74" s="42" t="n"/>
      <c r="D74" s="42" t="n"/>
      <c r="E74" s="42" t="n"/>
      <c r="H74" s="42" t="n"/>
      <c r="I74" s="42" t="n"/>
      <c r="J74" s="42" t="n"/>
      <c r="K74" s="42" t="n"/>
    </row>
    <row r="75" ht="19.5" customHeight="1" s="33">
      <c r="A75" s="43" t="n">
        <v>28</v>
      </c>
      <c r="B75" s="44" t="n"/>
      <c r="C75" s="44" t="n"/>
      <c r="D75" s="44" t="n"/>
      <c r="E75" s="44" t="n"/>
      <c r="H75" s="44" t="n"/>
      <c r="I75" s="44" t="n"/>
      <c r="J75" s="44" t="n"/>
      <c r="K75" s="44" t="n"/>
    </row>
    <row r="76" ht="19.5" customHeight="1" s="33">
      <c r="A76" s="41" t="n">
        <v>29</v>
      </c>
      <c r="B76" s="42" t="n"/>
      <c r="C76" s="42" t="n"/>
      <c r="D76" s="42" t="n"/>
      <c r="E76" s="42" t="n"/>
      <c r="H76" s="42" t="n"/>
      <c r="I76" s="42" t="n"/>
      <c r="J76" s="42" t="n"/>
      <c r="K76" s="42" t="n"/>
    </row>
    <row r="77" ht="19.5" customHeight="1" s="33">
      <c r="A77" s="43" t="n">
        <v>30</v>
      </c>
      <c r="B77" s="44" t="n"/>
      <c r="C77" s="44" t="n"/>
      <c r="D77" s="44" t="n"/>
      <c r="E77" s="44" t="n"/>
      <c r="H77" s="44" t="n"/>
      <c r="I77" s="44" t="n"/>
      <c r="J77" s="44" t="n"/>
      <c r="K77" s="44" t="n"/>
    </row>
    <row r="78" ht="19.5" customHeight="1" s="33">
      <c r="A78" s="41" t="n">
        <v>31</v>
      </c>
      <c r="B78" s="42" t="n"/>
      <c r="C78" s="42" t="n"/>
      <c r="D78" s="42" t="n"/>
      <c r="E78" s="42" t="n"/>
      <c r="H78" s="42" t="n"/>
      <c r="I78" s="42" t="n"/>
      <c r="J78" s="42" t="n"/>
      <c r="K78" s="42" t="n"/>
    </row>
    <row r="79" ht="19.5" customHeight="1" s="33">
      <c r="A79" s="43" t="n">
        <v>32</v>
      </c>
      <c r="B79" s="44" t="n"/>
      <c r="C79" s="44" t="n"/>
      <c r="D79" s="44" t="n"/>
      <c r="E79" s="44" t="n"/>
      <c r="H79" s="44" t="n"/>
      <c r="I79" s="44" t="n"/>
      <c r="J79" s="44" t="n"/>
      <c r="K79" s="44" t="n"/>
    </row>
    <row r="80" ht="19.5" customHeight="1" s="33">
      <c r="A80" s="41" t="n">
        <v>33</v>
      </c>
      <c r="B80" s="42" t="n"/>
      <c r="C80" s="42" t="n"/>
      <c r="D80" s="42" t="n"/>
      <c r="E80" s="42" t="n"/>
      <c r="H80" s="42" t="n"/>
      <c r="I80" s="42" t="n"/>
      <c r="J80" s="42" t="n"/>
      <c r="K80" s="42" t="n"/>
    </row>
    <row r="81" ht="19.5" customHeight="1" s="33">
      <c r="A81" s="43" t="n">
        <v>34</v>
      </c>
      <c r="B81" s="44" t="n"/>
      <c r="C81" s="44" t="n"/>
      <c r="D81" s="44" t="n"/>
      <c r="E81" s="44" t="n"/>
      <c r="H81" s="44" t="n"/>
      <c r="I81" s="44" t="n"/>
      <c r="J81" s="44" t="n"/>
      <c r="K81" s="44" t="n"/>
    </row>
    <row r="82" ht="19.5" customHeight="1" s="33">
      <c r="A82" s="41" t="n">
        <v>35</v>
      </c>
      <c r="B82" s="42" t="n"/>
      <c r="C82" s="42" t="n"/>
      <c r="D82" s="42" t="n"/>
      <c r="E82" s="42" t="n"/>
      <c r="H82" s="42" t="n"/>
      <c r="I82" s="42" t="n"/>
      <c r="J82" s="42" t="n"/>
      <c r="K82" s="42" t="n"/>
    </row>
    <row r="83" ht="19.5" customHeight="1" s="33">
      <c r="A83" s="43" t="n">
        <v>36</v>
      </c>
      <c r="B83" s="44" t="n"/>
      <c r="C83" s="44" t="n"/>
      <c r="D83" s="44" t="n"/>
      <c r="E83" s="44" t="n"/>
      <c r="H83" s="44" t="n"/>
      <c r="I83" s="44" t="n"/>
      <c r="J83" s="44" t="n"/>
      <c r="K83" s="44" t="n"/>
    </row>
    <row r="84" ht="19.5" customHeight="1" s="33">
      <c r="A84" s="41" t="n">
        <v>37</v>
      </c>
      <c r="B84" s="42" t="n"/>
      <c r="C84" s="42" t="n"/>
      <c r="D84" s="42" t="n"/>
      <c r="E84" s="42" t="n"/>
      <c r="H84" s="42" t="n"/>
      <c r="I84" s="42" t="n"/>
      <c r="J84" s="42" t="n"/>
      <c r="K84" s="42" t="n"/>
    </row>
    <row r="85" ht="19.5" customHeight="1" s="33">
      <c r="A85" s="43" t="n">
        <v>38</v>
      </c>
      <c r="B85" s="44" t="n"/>
      <c r="C85" s="44" t="n"/>
      <c r="D85" s="44" t="n"/>
      <c r="E85" s="44" t="n"/>
      <c r="H85" s="44" t="n"/>
      <c r="I85" s="44" t="n"/>
      <c r="J85" s="44" t="n"/>
      <c r="K85" s="44" t="n"/>
    </row>
    <row r="86" ht="19.5" customHeight="1" s="33">
      <c r="A86" s="41" t="n">
        <v>39</v>
      </c>
      <c r="B86" s="42" t="n"/>
      <c r="C86" s="42" t="n"/>
      <c r="D86" s="42" t="n"/>
      <c r="E86" s="42" t="n"/>
      <c r="H86" s="42" t="n"/>
      <c r="I86" s="42" t="n"/>
      <c r="J86" s="42" t="n"/>
      <c r="K86" s="42" t="n"/>
    </row>
    <row r="87" ht="19.5" customHeight="1" s="33">
      <c r="A87" s="43" t="n">
        <v>40</v>
      </c>
      <c r="B87" s="44" t="n"/>
      <c r="C87" s="44" t="n"/>
      <c r="D87" s="44" t="n"/>
      <c r="E87" s="44" t="n"/>
      <c r="H87" s="44" t="n"/>
      <c r="I87" s="44" t="n"/>
      <c r="J87" s="44" t="n"/>
      <c r="K87" s="44" t="n"/>
    </row>
    <row r="88" ht="15" customHeight="1" s="33">
      <c r="A88" s="45" t="inlineStr">
        <is>
          <t>대중교통  합  계</t>
        </is>
      </c>
      <c r="B88" s="35" t="n"/>
      <c r="C88" s="35" t="n"/>
      <c r="D88" s="35" t="n"/>
      <c r="E88" s="35" t="n"/>
      <c r="G88" s="45" t="inlineStr">
        <is>
          <t>대중교통  합  계</t>
        </is>
      </c>
      <c r="H88" s="35" t="n"/>
      <c r="I88" s="35" t="n"/>
      <c r="J88" s="35" t="n"/>
      <c r="K88" s="35" t="n"/>
    </row>
  </sheetData>
  <mergeCells count="10">
    <mergeCell ref="A2:E2"/>
    <mergeCell ref="G2:K2"/>
    <mergeCell ref="A1:K1"/>
    <mergeCell ref="G44:K44"/>
    <mergeCell ref="A46:E46"/>
    <mergeCell ref="A44:E44"/>
    <mergeCell ref="G46:K46"/>
    <mergeCell ref="A88:E88"/>
    <mergeCell ref="A45:K45"/>
    <mergeCell ref="G88:K8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2026-05-27T16:23:15Z</dcterms:created>
  <dcterms:modified xmlns:dcterms="http://purl.org/dc/terms/" xmlns:xsi="http://www.w3.org/2001/XMLSchema-instance" xsi:type="dcterms:W3CDTF">2026-06-01T10:25:03Z</dcterms:modified>
  <cp:revision>0</cp:revision>
</cp:coreProperties>
</file>