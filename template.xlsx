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1구역" sheetId="1" state="visible" r:id="rId1"/>
    <sheet xmlns:r="http://schemas.openxmlformats.org/officeDocument/2006/relationships" name="12구역" sheetId="2" state="visible" r:id="rId2"/>
    <sheet xmlns:r="http://schemas.openxmlformats.org/officeDocument/2006/relationships" name="13구역" sheetId="3" state="visible" r:id="rId3"/>
    <sheet xmlns:r="http://schemas.openxmlformats.org/officeDocument/2006/relationships" name="14구역" sheetId="4" state="visible" r:id="rId4"/>
    <sheet xmlns:r="http://schemas.openxmlformats.org/officeDocument/2006/relationships" name="21구역" sheetId="5" state="visible" r:id="rId5"/>
    <sheet xmlns:r="http://schemas.openxmlformats.org/officeDocument/2006/relationships" name="22구역" sheetId="6" state="visible" r:id="rId6"/>
    <sheet xmlns:r="http://schemas.openxmlformats.org/officeDocument/2006/relationships" name="23구역" sheetId="7" state="visible" r:id="rId7"/>
    <sheet xmlns:r="http://schemas.openxmlformats.org/officeDocument/2006/relationships" name="24구역" sheetId="8" state="visible" r:id="rId8"/>
    <sheet xmlns:r="http://schemas.openxmlformats.org/officeDocument/2006/relationships" name="31구역" sheetId="9" state="visible" r:id="rId9"/>
    <sheet xmlns:r="http://schemas.openxmlformats.org/officeDocument/2006/relationships" name="32구역" sheetId="10" state="visible" r:id="rId10"/>
    <sheet xmlns:r="http://schemas.openxmlformats.org/officeDocument/2006/relationships" name="33구역" sheetId="11" state="visible" r:id="rId11"/>
    <sheet xmlns:r="http://schemas.openxmlformats.org/officeDocument/2006/relationships" name="34구역" sheetId="12" state="visible" r:id="rId12"/>
    <sheet xmlns:r="http://schemas.openxmlformats.org/officeDocument/2006/relationships" name="전도대상자" sheetId="13" state="visible" r:id="rId13"/>
    <sheet xmlns:r="http://schemas.openxmlformats.org/officeDocument/2006/relationships" name="전도현황" sheetId="14" state="visible" r:id="rId14"/>
    <sheet xmlns:r="http://schemas.openxmlformats.org/officeDocument/2006/relationships" name="회비지원" sheetId="15" state="visible" r:id="rId15"/>
    <sheet xmlns:r="http://schemas.openxmlformats.org/officeDocument/2006/relationships" name="통계" sheetId="16" state="visible" r:id="rId16"/>
    <sheet xmlns:r="http://schemas.openxmlformats.org/officeDocument/2006/relationships" name="1호차" sheetId="17" state="visible" r:id="rId17"/>
    <sheet xmlns:r="http://schemas.openxmlformats.org/officeDocument/2006/relationships" name="2호차" sheetId="18" state="visible" r:id="rId18"/>
    <sheet xmlns:r="http://schemas.openxmlformats.org/officeDocument/2006/relationships" name="3호차" sheetId="19" state="visible" r:id="rId19"/>
    <sheet xmlns:r="http://schemas.openxmlformats.org/officeDocument/2006/relationships" name="4호차" sheetId="20" state="visible" r:id="rId20"/>
    <sheet xmlns:r="http://schemas.openxmlformats.org/officeDocument/2006/relationships" name="5호차" sheetId="21" state="visible" r:id="rId21"/>
    <sheet xmlns:r="http://schemas.openxmlformats.org/officeDocument/2006/relationships" name="6호차" sheetId="22" state="visible" r:id="rId22"/>
    <sheet xmlns:r="http://schemas.openxmlformats.org/officeDocument/2006/relationships" name="7호차" sheetId="23" state="visible" r:id="rId23"/>
    <sheet xmlns:r="http://schemas.openxmlformats.org/officeDocument/2006/relationships" name="교회차" sheetId="24" state="visible" r:id="rId24"/>
    <sheet xmlns:r="http://schemas.openxmlformats.org/officeDocument/2006/relationships" name="개인차" sheetId="25" state="visible" r:id="rId25"/>
    <sheet xmlns:r="http://schemas.openxmlformats.org/officeDocument/2006/relationships" name="타교회_대중교통" sheetId="26" state="visible" r:id="rId26"/>
    <sheet xmlns:r="http://schemas.openxmlformats.org/officeDocument/2006/relationships" name="시트1" sheetId="27" state="visible" r:id="rId27"/>
    <sheet xmlns:r="http://schemas.openxmlformats.org/officeDocument/2006/relationships" name="통합" sheetId="28" state="visible" r:id="rId2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algun Gothic"/>
      <charset val="1"/>
      <family val="0"/>
      <b val="1"/>
      <color rgb="FFFFFFFF"/>
      <sz val="16"/>
    </font>
    <font>
      <name val="Noto Sans CJK SC"/>
      <family val="2"/>
      <b val="1"/>
      <color rgb="FFFFFFFF"/>
      <sz val="16"/>
    </font>
    <font>
      <name val="Malgun Gothic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Noto Sans CJK SC"/>
      <family val="2"/>
      <b val="1"/>
      <color rgb="FF2C3E50"/>
      <sz val="9"/>
    </font>
    <font>
      <name val="Malgun Gothic"/>
      <charset val="1"/>
      <family val="0"/>
      <color rgb="FF7F8C8D"/>
      <sz val="8"/>
    </font>
    <font>
      <name val="Malgun Gothic"/>
      <charset val="1"/>
      <family val="0"/>
      <color rgb="FF000000"/>
      <sz val="10"/>
    </font>
    <font>
      <name val="Noto Sans CJK SC"/>
      <family val="2"/>
      <b val="1"/>
      <color rgb="FF000000"/>
      <sz val="10"/>
    </font>
    <font>
      <name val="Malgun Gothic"/>
      <charset val="1"/>
      <family val="0"/>
      <b val="1"/>
      <color rgb="FF000000"/>
      <sz val="10"/>
    </font>
    <font>
      <name val="Noto Sans CJK SC"/>
      <family val="2"/>
      <b val="1"/>
      <color rgb="FF2C3E50"/>
      <sz val="16"/>
    </font>
    <font>
      <name val="Malgun Gothic"/>
      <charset val="1"/>
      <family val="0"/>
      <b val="1"/>
      <color rgb="FF2C3E50"/>
      <sz val="9"/>
    </font>
    <font>
      <name val="Noto Sans CJK SC"/>
      <family val="2"/>
      <sz val="11"/>
    </font>
    <font>
      <name val="Malgun Gothic"/>
      <charset val="1"/>
      <family val="0"/>
      <sz val="11"/>
    </font>
    <font>
      <name val="Noto Sans CJK SC"/>
      <family val="2"/>
      <b val="1"/>
      <color rgb="FF1B3A5C"/>
      <sz val="9"/>
    </font>
    <font>
      <name val="Malgun Gothic"/>
      <charset val="1"/>
      <family val="0"/>
      <b val="1"/>
      <color rgb="FF1B3A5C"/>
      <sz val="9"/>
    </font>
    <font>
      <name val="Noto Sans CJK SC"/>
      <family val="2"/>
      <color rgb="FF000000"/>
      <sz val="10"/>
    </font>
    <font>
      <name val="Noto Sans CJK SC"/>
      <family val="2"/>
      <b val="1"/>
      <color rgb="FFFFFFFF"/>
      <sz val="12"/>
    </font>
    <font>
      <name val="Noto Sans CJK SC"/>
      <family val="2"/>
      <i val="1"/>
      <color rgb="FF7F8C8D"/>
      <sz val="11"/>
    </font>
    <font>
      <name val="Malgun Gothic"/>
      <charset val="1"/>
      <family val="0"/>
      <sz val="10"/>
    </font>
  </fonts>
  <fills count="9">
    <fill>
      <patternFill/>
    </fill>
    <fill>
      <patternFill patternType="gray125"/>
    </fill>
    <fill>
      <patternFill patternType="solid">
        <fgColor rgb="FF1B3A5C"/>
        <bgColor rgb="FF2C3E50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DF2F9"/>
      </patternFill>
    </fill>
    <fill>
      <patternFill patternType="solid">
        <fgColor rgb="FFEDF2F9"/>
        <bgColor rgb="FFFFF8E1"/>
      </patternFill>
    </fill>
    <fill>
      <patternFill patternType="solid">
        <fgColor rgb="FFFFFFFF"/>
        <bgColor rgb="FFFFF8E1"/>
      </patternFill>
    </fill>
    <fill>
      <patternFill patternType="solid">
        <fgColor rgb="FFFFF8E1"/>
        <bgColor rgb="FFFFFFFF"/>
      </patternFill>
    </fill>
    <fill>
      <patternFill patternType="solid">
        <fgColor rgb="FFF2C94C"/>
        <bgColor rgb="FFFFCC99"/>
      </patternFill>
    </fill>
  </fills>
  <borders count="10">
    <border>
      <left/>
      <right/>
      <top/>
      <bottom/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/>
      <diagonal/>
    </border>
    <border>
      <left/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3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8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3" fontId="10" fillId="5" borderId="3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3" fontId="16" fillId="0" borderId="0" applyAlignment="1" pivotButton="0" quotePrefix="0" xfId="0">
      <alignment horizontal="center" vertical="center"/>
    </xf>
    <xf numFmtId="3" fontId="10" fillId="6" borderId="3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3" fontId="18" fillId="7" borderId="3" applyAlignment="1" pivotButton="0" quotePrefix="0" xfId="0">
      <alignment horizontal="center" vertical="center" wrapText="1"/>
    </xf>
    <xf numFmtId="0" fontId="18" fillId="7" borderId="3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4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3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8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3" fontId="10" fillId="5" borderId="3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3" fontId="16" fillId="0" borderId="0" applyAlignment="1" pivotButton="0" quotePrefix="0" xfId="0">
      <alignment horizontal="center" vertical="center"/>
    </xf>
    <xf numFmtId="3" fontId="10" fillId="6" borderId="3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3" fontId="18" fillId="7" borderId="3" applyAlignment="1" pivotButton="0" quotePrefix="0" xfId="0">
      <alignment horizontal="center" vertical="center" wrapText="1"/>
    </xf>
    <xf numFmtId="0" fontId="18" fillId="7" borderId="3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center" vertical="center"/>
    </xf>
    <xf numFmtId="0" fontId="0" fillId="0" borderId="9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FF8E1"/>
      <rgbColor rgb="FFEDF2F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2C94C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.5" customWidth="1" style="32" min="1" max="1"/>
    <col width="5" customWidth="1" style="32" min="2" max="2"/>
    <col width="9" customWidth="1" style="32" min="3" max="3"/>
    <col width="8" customWidth="1" style="32" min="4" max="4"/>
    <col width="5.51" customWidth="1" style="32" min="5" max="5"/>
    <col width="7.5" customWidth="1" style="32" min="6" max="6"/>
    <col width="13" customWidth="1" style="32" min="7" max="9"/>
    <col width="6" customWidth="1" style="32" min="10" max="10"/>
    <col width="13" customWidth="1" style="32" min="11" max="11"/>
    <col width="8" customWidth="1" style="32" min="12" max="12"/>
    <col width="6" customWidth="1" style="32" min="13" max="13"/>
    <col width="9" customWidth="1" style="32" min="14" max="14"/>
  </cols>
  <sheetData>
    <row r="1" ht="36" customHeight="1" s="33">
      <c r="A1" s="34" t="inlineStr">
        <is>
          <t>2026년 하계수양회  ─  11구역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교 통 편</t>
        </is>
      </c>
      <c r="G2" s="35" t="n"/>
      <c r="H2" s="35" t="n"/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본대
상행</t>
        </is>
      </c>
      <c r="G3" s="40" t="inlineStr">
        <is>
          <t>본대
하행</t>
        </is>
      </c>
      <c r="H3" s="40" t="inlineStr">
        <is>
          <t>기타
상행</t>
        </is>
      </c>
      <c r="I3" s="40" t="inlineStr">
        <is>
          <t>기타
하행</t>
        </is>
      </c>
      <c r="J3" s="40" t="inlineStr">
        <is>
          <t>개인차 상행</t>
        </is>
      </c>
      <c r="K3" s="40" t="inlineStr">
        <is>
          <t>개인차 하행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>
        <v>1</v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>
        <v>2</v>
      </c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>
        <v>3</v>
      </c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>
        <v>4</v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>
        <v>5</v>
      </c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>
        <v>6</v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>
        <v>7</v>
      </c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>
        <v>8</v>
      </c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>
        <v>9</v>
      </c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>
        <v>10</v>
      </c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>
        <v>11</v>
      </c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>
        <v>12</v>
      </c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>
        <v>13</v>
      </c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>
        <v>14</v>
      </c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>
        <v>15</v>
      </c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>
        <v>16</v>
      </c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>
        <v>17</v>
      </c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>
        <v>18</v>
      </c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>
        <v>19</v>
      </c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>
        <v>20</v>
      </c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>
        <v>21</v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>
        <v>22</v>
      </c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>
        <v>23</v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>
        <v>24</v>
      </c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>
        <v>25</v>
      </c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>
        <v>26</v>
      </c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>
        <v>27</v>
      </c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>
        <v>28</v>
      </c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>
        <v>29</v>
      </c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>
        <v>30</v>
      </c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>
        <v>31</v>
      </c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>
        <v>32</v>
      </c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>
        <v>33</v>
      </c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>
        <v>34</v>
      </c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>
        <v>35</v>
      </c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>
        <v>36</v>
      </c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>
        <v>37</v>
      </c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>
        <v>38</v>
      </c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>
        <v>39</v>
      </c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>
        <v>40</v>
      </c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5" customHeight="1" s="33">
      <c r="A44" s="45" t="inlineStr">
        <is>
          <t>합  계</t>
        </is>
      </c>
      <c r="B44" s="35" t="n"/>
      <c r="C44" s="35" t="n"/>
      <c r="D44" s="35" t="n"/>
      <c r="E44" s="46">
        <f>IF(COUNTA(E4:E43)=0,"",COUNTA(E4:E43))</f>
        <v/>
      </c>
      <c r="F44" s="46">
        <f>IF(COUNTA(F4:F43)=0,"",COUNTA(F4:F43))</f>
        <v/>
      </c>
      <c r="G44" s="46">
        <f>IF(COUNTA(G4:G43)=0,"",COUNTA(G4:G43))</f>
        <v/>
      </c>
      <c r="H44" s="46">
        <f>IF(COUNTA(H4:H43)=0,"",COUNTA(H4:H43))</f>
        <v/>
      </c>
      <c r="I44" s="46">
        <f>IF(COUNTA(I4:I43)=0,"",COUNTA(I4:I43))</f>
        <v/>
      </c>
      <c r="J44" s="46">
        <f>IF(COUNTA(J4:J43)=0,"",COUNTA(J4:J43))</f>
        <v/>
      </c>
      <c r="K44" s="46">
        <f>IF(COUNTA(K4:K43)=0,"",COUNTA(K4:K43))</f>
        <v/>
      </c>
      <c r="L44" s="46">
        <f>IF(COUNTA(L4:L43)=0,"",COUNTA(L4:L43))</f>
        <v/>
      </c>
      <c r="M44" s="46" t="n"/>
      <c r="N44" s="46" t="n"/>
    </row>
  </sheetData>
  <mergeCells count="10">
    <mergeCell ref="L2:M2"/>
    <mergeCell ref="A1:N1"/>
    <mergeCell ref="C2:C3"/>
    <mergeCell ref="A2:A3"/>
    <mergeCell ref="B2:B3"/>
    <mergeCell ref="N2:N3"/>
    <mergeCell ref="D2:D3"/>
    <mergeCell ref="F2:K2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.5" customWidth="1" style="32" min="1" max="1"/>
    <col width="5" customWidth="1" style="32" min="2" max="2"/>
    <col width="9" customWidth="1" style="32" min="3" max="3"/>
    <col width="8" customWidth="1" style="32" min="4" max="4"/>
    <col width="5.51" customWidth="1" style="32" min="5" max="5"/>
    <col width="7.5" customWidth="1" style="32" min="6" max="6"/>
    <col width="13" customWidth="1" style="32" min="7" max="9"/>
    <col width="6" customWidth="1" style="32" min="10" max="10"/>
    <col width="13" customWidth="1" style="32" min="11" max="11"/>
    <col width="8" customWidth="1" style="32" min="12" max="12"/>
    <col width="6" customWidth="1" style="32" min="13" max="13"/>
    <col width="9" customWidth="1" style="32" min="14" max="14"/>
  </cols>
  <sheetData>
    <row r="1" ht="36" customHeight="1" s="33">
      <c r="A1" s="34" t="inlineStr">
        <is>
          <t>2026년 하계수양회  ─  12구역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교 통 편</t>
        </is>
      </c>
      <c r="G2" s="35" t="n"/>
      <c r="H2" s="35" t="n"/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본대
상행</t>
        </is>
      </c>
      <c r="G3" s="40" t="inlineStr">
        <is>
          <t>본대
하행</t>
        </is>
      </c>
      <c r="H3" s="40" t="inlineStr">
        <is>
          <t>기타
상행</t>
        </is>
      </c>
      <c r="I3" s="40" t="inlineStr">
        <is>
          <t>기타
하행</t>
        </is>
      </c>
      <c r="J3" s="40" t="inlineStr">
        <is>
          <t>개인차 상행</t>
        </is>
      </c>
      <c r="K3" s="40" t="inlineStr">
        <is>
          <t>개인차 하행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>
        <v>1</v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>
        <v>2</v>
      </c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>
        <v>3</v>
      </c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>
        <v>4</v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>
        <v>5</v>
      </c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>
        <v>6</v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>
        <v>7</v>
      </c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>
        <v>8</v>
      </c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>
        <v>9</v>
      </c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>
        <v>10</v>
      </c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>
        <v>11</v>
      </c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>
        <v>12</v>
      </c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>
        <v>13</v>
      </c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>
        <v>14</v>
      </c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>
        <v>15</v>
      </c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>
        <v>16</v>
      </c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>
        <v>17</v>
      </c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>
        <v>18</v>
      </c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>
        <v>19</v>
      </c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>
        <v>20</v>
      </c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>
        <v>21</v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>
        <v>22</v>
      </c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>
        <v>23</v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>
        <v>24</v>
      </c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>
        <v>25</v>
      </c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>
        <v>26</v>
      </c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>
        <v>27</v>
      </c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>
        <v>28</v>
      </c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>
        <v>29</v>
      </c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>
        <v>30</v>
      </c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>
        <v>31</v>
      </c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>
        <v>32</v>
      </c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>
        <v>33</v>
      </c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>
        <v>34</v>
      </c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>
        <v>35</v>
      </c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>
        <v>36</v>
      </c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>
        <v>37</v>
      </c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>
        <v>38</v>
      </c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>
        <v>39</v>
      </c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>
        <v>40</v>
      </c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5" customHeight="1" s="33">
      <c r="A44" s="45" t="inlineStr">
        <is>
          <t>합  계</t>
        </is>
      </c>
      <c r="B44" s="35" t="n"/>
      <c r="C44" s="35" t="n"/>
      <c r="D44" s="35" t="n"/>
      <c r="E44" s="46">
        <f>IF(COUNTA(E4:E43)=0,"",COUNTA(E4:E43))</f>
        <v/>
      </c>
      <c r="F44" s="46">
        <f>IF(COUNTA(F4:F43)=0,"",COUNTA(F4:F43))</f>
        <v/>
      </c>
      <c r="G44" s="46">
        <f>IF(COUNTA(G4:G43)=0,"",COUNTA(G4:G43))</f>
        <v/>
      </c>
      <c r="H44" s="46">
        <f>IF(COUNTA(H4:H43)=0,"",COUNTA(H4:H43))</f>
        <v/>
      </c>
      <c r="I44" s="46">
        <f>IF(COUNTA(I4:I43)=0,"",COUNTA(I4:I43))</f>
        <v/>
      </c>
      <c r="J44" s="46">
        <f>IF(COUNTA(J4:J43)=0,"",COUNTA(J4:J43))</f>
        <v/>
      </c>
      <c r="K44" s="46">
        <f>IF(COUNTA(K4:K43)=0,"",COUNTA(K4:K43))</f>
        <v/>
      </c>
      <c r="L44" s="46">
        <f>IF(COUNTA(L4:L43)=0,"",COUNTA(L4:L43))</f>
        <v/>
      </c>
      <c r="M44" s="46" t="n"/>
      <c r="N44" s="46" t="n"/>
    </row>
  </sheetData>
  <mergeCells count="10">
    <mergeCell ref="L2:M2"/>
    <mergeCell ref="A1:N1"/>
    <mergeCell ref="C2:C3"/>
    <mergeCell ref="A2:A3"/>
    <mergeCell ref="B2:B3"/>
    <mergeCell ref="N2:N3"/>
    <mergeCell ref="D2:D3"/>
    <mergeCell ref="F2:K2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.5" customWidth="1" style="32" min="1" max="1"/>
    <col width="5" customWidth="1" style="32" min="2" max="2"/>
    <col width="9" customWidth="1" style="32" min="3" max="3"/>
    <col width="8" customWidth="1" style="32" min="4" max="4"/>
    <col width="5.51" customWidth="1" style="32" min="5" max="5"/>
    <col width="7.5" customWidth="1" style="32" min="6" max="6"/>
    <col width="13" customWidth="1" style="32" min="7" max="9"/>
    <col width="6" customWidth="1" style="32" min="10" max="10"/>
    <col width="13" customWidth="1" style="32" min="11" max="11"/>
    <col width="8" customWidth="1" style="32" min="12" max="12"/>
    <col width="6" customWidth="1" style="32" min="13" max="13"/>
    <col width="9" customWidth="1" style="32" min="14" max="14"/>
  </cols>
  <sheetData>
    <row r="1" ht="36" customHeight="1" s="33">
      <c r="A1" s="34" t="inlineStr">
        <is>
          <t>2026년 하계수양회  ─  13구역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교 통 편</t>
        </is>
      </c>
      <c r="G2" s="35" t="n"/>
      <c r="H2" s="35" t="n"/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본대
상행</t>
        </is>
      </c>
      <c r="G3" s="40" t="inlineStr">
        <is>
          <t>본대
하행</t>
        </is>
      </c>
      <c r="H3" s="40" t="inlineStr">
        <is>
          <t>기타
상행</t>
        </is>
      </c>
      <c r="I3" s="40" t="inlineStr">
        <is>
          <t>기타
하행</t>
        </is>
      </c>
      <c r="J3" s="40" t="inlineStr">
        <is>
          <t>개인차 상행</t>
        </is>
      </c>
      <c r="K3" s="40" t="inlineStr">
        <is>
          <t>개인차 하행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>
        <v>1</v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>
        <v>2</v>
      </c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>
        <v>3</v>
      </c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>
        <v>4</v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>
        <v>5</v>
      </c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>
        <v>6</v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>
        <v>7</v>
      </c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>
        <v>8</v>
      </c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>
        <v>9</v>
      </c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>
        <v>10</v>
      </c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>
        <v>11</v>
      </c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>
        <v>12</v>
      </c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>
        <v>13</v>
      </c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>
        <v>14</v>
      </c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>
        <v>15</v>
      </c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>
        <v>16</v>
      </c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>
        <v>17</v>
      </c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>
        <v>18</v>
      </c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>
        <v>19</v>
      </c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>
        <v>20</v>
      </c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>
        <v>21</v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>
        <v>22</v>
      </c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>
        <v>23</v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>
        <v>24</v>
      </c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>
        <v>25</v>
      </c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>
        <v>26</v>
      </c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>
        <v>27</v>
      </c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>
        <v>28</v>
      </c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>
        <v>29</v>
      </c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>
        <v>30</v>
      </c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>
        <v>31</v>
      </c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>
        <v>32</v>
      </c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>
        <v>33</v>
      </c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>
        <v>34</v>
      </c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>
        <v>35</v>
      </c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>
        <v>36</v>
      </c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>
        <v>37</v>
      </c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>
        <v>38</v>
      </c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>
        <v>39</v>
      </c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>
        <v>40</v>
      </c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5" customHeight="1" s="33">
      <c r="A44" s="45" t="inlineStr">
        <is>
          <t>합  계</t>
        </is>
      </c>
      <c r="B44" s="35" t="n"/>
      <c r="C44" s="35" t="n"/>
      <c r="D44" s="35" t="n"/>
      <c r="E44" s="46">
        <f>IF(COUNTA(E4:E43)=0,"",COUNTA(E4:E43))</f>
        <v/>
      </c>
      <c r="F44" s="46">
        <f>IF(COUNTA(F4:F43)=0,"",COUNTA(F4:F43))</f>
        <v/>
      </c>
      <c r="G44" s="46">
        <f>IF(COUNTA(G4:G43)=0,"",COUNTA(G4:G43))</f>
        <v/>
      </c>
      <c r="H44" s="46">
        <f>IF(COUNTA(H4:H43)=0,"",COUNTA(H4:H43))</f>
        <v/>
      </c>
      <c r="I44" s="46">
        <f>IF(COUNTA(I4:I43)=0,"",COUNTA(I4:I43))</f>
        <v/>
      </c>
      <c r="J44" s="46">
        <f>IF(COUNTA(J4:J43)=0,"",COUNTA(J4:J43))</f>
        <v/>
      </c>
      <c r="K44" s="46">
        <f>IF(COUNTA(K4:K43)=0,"",COUNTA(K4:K43))</f>
        <v/>
      </c>
      <c r="L44" s="46">
        <f>IF(COUNTA(L4:L43)=0,"",COUNTA(L4:L43))</f>
        <v/>
      </c>
      <c r="M44" s="46" t="n"/>
      <c r="N44" s="46" t="n"/>
    </row>
  </sheetData>
  <mergeCells count="10">
    <mergeCell ref="L2:M2"/>
    <mergeCell ref="A1:N1"/>
    <mergeCell ref="C2:C3"/>
    <mergeCell ref="A2:A3"/>
    <mergeCell ref="B2:B3"/>
    <mergeCell ref="N2:N3"/>
    <mergeCell ref="D2:D3"/>
    <mergeCell ref="F2:K2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.5" customWidth="1" style="32" min="1" max="1"/>
    <col width="5" customWidth="1" style="32" min="2" max="2"/>
    <col width="9" customWidth="1" style="32" min="3" max="3"/>
    <col width="8" customWidth="1" style="32" min="4" max="4"/>
    <col width="5.51" customWidth="1" style="32" min="5" max="5"/>
    <col width="7.5" customWidth="1" style="32" min="6" max="6"/>
    <col width="13" customWidth="1" style="32" min="7" max="9"/>
    <col width="6" customWidth="1" style="32" min="10" max="10"/>
    <col width="13" customWidth="1" style="32" min="11" max="11"/>
    <col width="8" customWidth="1" style="32" min="12" max="12"/>
    <col width="6" customWidth="1" style="32" min="13" max="13"/>
    <col width="9" customWidth="1" style="32" min="14" max="14"/>
  </cols>
  <sheetData>
    <row r="1" ht="36" customHeight="1" s="33">
      <c r="A1" s="34" t="inlineStr">
        <is>
          <t>2026년 하계수양회  ─  14구역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교 통 편</t>
        </is>
      </c>
      <c r="G2" s="35" t="n"/>
      <c r="H2" s="35" t="n"/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본대
상행</t>
        </is>
      </c>
      <c r="G3" s="40" t="inlineStr">
        <is>
          <t>본대
하행</t>
        </is>
      </c>
      <c r="H3" s="40" t="inlineStr">
        <is>
          <t>기타
상행</t>
        </is>
      </c>
      <c r="I3" s="40" t="inlineStr">
        <is>
          <t>기타
하행</t>
        </is>
      </c>
      <c r="J3" s="40" t="inlineStr">
        <is>
          <t>개인차 상행</t>
        </is>
      </c>
      <c r="K3" s="40" t="inlineStr">
        <is>
          <t>개인차 하행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>
        <v>1</v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>
        <v>2</v>
      </c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>
        <v>3</v>
      </c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>
        <v>4</v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>
        <v>5</v>
      </c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>
        <v>6</v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>
        <v>7</v>
      </c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>
        <v>8</v>
      </c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>
        <v>9</v>
      </c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>
        <v>10</v>
      </c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>
        <v>11</v>
      </c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>
        <v>12</v>
      </c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>
        <v>13</v>
      </c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>
        <v>14</v>
      </c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>
        <v>15</v>
      </c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>
        <v>16</v>
      </c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>
        <v>17</v>
      </c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>
        <v>18</v>
      </c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>
        <v>19</v>
      </c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>
        <v>20</v>
      </c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>
        <v>21</v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>
        <v>22</v>
      </c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>
        <v>23</v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>
        <v>24</v>
      </c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>
        <v>25</v>
      </c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>
        <v>26</v>
      </c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>
        <v>27</v>
      </c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>
        <v>28</v>
      </c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>
        <v>29</v>
      </c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>
        <v>30</v>
      </c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>
        <v>31</v>
      </c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>
        <v>32</v>
      </c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>
        <v>33</v>
      </c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>
        <v>34</v>
      </c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>
        <v>35</v>
      </c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>
        <v>36</v>
      </c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>
        <v>37</v>
      </c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>
        <v>38</v>
      </c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>
        <v>39</v>
      </c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>
        <v>40</v>
      </c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5" customHeight="1" s="33">
      <c r="A44" s="45" t="inlineStr">
        <is>
          <t>합  계</t>
        </is>
      </c>
      <c r="B44" s="35" t="n"/>
      <c r="C44" s="35" t="n"/>
      <c r="D44" s="35" t="n"/>
      <c r="E44" s="46">
        <f>IF(COUNTA(E4:E43)=0,"",COUNTA(E4:E43))</f>
        <v/>
      </c>
      <c r="F44" s="46">
        <f>IF(COUNTA(F4:F43)=0,"",COUNTA(F4:F43))</f>
        <v/>
      </c>
      <c r="G44" s="46">
        <f>IF(COUNTA(G4:G43)=0,"",COUNTA(G4:G43))</f>
        <v/>
      </c>
      <c r="H44" s="46">
        <f>IF(COUNTA(H4:H43)=0,"",COUNTA(H4:H43))</f>
        <v/>
      </c>
      <c r="I44" s="46">
        <f>IF(COUNTA(I4:I43)=0,"",COUNTA(I4:I43))</f>
        <v/>
      </c>
      <c r="J44" s="46">
        <f>IF(COUNTA(J4:J43)=0,"",COUNTA(J4:J43))</f>
        <v/>
      </c>
      <c r="K44" s="46">
        <f>IF(COUNTA(K4:K43)=0,"",COUNTA(K4:K43))</f>
        <v/>
      </c>
      <c r="L44" s="46">
        <f>IF(COUNTA(L4:L43)=0,"",COUNTA(L4:L43))</f>
        <v/>
      </c>
      <c r="M44" s="46" t="n"/>
      <c r="N44" s="46" t="n"/>
    </row>
  </sheetData>
  <mergeCells count="10">
    <mergeCell ref="L2:M2"/>
    <mergeCell ref="A1:N1"/>
    <mergeCell ref="C2:C3"/>
    <mergeCell ref="A2:A3"/>
    <mergeCell ref="B2:B3"/>
    <mergeCell ref="N2:N3"/>
    <mergeCell ref="D2:D3"/>
    <mergeCell ref="F2:K2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.5" customWidth="1" style="32" min="1" max="1"/>
    <col width="5" customWidth="1" style="32" min="2" max="2"/>
    <col width="9" customWidth="1" style="32" min="3" max="3"/>
    <col width="8" customWidth="1" style="32" min="4" max="4"/>
    <col width="5.51" customWidth="1" style="32" min="5" max="5"/>
    <col width="7.5" customWidth="1" style="32" min="6" max="6"/>
    <col width="13" customWidth="1" style="32" min="7" max="9"/>
    <col width="6" customWidth="1" style="32" min="10" max="10"/>
    <col width="13" customWidth="1" style="32" min="11" max="11"/>
    <col width="8" customWidth="1" style="32" min="12" max="12"/>
    <col width="6" customWidth="1" style="32" min="13" max="13"/>
    <col width="9" customWidth="1" style="32" min="14" max="14"/>
  </cols>
  <sheetData>
    <row r="1" ht="36" customHeight="1" s="33">
      <c r="A1" s="34" t="inlineStr">
        <is>
          <t>2026년 하계수양회  ─  21구역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교 통 편</t>
        </is>
      </c>
      <c r="G2" s="35" t="n"/>
      <c r="H2" s="35" t="n"/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본대
상행</t>
        </is>
      </c>
      <c r="G3" s="40" t="inlineStr">
        <is>
          <t>본대
하행</t>
        </is>
      </c>
      <c r="H3" s="40" t="inlineStr">
        <is>
          <t>기타
상행</t>
        </is>
      </c>
      <c r="I3" s="40" t="inlineStr">
        <is>
          <t>기타
하행</t>
        </is>
      </c>
      <c r="J3" s="40" t="inlineStr">
        <is>
          <t>개인차 상행</t>
        </is>
      </c>
      <c r="K3" s="40" t="inlineStr">
        <is>
          <t>개인차 하행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>
        <v>1</v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>
        <v>2</v>
      </c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>
        <v>3</v>
      </c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>
        <v>4</v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>
        <v>5</v>
      </c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>
        <v>6</v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>
        <v>7</v>
      </c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>
        <v>8</v>
      </c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>
        <v>9</v>
      </c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>
        <v>10</v>
      </c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>
        <v>11</v>
      </c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>
        <v>12</v>
      </c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>
        <v>13</v>
      </c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>
        <v>14</v>
      </c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>
        <v>15</v>
      </c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>
        <v>16</v>
      </c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>
        <v>17</v>
      </c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>
        <v>18</v>
      </c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>
        <v>19</v>
      </c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>
        <v>20</v>
      </c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>
        <v>21</v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>
        <v>22</v>
      </c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>
        <v>23</v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>
        <v>24</v>
      </c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>
        <v>25</v>
      </c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>
        <v>26</v>
      </c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>
        <v>27</v>
      </c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>
        <v>28</v>
      </c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>
        <v>29</v>
      </c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>
        <v>30</v>
      </c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>
        <v>31</v>
      </c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>
        <v>32</v>
      </c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>
        <v>33</v>
      </c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>
        <v>34</v>
      </c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>
        <v>35</v>
      </c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>
        <v>36</v>
      </c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>
        <v>37</v>
      </c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>
        <v>38</v>
      </c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>
        <v>39</v>
      </c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>
        <v>40</v>
      </c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5" customHeight="1" s="33">
      <c r="A44" s="45" t="inlineStr">
        <is>
          <t>합  계</t>
        </is>
      </c>
      <c r="B44" s="35" t="n"/>
      <c r="C44" s="35" t="n"/>
      <c r="D44" s="35" t="n"/>
      <c r="E44" s="46">
        <f>IF(COUNTA(E4:E43)=0,"",COUNTA(E4:E43))</f>
        <v/>
      </c>
      <c r="F44" s="46">
        <f>IF(COUNTA(F4:F43)=0,"",COUNTA(F4:F43))</f>
        <v/>
      </c>
      <c r="G44" s="46">
        <f>IF(COUNTA(G4:G43)=0,"",COUNTA(G4:G43))</f>
        <v/>
      </c>
      <c r="H44" s="46">
        <f>IF(COUNTA(H4:H43)=0,"",COUNTA(H4:H43))</f>
        <v/>
      </c>
      <c r="I44" s="46">
        <f>IF(COUNTA(I4:I43)=0,"",COUNTA(I4:I43))</f>
        <v/>
      </c>
      <c r="J44" s="46">
        <f>IF(COUNTA(J4:J43)=0,"",COUNTA(J4:J43))</f>
        <v/>
      </c>
      <c r="K44" s="46">
        <f>IF(COUNTA(K4:K43)=0,"",COUNTA(K4:K43))</f>
        <v/>
      </c>
      <c r="L44" s="46">
        <f>IF(COUNTA(L4:L43)=0,"",COUNTA(L4:L43))</f>
        <v/>
      </c>
      <c r="M44" s="46" t="n"/>
      <c r="N44" s="46" t="n"/>
    </row>
  </sheetData>
  <mergeCells count="10">
    <mergeCell ref="L2:M2"/>
    <mergeCell ref="A1:N1"/>
    <mergeCell ref="C2:C3"/>
    <mergeCell ref="A2:A3"/>
    <mergeCell ref="B2:B3"/>
    <mergeCell ref="N2:N3"/>
    <mergeCell ref="D2:D3"/>
    <mergeCell ref="F2:K2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.5" customWidth="1" style="32" min="1" max="1"/>
    <col width="5" customWidth="1" style="32" min="2" max="2"/>
    <col width="9" customWidth="1" style="32" min="3" max="3"/>
    <col width="8" customWidth="1" style="32" min="4" max="4"/>
    <col width="5.51" customWidth="1" style="32" min="5" max="5"/>
    <col width="7.5" customWidth="1" style="32" min="6" max="6"/>
    <col width="13" customWidth="1" style="32" min="7" max="9"/>
    <col width="6" customWidth="1" style="32" min="10" max="10"/>
    <col width="13" customWidth="1" style="32" min="11" max="11"/>
    <col width="8" customWidth="1" style="32" min="12" max="12"/>
    <col width="6" customWidth="1" style="32" min="13" max="13"/>
    <col width="9" customWidth="1" style="32" min="14" max="14"/>
  </cols>
  <sheetData>
    <row r="1" ht="36" customHeight="1" s="33">
      <c r="A1" s="34" t="inlineStr">
        <is>
          <t>2026년 하계수양회  ─  22구역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교 통 편</t>
        </is>
      </c>
      <c r="G2" s="35" t="n"/>
      <c r="H2" s="35" t="n"/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본대
상행</t>
        </is>
      </c>
      <c r="G3" s="40" t="inlineStr">
        <is>
          <t>본대
하행</t>
        </is>
      </c>
      <c r="H3" s="40" t="inlineStr">
        <is>
          <t>기타
상행</t>
        </is>
      </c>
      <c r="I3" s="40" t="inlineStr">
        <is>
          <t>기타
하행</t>
        </is>
      </c>
      <c r="J3" s="40" t="inlineStr">
        <is>
          <t>개인차 상행</t>
        </is>
      </c>
      <c r="K3" s="40" t="inlineStr">
        <is>
          <t>개인차 하행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>
        <v>1</v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>
        <v>2</v>
      </c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>
        <v>3</v>
      </c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>
        <v>4</v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>
        <v>5</v>
      </c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>
        <v>6</v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>
        <v>7</v>
      </c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>
        <v>8</v>
      </c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>
        <v>9</v>
      </c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>
        <v>10</v>
      </c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>
        <v>11</v>
      </c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>
        <v>12</v>
      </c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>
        <v>13</v>
      </c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>
        <v>14</v>
      </c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>
        <v>15</v>
      </c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>
        <v>16</v>
      </c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>
        <v>17</v>
      </c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>
        <v>18</v>
      </c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>
        <v>19</v>
      </c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>
        <v>20</v>
      </c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>
        <v>21</v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>
        <v>22</v>
      </c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>
        <v>23</v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>
        <v>24</v>
      </c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>
        <v>25</v>
      </c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>
        <v>26</v>
      </c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>
        <v>27</v>
      </c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>
        <v>28</v>
      </c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>
        <v>29</v>
      </c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>
        <v>30</v>
      </c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>
        <v>31</v>
      </c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>
        <v>32</v>
      </c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>
        <v>33</v>
      </c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>
        <v>34</v>
      </c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>
        <v>35</v>
      </c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>
        <v>36</v>
      </c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>
        <v>37</v>
      </c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>
        <v>38</v>
      </c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>
        <v>39</v>
      </c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>
        <v>40</v>
      </c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5" customHeight="1" s="33">
      <c r="A44" s="45" t="inlineStr">
        <is>
          <t>합  계</t>
        </is>
      </c>
      <c r="B44" s="35" t="n"/>
      <c r="C44" s="35" t="n"/>
      <c r="D44" s="35" t="n"/>
      <c r="E44" s="46">
        <f>IF(COUNTA(E4:E43)=0,"",COUNTA(E4:E43))</f>
        <v/>
      </c>
      <c r="F44" s="46">
        <f>IF(COUNTA(F4:F43)=0,"",COUNTA(F4:F43))</f>
        <v/>
      </c>
      <c r="G44" s="46">
        <f>IF(COUNTA(G4:G43)=0,"",COUNTA(G4:G43))</f>
        <v/>
      </c>
      <c r="H44" s="46">
        <f>IF(COUNTA(H4:H43)=0,"",COUNTA(H4:H43))</f>
        <v/>
      </c>
      <c r="I44" s="46">
        <f>IF(COUNTA(I4:I43)=0,"",COUNTA(I4:I43))</f>
        <v/>
      </c>
      <c r="J44" s="46">
        <f>IF(COUNTA(J4:J43)=0,"",COUNTA(J4:J43))</f>
        <v/>
      </c>
      <c r="K44" s="46">
        <f>IF(COUNTA(K4:K43)=0,"",COUNTA(K4:K43))</f>
        <v/>
      </c>
      <c r="L44" s="46">
        <f>IF(COUNTA(L4:L43)=0,"",COUNTA(L4:L43))</f>
        <v/>
      </c>
      <c r="M44" s="46" t="n"/>
      <c r="N44" s="46" t="n"/>
    </row>
  </sheetData>
  <mergeCells count="10">
    <mergeCell ref="L2:M2"/>
    <mergeCell ref="A1:N1"/>
    <mergeCell ref="C2:C3"/>
    <mergeCell ref="A2:A3"/>
    <mergeCell ref="B2:B3"/>
    <mergeCell ref="N2:N3"/>
    <mergeCell ref="D2:D3"/>
    <mergeCell ref="F2:K2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.5" customWidth="1" style="32" min="1" max="1"/>
    <col width="5" customWidth="1" style="32" min="2" max="2"/>
    <col width="9" customWidth="1" style="32" min="3" max="3"/>
    <col width="8" customWidth="1" style="32" min="4" max="4"/>
    <col width="5.51" customWidth="1" style="32" min="5" max="5"/>
    <col width="7.5" customWidth="1" style="32" min="6" max="6"/>
    <col width="13" customWidth="1" style="32" min="7" max="9"/>
    <col width="6" customWidth="1" style="32" min="10" max="10"/>
    <col width="13" customWidth="1" style="32" min="11" max="11"/>
    <col width="8" customWidth="1" style="32" min="12" max="12"/>
    <col width="6" customWidth="1" style="32" min="13" max="13"/>
    <col width="9" customWidth="1" style="32" min="14" max="14"/>
  </cols>
  <sheetData>
    <row r="1" ht="36" customHeight="1" s="33">
      <c r="A1" s="34" t="inlineStr">
        <is>
          <t>2026년 하계수양회  ─  23구역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교 통 편</t>
        </is>
      </c>
      <c r="G2" s="35" t="n"/>
      <c r="H2" s="35" t="n"/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본대
상행</t>
        </is>
      </c>
      <c r="G3" s="40" t="inlineStr">
        <is>
          <t>본대
하행</t>
        </is>
      </c>
      <c r="H3" s="40" t="inlineStr">
        <is>
          <t>기타
상행</t>
        </is>
      </c>
      <c r="I3" s="40" t="inlineStr">
        <is>
          <t>기타
하행</t>
        </is>
      </c>
      <c r="J3" s="40" t="inlineStr">
        <is>
          <t>개인차 상행</t>
        </is>
      </c>
      <c r="K3" s="40" t="inlineStr">
        <is>
          <t>개인차 하행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>
        <v>1</v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>
        <v>2</v>
      </c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>
        <v>3</v>
      </c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>
        <v>4</v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>
        <v>5</v>
      </c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>
        <v>6</v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>
        <v>7</v>
      </c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>
        <v>8</v>
      </c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>
        <v>9</v>
      </c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>
        <v>10</v>
      </c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>
        <v>11</v>
      </c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>
        <v>12</v>
      </c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>
        <v>13</v>
      </c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>
        <v>14</v>
      </c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>
        <v>15</v>
      </c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>
        <v>16</v>
      </c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>
        <v>17</v>
      </c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>
        <v>18</v>
      </c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>
        <v>19</v>
      </c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>
        <v>20</v>
      </c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>
        <v>21</v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>
        <v>22</v>
      </c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>
        <v>23</v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>
        <v>24</v>
      </c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>
        <v>25</v>
      </c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>
        <v>26</v>
      </c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>
        <v>27</v>
      </c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>
        <v>28</v>
      </c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>
        <v>29</v>
      </c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>
        <v>30</v>
      </c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>
        <v>31</v>
      </c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>
        <v>32</v>
      </c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>
        <v>33</v>
      </c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>
        <v>34</v>
      </c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>
        <v>35</v>
      </c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>
        <v>36</v>
      </c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>
        <v>37</v>
      </c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>
        <v>38</v>
      </c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>
        <v>39</v>
      </c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>
        <v>40</v>
      </c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5" customHeight="1" s="33">
      <c r="A44" s="45" t="inlineStr">
        <is>
          <t>합  계</t>
        </is>
      </c>
      <c r="B44" s="35" t="n"/>
      <c r="C44" s="35" t="n"/>
      <c r="D44" s="35" t="n"/>
      <c r="E44" s="46">
        <f>IF(COUNTA(E4:E43)=0,"",COUNTA(E4:E43))</f>
        <v/>
      </c>
      <c r="F44" s="46">
        <f>IF(COUNTA(F4:F43)=0,"",COUNTA(F4:F43))</f>
        <v/>
      </c>
      <c r="G44" s="46">
        <f>IF(COUNTA(G4:G43)=0,"",COUNTA(G4:G43))</f>
        <v/>
      </c>
      <c r="H44" s="46">
        <f>IF(COUNTA(H4:H43)=0,"",COUNTA(H4:H43))</f>
        <v/>
      </c>
      <c r="I44" s="46">
        <f>IF(COUNTA(I4:I43)=0,"",COUNTA(I4:I43))</f>
        <v/>
      </c>
      <c r="J44" s="46">
        <f>IF(COUNTA(J4:J43)=0,"",COUNTA(J4:J43))</f>
        <v/>
      </c>
      <c r="K44" s="46">
        <f>IF(COUNTA(K4:K43)=0,"",COUNTA(K4:K43))</f>
        <v/>
      </c>
      <c r="L44" s="46">
        <f>IF(COUNTA(L4:L43)=0,"",COUNTA(L4:L43))</f>
        <v/>
      </c>
      <c r="M44" s="46" t="n"/>
      <c r="N44" s="46" t="n"/>
    </row>
  </sheetData>
  <mergeCells count="10">
    <mergeCell ref="L2:M2"/>
    <mergeCell ref="A1:N1"/>
    <mergeCell ref="C2:C3"/>
    <mergeCell ref="A2:A3"/>
    <mergeCell ref="B2:B3"/>
    <mergeCell ref="N2:N3"/>
    <mergeCell ref="D2:D3"/>
    <mergeCell ref="F2:K2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.5" customWidth="1" style="32" min="1" max="1"/>
    <col width="5" customWidth="1" style="32" min="2" max="2"/>
    <col width="9" customWidth="1" style="32" min="3" max="3"/>
    <col width="8" customWidth="1" style="32" min="4" max="4"/>
    <col width="5.51" customWidth="1" style="32" min="5" max="5"/>
    <col width="7.5" customWidth="1" style="32" min="6" max="6"/>
    <col width="13" customWidth="1" style="32" min="7" max="9"/>
    <col width="6" customWidth="1" style="32" min="10" max="10"/>
    <col width="13" customWidth="1" style="32" min="11" max="11"/>
    <col width="8" customWidth="1" style="32" min="12" max="12"/>
    <col width="6" customWidth="1" style="32" min="13" max="13"/>
    <col width="9" customWidth="1" style="32" min="14" max="14"/>
  </cols>
  <sheetData>
    <row r="1" ht="36" customHeight="1" s="33">
      <c r="A1" s="34" t="inlineStr">
        <is>
          <t>2026년 하계수양회  ─  24구역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교 통 편</t>
        </is>
      </c>
      <c r="G2" s="35" t="n"/>
      <c r="H2" s="35" t="n"/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본대
상행</t>
        </is>
      </c>
      <c r="G3" s="40" t="inlineStr">
        <is>
          <t>본대
하행</t>
        </is>
      </c>
      <c r="H3" s="40" t="inlineStr">
        <is>
          <t>기타
상행</t>
        </is>
      </c>
      <c r="I3" s="40" t="inlineStr">
        <is>
          <t>기타
하행</t>
        </is>
      </c>
      <c r="J3" s="40" t="inlineStr">
        <is>
          <t>개인차 상행</t>
        </is>
      </c>
      <c r="K3" s="40" t="inlineStr">
        <is>
          <t>개인차 하행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>
        <v>1</v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>
        <v>2</v>
      </c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>
        <v>3</v>
      </c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>
        <v>4</v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>
        <v>5</v>
      </c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>
        <v>6</v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>
        <v>7</v>
      </c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>
        <v>8</v>
      </c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>
        <v>9</v>
      </c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>
        <v>10</v>
      </c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>
        <v>11</v>
      </c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>
        <v>12</v>
      </c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>
        <v>13</v>
      </c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>
        <v>14</v>
      </c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>
        <v>15</v>
      </c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>
        <v>16</v>
      </c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>
        <v>17</v>
      </c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>
        <v>18</v>
      </c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>
        <v>19</v>
      </c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>
        <v>20</v>
      </c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>
        <v>21</v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>
        <v>22</v>
      </c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>
        <v>23</v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>
        <v>24</v>
      </c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>
        <v>25</v>
      </c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>
        <v>26</v>
      </c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>
        <v>27</v>
      </c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>
        <v>28</v>
      </c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>
        <v>29</v>
      </c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>
        <v>30</v>
      </c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>
        <v>31</v>
      </c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>
        <v>32</v>
      </c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>
        <v>33</v>
      </c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>
        <v>34</v>
      </c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>
        <v>35</v>
      </c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>
        <v>36</v>
      </c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>
        <v>37</v>
      </c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>
        <v>38</v>
      </c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>
        <v>39</v>
      </c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>
        <v>40</v>
      </c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5" customHeight="1" s="33">
      <c r="A44" s="45" t="inlineStr">
        <is>
          <t>합  계</t>
        </is>
      </c>
      <c r="B44" s="35" t="n"/>
      <c r="C44" s="35" t="n"/>
      <c r="D44" s="35" t="n"/>
      <c r="E44" s="46">
        <f>IF(COUNTA(E4:E43)=0,"",COUNTA(E4:E43))</f>
        <v/>
      </c>
      <c r="F44" s="46">
        <f>IF(COUNTA(F4:F43)=0,"",COUNTA(F4:F43))</f>
        <v/>
      </c>
      <c r="G44" s="46">
        <f>IF(COUNTA(G4:G43)=0,"",COUNTA(G4:G43))</f>
        <v/>
      </c>
      <c r="H44" s="46">
        <f>IF(COUNTA(H4:H43)=0,"",COUNTA(H4:H43))</f>
        <v/>
      </c>
      <c r="I44" s="46">
        <f>IF(COUNTA(I4:I43)=0,"",COUNTA(I4:I43))</f>
        <v/>
      </c>
      <c r="J44" s="46">
        <f>IF(COUNTA(J4:J43)=0,"",COUNTA(J4:J43))</f>
        <v/>
      </c>
      <c r="K44" s="46">
        <f>IF(COUNTA(K4:K43)=0,"",COUNTA(K4:K43))</f>
        <v/>
      </c>
      <c r="L44" s="46">
        <f>IF(COUNTA(L4:L43)=0,"",COUNTA(L4:L43))</f>
        <v/>
      </c>
      <c r="M44" s="46" t="n"/>
      <c r="N44" s="46" t="n"/>
    </row>
  </sheetData>
  <mergeCells count="10">
    <mergeCell ref="L2:M2"/>
    <mergeCell ref="A1:N1"/>
    <mergeCell ref="C2:C3"/>
    <mergeCell ref="A2:A3"/>
    <mergeCell ref="B2:B3"/>
    <mergeCell ref="N2:N3"/>
    <mergeCell ref="D2:D3"/>
    <mergeCell ref="F2:K2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.5" customWidth="1" style="32" min="1" max="1"/>
    <col width="5" customWidth="1" style="32" min="2" max="2"/>
    <col width="9" customWidth="1" style="32" min="3" max="3"/>
    <col width="8" customWidth="1" style="32" min="4" max="4"/>
    <col width="5.51" customWidth="1" style="32" min="5" max="5"/>
    <col width="7.5" customWidth="1" style="32" min="6" max="6"/>
    <col width="13" customWidth="1" style="32" min="7" max="9"/>
    <col width="6" customWidth="1" style="32" min="10" max="10"/>
    <col width="13" customWidth="1" style="32" min="11" max="11"/>
    <col width="8" customWidth="1" style="32" min="12" max="12"/>
    <col width="6" customWidth="1" style="32" min="13" max="13"/>
    <col width="9" customWidth="1" style="32" min="14" max="14"/>
  </cols>
  <sheetData>
    <row r="1" ht="36" customHeight="1" s="33">
      <c r="A1" s="34" t="inlineStr">
        <is>
          <t>2026년 하계수양회  ─  31구역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교 통 편</t>
        </is>
      </c>
      <c r="G2" s="35" t="n"/>
      <c r="H2" s="35" t="n"/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본대
상행</t>
        </is>
      </c>
      <c r="G3" s="40" t="inlineStr">
        <is>
          <t>본대
하행</t>
        </is>
      </c>
      <c r="H3" s="40" t="inlineStr">
        <is>
          <t>기타
상행</t>
        </is>
      </c>
      <c r="I3" s="40" t="inlineStr">
        <is>
          <t>기타
하행</t>
        </is>
      </c>
      <c r="J3" s="40" t="inlineStr">
        <is>
          <t>개인차 상행</t>
        </is>
      </c>
      <c r="K3" s="40" t="inlineStr">
        <is>
          <t>개인차 하행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>
        <v>1</v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>
        <v>2</v>
      </c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>
        <v>3</v>
      </c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>
        <v>4</v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>
        <v>5</v>
      </c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>
        <v>6</v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>
        <v>7</v>
      </c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>
        <v>8</v>
      </c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>
        <v>9</v>
      </c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>
        <v>10</v>
      </c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>
        <v>11</v>
      </c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>
        <v>12</v>
      </c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>
        <v>13</v>
      </c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>
        <v>14</v>
      </c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>
        <v>15</v>
      </c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>
        <v>16</v>
      </c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>
        <v>17</v>
      </c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>
        <v>18</v>
      </c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>
        <v>19</v>
      </c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>
        <v>20</v>
      </c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>
        <v>21</v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>
        <v>22</v>
      </c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>
        <v>23</v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>
        <v>24</v>
      </c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>
        <v>25</v>
      </c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>
        <v>26</v>
      </c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>
        <v>27</v>
      </c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>
        <v>28</v>
      </c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>
        <v>29</v>
      </c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>
        <v>30</v>
      </c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>
        <v>31</v>
      </c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>
        <v>32</v>
      </c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>
        <v>33</v>
      </c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>
        <v>34</v>
      </c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>
        <v>35</v>
      </c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>
        <v>36</v>
      </c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>
        <v>37</v>
      </c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>
        <v>38</v>
      </c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>
        <v>39</v>
      </c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>
        <v>40</v>
      </c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5" customHeight="1" s="33">
      <c r="A44" s="45" t="inlineStr">
        <is>
          <t>합  계</t>
        </is>
      </c>
      <c r="B44" s="35" t="n"/>
      <c r="C44" s="35" t="n"/>
      <c r="D44" s="35" t="n"/>
      <c r="E44" s="46">
        <f>IF(COUNTA(E4:E43)=0,"",COUNTA(E4:E43))</f>
        <v/>
      </c>
      <c r="F44" s="46">
        <f>IF(COUNTA(F4:F43)=0,"",COUNTA(F4:F43))</f>
        <v/>
      </c>
      <c r="G44" s="46">
        <f>IF(COUNTA(G4:G43)=0,"",COUNTA(G4:G43))</f>
        <v/>
      </c>
      <c r="H44" s="46">
        <f>IF(COUNTA(H4:H43)=0,"",COUNTA(H4:H43))</f>
        <v/>
      </c>
      <c r="I44" s="46">
        <f>IF(COUNTA(I4:I43)=0,"",COUNTA(I4:I43))</f>
        <v/>
      </c>
      <c r="J44" s="46">
        <f>IF(COUNTA(J4:J43)=0,"",COUNTA(J4:J43))</f>
        <v/>
      </c>
      <c r="K44" s="46">
        <f>IF(COUNTA(K4:K43)=0,"",COUNTA(K4:K43))</f>
        <v/>
      </c>
      <c r="L44" s="46">
        <f>IF(COUNTA(L4:L43)=0,"",COUNTA(L4:L43))</f>
        <v/>
      </c>
      <c r="M44" s="46" t="n"/>
      <c r="N44" s="46" t="n"/>
    </row>
  </sheetData>
  <mergeCells count="10">
    <mergeCell ref="L2:M2"/>
    <mergeCell ref="A1:N1"/>
    <mergeCell ref="C2:C3"/>
    <mergeCell ref="A2:A3"/>
    <mergeCell ref="B2:B3"/>
    <mergeCell ref="N2:N3"/>
    <mergeCell ref="D2:D3"/>
    <mergeCell ref="F2:K2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N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.5" customWidth="1" style="32" min="1" max="1"/>
    <col width="5" customWidth="1" style="32" min="2" max="2"/>
    <col width="9" customWidth="1" style="32" min="3" max="3"/>
    <col width="8" customWidth="1" style="32" min="4" max="4"/>
    <col width="5.51" customWidth="1" style="32" min="5" max="5"/>
    <col width="7.5" customWidth="1" style="32" min="6" max="6"/>
    <col width="13" customWidth="1" style="32" min="7" max="9"/>
    <col width="6" customWidth="1" style="32" min="10" max="10"/>
    <col width="13" customWidth="1" style="32" min="11" max="11"/>
    <col width="8" customWidth="1" style="32" min="12" max="12"/>
    <col width="6" customWidth="1" style="32" min="13" max="13"/>
    <col width="9" customWidth="1" style="32" min="14" max="14"/>
  </cols>
  <sheetData>
    <row r="1" ht="36" customHeight="1" s="33">
      <c r="A1" s="34" t="inlineStr">
        <is>
          <t>2026년 하계수양회  ─  32구역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교 통 편</t>
        </is>
      </c>
      <c r="G2" s="35" t="n"/>
      <c r="H2" s="35" t="n"/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본대
상행</t>
        </is>
      </c>
      <c r="G3" s="40" t="inlineStr">
        <is>
          <t>본대
하행</t>
        </is>
      </c>
      <c r="H3" s="40" t="inlineStr">
        <is>
          <t>기타
상행</t>
        </is>
      </c>
      <c r="I3" s="40" t="inlineStr">
        <is>
          <t>기타
하행</t>
        </is>
      </c>
      <c r="J3" s="40" t="inlineStr">
        <is>
          <t>개인차 상행</t>
        </is>
      </c>
      <c r="K3" s="40" t="inlineStr">
        <is>
          <t>개인차 하행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>
        <v>1</v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>
        <v>2</v>
      </c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>
        <v>3</v>
      </c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>
        <v>4</v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>
        <v>5</v>
      </c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>
        <v>6</v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>
        <v>7</v>
      </c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>
        <v>8</v>
      </c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>
        <v>9</v>
      </c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>
        <v>10</v>
      </c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>
        <v>11</v>
      </c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>
        <v>12</v>
      </c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>
        <v>13</v>
      </c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>
        <v>14</v>
      </c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>
        <v>15</v>
      </c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>
        <v>16</v>
      </c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>
        <v>17</v>
      </c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>
        <v>18</v>
      </c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>
        <v>19</v>
      </c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>
        <v>20</v>
      </c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>
        <v>21</v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>
        <v>22</v>
      </c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>
        <v>23</v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>
        <v>24</v>
      </c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>
        <v>25</v>
      </c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>
        <v>26</v>
      </c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>
        <v>27</v>
      </c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>
        <v>28</v>
      </c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>
        <v>29</v>
      </c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>
        <v>30</v>
      </c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>
        <v>31</v>
      </c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>
        <v>32</v>
      </c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>
        <v>33</v>
      </c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>
        <v>34</v>
      </c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>
        <v>35</v>
      </c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>
        <v>36</v>
      </c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>
        <v>37</v>
      </c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>
        <v>38</v>
      </c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>
        <v>39</v>
      </c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>
        <v>40</v>
      </c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5" customHeight="1" s="33">
      <c r="A44" s="45" t="inlineStr">
        <is>
          <t>합  계</t>
        </is>
      </c>
      <c r="B44" s="35" t="n"/>
      <c r="C44" s="35" t="n"/>
      <c r="D44" s="35" t="n"/>
      <c r="E44" s="46">
        <f>IF(COUNTA(E4:E43)=0,"",COUNTA(E4:E43))</f>
        <v/>
      </c>
      <c r="F44" s="46">
        <f>IF(COUNTA(F4:F43)=0,"",COUNTA(F4:F43))</f>
        <v/>
      </c>
      <c r="G44" s="46">
        <f>IF(COUNTA(G4:G43)=0,"",COUNTA(G4:G43))</f>
        <v/>
      </c>
      <c r="H44" s="46">
        <f>IF(COUNTA(H4:H43)=0,"",COUNTA(H4:H43))</f>
        <v/>
      </c>
      <c r="I44" s="46">
        <f>IF(COUNTA(I4:I43)=0,"",COUNTA(I4:I43))</f>
        <v/>
      </c>
      <c r="J44" s="46">
        <f>IF(COUNTA(J4:J43)=0,"",COUNTA(J4:J43))</f>
        <v/>
      </c>
      <c r="K44" s="46">
        <f>IF(COUNTA(K4:K43)=0,"",COUNTA(K4:K43))</f>
        <v/>
      </c>
      <c r="L44" s="46">
        <f>IF(COUNTA(L4:L43)=0,"",COUNTA(L4:L43))</f>
        <v/>
      </c>
      <c r="M44" s="46" t="n"/>
      <c r="N44" s="46" t="n"/>
    </row>
  </sheetData>
  <mergeCells count="10">
    <mergeCell ref="L2:M2"/>
    <mergeCell ref="A1:N1"/>
    <mergeCell ref="C2:C3"/>
    <mergeCell ref="A2:A3"/>
    <mergeCell ref="B2:B3"/>
    <mergeCell ref="N2:N3"/>
    <mergeCell ref="D2:D3"/>
    <mergeCell ref="F2:K2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N4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5" customWidth="1" style="32" min="2" max="2"/>
    <col width="9" customWidth="1" style="32" min="3" max="3"/>
    <col width="8" customWidth="1" style="32" min="4" max="4"/>
    <col width="5.51" customWidth="1" style="32" min="5" max="5"/>
    <col width="7.5" customWidth="1" style="32" min="6" max="6"/>
    <col width="13" customWidth="1" style="32" min="7" max="9"/>
    <col width="6" customWidth="1" style="32" min="10" max="10"/>
    <col width="13" customWidth="1" style="32" min="11" max="11"/>
    <col width="8" customWidth="1" style="32" min="12" max="12"/>
    <col width="6" customWidth="1" style="32" min="13" max="13"/>
    <col width="9" customWidth="1" style="32" min="14" max="14"/>
  </cols>
  <sheetData>
    <row r="1" ht="36" customHeight="1" s="33">
      <c r="A1" s="34" t="inlineStr">
        <is>
          <t>2026년 하계수양회  ─  33구역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교 통 편</t>
        </is>
      </c>
      <c r="G2" s="35" t="n"/>
      <c r="H2" s="35" t="n"/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본대
상행</t>
        </is>
      </c>
      <c r="G3" s="40" t="inlineStr">
        <is>
          <t>본대
하행</t>
        </is>
      </c>
      <c r="H3" s="40" t="inlineStr">
        <is>
          <t>기타
상행</t>
        </is>
      </c>
      <c r="I3" s="40" t="inlineStr">
        <is>
          <t>기타
하행</t>
        </is>
      </c>
      <c r="J3" s="40" t="inlineStr">
        <is>
          <t>개인차 상행</t>
        </is>
      </c>
      <c r="K3" s="40" t="inlineStr">
        <is>
          <t>개인차 하행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>
        <v>1</v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>
        <v>2</v>
      </c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>
        <v>3</v>
      </c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>
        <v>4</v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>
        <v>5</v>
      </c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>
        <v>6</v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>
        <v>7</v>
      </c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>
        <v>8</v>
      </c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>
        <v>9</v>
      </c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>
        <v>10</v>
      </c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>
        <v>11</v>
      </c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>
        <v>12</v>
      </c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>
        <v>13</v>
      </c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>
        <v>14</v>
      </c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>
        <v>15</v>
      </c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>
        <v>16</v>
      </c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>
        <v>17</v>
      </c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>
        <v>18</v>
      </c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>
        <v>19</v>
      </c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>
        <v>20</v>
      </c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>
        <v>21</v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>
        <v>22</v>
      </c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>
        <v>23</v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>
        <v>24</v>
      </c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>
        <v>25</v>
      </c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>
        <v>26</v>
      </c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>
        <v>27</v>
      </c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>
        <v>28</v>
      </c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>
        <v>29</v>
      </c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>
        <v>30</v>
      </c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>
        <v>31</v>
      </c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>
        <v>32</v>
      </c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>
        <v>33</v>
      </c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>
        <v>34</v>
      </c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>
        <v>35</v>
      </c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>
        <v>36</v>
      </c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>
        <v>37</v>
      </c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>
        <v>38</v>
      </c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>
        <v>39</v>
      </c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>
        <v>40</v>
      </c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5" customHeight="1" s="33">
      <c r="A44" s="45" t="inlineStr">
        <is>
          <t>합  계</t>
        </is>
      </c>
      <c r="B44" s="35" t="n"/>
      <c r="C44" s="35" t="n"/>
      <c r="D44" s="35" t="n"/>
      <c r="E44" s="46">
        <f>IF(COUNTA(E4:E43)=0,"",COUNTA(E4:E43))</f>
        <v/>
      </c>
      <c r="F44" s="46">
        <f>IF(COUNTA(F4:F43)=0,"",COUNTA(F4:F43))</f>
        <v/>
      </c>
      <c r="G44" s="46">
        <f>IF(COUNTA(G4:G43)=0,"",COUNTA(G4:G43))</f>
        <v/>
      </c>
      <c r="H44" s="46">
        <f>IF(COUNTA(H4:H43)=0,"",COUNTA(H4:H43))</f>
        <v/>
      </c>
      <c r="I44" s="46">
        <f>IF(COUNTA(I4:I43)=0,"",COUNTA(I4:I43))</f>
        <v/>
      </c>
      <c r="J44" s="46">
        <f>IF(COUNTA(J4:J43)=0,"",COUNTA(J4:J43))</f>
        <v/>
      </c>
      <c r="K44" s="46">
        <f>IF(COUNTA(K4:K43)=0,"",COUNTA(K4:K43))</f>
        <v/>
      </c>
      <c r="L44" s="46">
        <f>IF(COUNTA(L4:L43)=0,"",COUNTA(L4:L43))</f>
        <v/>
      </c>
      <c r="M44" s="46" t="n"/>
      <c r="N44" s="46" t="n"/>
    </row>
  </sheetData>
  <mergeCells count="10">
    <mergeCell ref="L2:M2"/>
    <mergeCell ref="A1:N1"/>
    <mergeCell ref="C2:C3"/>
    <mergeCell ref="A2:A3"/>
    <mergeCell ref="B2:B3"/>
    <mergeCell ref="N2:N3"/>
    <mergeCell ref="D2:D3"/>
    <mergeCell ref="F2:K2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N4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4.5" customWidth="1" style="32" min="1" max="1"/>
    <col width="5" customWidth="1" style="32" min="2" max="2"/>
    <col width="9" customWidth="1" style="32" min="3" max="3"/>
    <col width="8" customWidth="1" style="32" min="4" max="4"/>
    <col width="5.51" customWidth="1" style="32" min="5" max="5"/>
    <col width="7.5" customWidth="1" style="32" min="6" max="6"/>
    <col width="13" customWidth="1" style="32" min="7" max="9"/>
    <col width="6" customWidth="1" style="32" min="10" max="10"/>
    <col width="13" customWidth="1" style="32" min="11" max="11"/>
    <col width="8" customWidth="1" style="32" min="12" max="12"/>
    <col width="6" customWidth="1" style="32" min="13" max="13"/>
    <col width="9" customWidth="1" style="32" min="14" max="14"/>
  </cols>
  <sheetData>
    <row r="1" ht="36" customHeight="1" s="33">
      <c r="A1" s="34" t="inlineStr">
        <is>
          <t>2026년 하계수양회  ─  34구역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21.75" customHeight="1" s="33">
      <c r="A2" s="36" t="inlineStr">
        <is>
          <t>NO</t>
        </is>
      </c>
      <c r="B2" s="37" t="inlineStr">
        <is>
          <t>구역</t>
        </is>
      </c>
      <c r="C2" s="37" t="inlineStr">
        <is>
          <t>부서
(회별)</t>
        </is>
      </c>
      <c r="D2" s="37" t="inlineStr">
        <is>
          <t>성 명</t>
        </is>
      </c>
      <c r="E2" s="37" t="inlineStr">
        <is>
          <t>차수</t>
        </is>
      </c>
      <c r="F2" s="38" t="inlineStr">
        <is>
          <t>교 통 편</t>
        </is>
      </c>
      <c r="G2" s="35" t="n"/>
      <c r="H2" s="35" t="n"/>
      <c r="I2" s="35" t="n"/>
      <c r="J2" s="35" t="n"/>
      <c r="K2" s="35" t="n"/>
      <c r="L2" s="38" t="inlineStr">
        <is>
          <t>인 도 자</t>
        </is>
      </c>
      <c r="M2" s="35" t="n"/>
      <c r="N2" s="37" t="inlineStr">
        <is>
          <t>비고</t>
        </is>
      </c>
    </row>
    <row r="3" ht="28.5" customHeight="1" s="33">
      <c r="A3" s="39" t="n"/>
      <c r="B3" s="39" t="n"/>
      <c r="C3" s="39" t="n"/>
      <c r="D3" s="39" t="n"/>
      <c r="E3" s="39" t="n"/>
      <c r="F3" s="40" t="inlineStr">
        <is>
          <t>본대
상행</t>
        </is>
      </c>
      <c r="G3" s="40" t="inlineStr">
        <is>
          <t>본대
하행</t>
        </is>
      </c>
      <c r="H3" s="40" t="inlineStr">
        <is>
          <t>기타
상행</t>
        </is>
      </c>
      <c r="I3" s="40" t="inlineStr">
        <is>
          <t>기타
하행</t>
        </is>
      </c>
      <c r="J3" s="40" t="inlineStr">
        <is>
          <t>개인차 상행</t>
        </is>
      </c>
      <c r="K3" s="40" t="inlineStr">
        <is>
          <t>개인차 하행</t>
        </is>
      </c>
      <c r="L3" s="40" t="inlineStr">
        <is>
          <t>성 명</t>
        </is>
      </c>
      <c r="M3" s="40" t="inlineStr">
        <is>
          <t>관계</t>
        </is>
      </c>
      <c r="N3" s="39" t="n"/>
    </row>
    <row r="4" ht="19.5" customHeight="1" s="33">
      <c r="A4" s="41" t="n">
        <v>1</v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</row>
    <row r="5" ht="19.5" customHeight="1" s="33">
      <c r="A5" s="43" t="n">
        <v>2</v>
      </c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</row>
    <row r="6" ht="19.5" customHeight="1" s="33">
      <c r="A6" s="41" t="n">
        <v>3</v>
      </c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9.5" customHeight="1" s="33">
      <c r="A7" s="43" t="n">
        <v>4</v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</row>
    <row r="8" ht="19.5" customHeight="1" s="33">
      <c r="A8" s="41" t="n">
        <v>5</v>
      </c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</row>
    <row r="9" ht="19.5" customHeight="1" s="33">
      <c r="A9" s="43" t="n">
        <v>6</v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</row>
    <row r="10" ht="19.5" customHeight="1" s="33">
      <c r="A10" s="41" t="n">
        <v>7</v>
      </c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</row>
    <row r="11" ht="19.5" customHeight="1" s="33">
      <c r="A11" s="43" t="n">
        <v>8</v>
      </c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</row>
    <row r="12" ht="19.5" customHeight="1" s="33">
      <c r="A12" s="41" t="n">
        <v>9</v>
      </c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19.5" customHeight="1" s="33">
      <c r="A13" s="43" t="n">
        <v>10</v>
      </c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</row>
    <row r="14" ht="19.5" customHeight="1" s="33">
      <c r="A14" s="41" t="n">
        <v>11</v>
      </c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</row>
    <row r="15" ht="19.5" customHeight="1" s="33">
      <c r="A15" s="43" t="n">
        <v>12</v>
      </c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</row>
    <row r="16" ht="19.5" customHeight="1" s="33">
      <c r="A16" s="41" t="n">
        <v>13</v>
      </c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</row>
    <row r="17" ht="19.5" customHeight="1" s="33">
      <c r="A17" s="43" t="n">
        <v>14</v>
      </c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</row>
    <row r="18" ht="19.5" customHeight="1" s="33">
      <c r="A18" s="41" t="n">
        <v>15</v>
      </c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</row>
    <row r="19" ht="19.5" customHeight="1" s="33">
      <c r="A19" s="43" t="n">
        <v>16</v>
      </c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</row>
    <row r="20" ht="19.5" customHeight="1" s="33">
      <c r="A20" s="41" t="n">
        <v>17</v>
      </c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</row>
    <row r="21" ht="19.5" customHeight="1" s="33">
      <c r="A21" s="43" t="n">
        <v>18</v>
      </c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</row>
    <row r="22" ht="19.5" customHeight="1" s="33">
      <c r="A22" s="41" t="n">
        <v>19</v>
      </c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9.5" customHeight="1" s="33">
      <c r="A23" s="43" t="n">
        <v>20</v>
      </c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 ht="19.5" customHeight="1" s="33">
      <c r="A24" s="41" t="n">
        <v>21</v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</row>
    <row r="25" ht="19.5" customHeight="1" s="33">
      <c r="A25" s="43" t="n">
        <v>22</v>
      </c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</row>
    <row r="26" ht="19.5" customHeight="1" s="33">
      <c r="A26" s="41" t="n">
        <v>23</v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</row>
    <row r="27" ht="19.5" customHeight="1" s="33">
      <c r="A27" s="43" t="n">
        <v>24</v>
      </c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</row>
    <row r="28" ht="19.5" customHeight="1" s="33">
      <c r="A28" s="41" t="n">
        <v>25</v>
      </c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</row>
    <row r="29" ht="19.5" customHeight="1" s="33">
      <c r="A29" s="43" t="n">
        <v>26</v>
      </c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</row>
    <row r="30" ht="19.5" customHeight="1" s="33">
      <c r="A30" s="41" t="n">
        <v>27</v>
      </c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</row>
    <row r="31" ht="19.5" customHeight="1" s="33">
      <c r="A31" s="43" t="n">
        <v>28</v>
      </c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</row>
    <row r="32" ht="19.5" customHeight="1" s="33">
      <c r="A32" s="41" t="n">
        <v>29</v>
      </c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</row>
    <row r="33" ht="19.5" customHeight="1" s="33">
      <c r="A33" s="43" t="n">
        <v>30</v>
      </c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</row>
    <row r="34" ht="19.5" customHeight="1" s="33">
      <c r="A34" s="41" t="n">
        <v>31</v>
      </c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</row>
    <row r="35" ht="19.5" customHeight="1" s="33">
      <c r="A35" s="43" t="n">
        <v>32</v>
      </c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</row>
    <row r="36" ht="19.5" customHeight="1" s="33">
      <c r="A36" s="41" t="n">
        <v>33</v>
      </c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</row>
    <row r="37" ht="19.5" customHeight="1" s="33">
      <c r="A37" s="43" t="n">
        <v>34</v>
      </c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</row>
    <row r="38" ht="19.5" customHeight="1" s="33">
      <c r="A38" s="41" t="n">
        <v>35</v>
      </c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</row>
    <row r="39" ht="19.5" customHeight="1" s="33">
      <c r="A39" s="43" t="n">
        <v>36</v>
      </c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</row>
    <row r="40" ht="19.5" customHeight="1" s="33">
      <c r="A40" s="41" t="n">
        <v>37</v>
      </c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</row>
    <row r="41" ht="19.5" customHeight="1" s="33">
      <c r="A41" s="43" t="n">
        <v>38</v>
      </c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</row>
    <row r="42" ht="19.5" customHeight="1" s="33">
      <c r="A42" s="41" t="n">
        <v>39</v>
      </c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</row>
    <row r="43" ht="19.5" customHeight="1" s="33">
      <c r="A43" s="43" t="n">
        <v>40</v>
      </c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</row>
    <row r="44" ht="15" customHeight="1" s="33">
      <c r="A44" s="45" t="inlineStr">
        <is>
          <t>합  계</t>
        </is>
      </c>
      <c r="B44" s="35" t="n"/>
      <c r="C44" s="35" t="n"/>
      <c r="D44" s="35" t="n"/>
      <c r="E44" s="46">
        <f>IF(COUNTA(E4:E43)=0,"",COUNTA(E4:E43))</f>
        <v/>
      </c>
      <c r="F44" s="46">
        <f>IF(COUNTA(F4:F43)=0,"",COUNTA(F4:F43))</f>
        <v/>
      </c>
      <c r="G44" s="46">
        <f>IF(COUNTA(G4:G43)=0,"",COUNTA(G4:G43))</f>
        <v/>
      </c>
      <c r="H44" s="46">
        <f>IF(COUNTA(H4:H43)=0,"",COUNTA(H4:H43))</f>
        <v/>
      </c>
      <c r="I44" s="46">
        <f>IF(COUNTA(I4:I43)=0,"",COUNTA(I4:I43))</f>
        <v/>
      </c>
      <c r="J44" s="46">
        <f>IF(COUNTA(J4:J43)=0,"",COUNTA(J4:J43))</f>
        <v/>
      </c>
      <c r="K44" s="46">
        <f>IF(COUNTA(K4:K43)=0,"",COUNTA(K4:K43))</f>
        <v/>
      </c>
      <c r="L44" s="46">
        <f>IF(COUNTA(L4:L43)=0,"",COUNTA(L4:L43))</f>
        <v/>
      </c>
      <c r="M44" s="46" t="n"/>
      <c r="N44" s="46" t="n"/>
    </row>
  </sheetData>
  <mergeCells count="10">
    <mergeCell ref="L2:M2"/>
    <mergeCell ref="A1:N1"/>
    <mergeCell ref="C2:C3"/>
    <mergeCell ref="A2:A3"/>
    <mergeCell ref="B2:B3"/>
    <mergeCell ref="N2:N3"/>
    <mergeCell ref="D2:D3"/>
    <mergeCell ref="F2:K2"/>
    <mergeCell ref="E2:E3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I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5.51" customWidth="1" style="32" min="2" max="2"/>
    <col width="9.800000000000001" customWidth="1" style="32" min="3" max="3"/>
    <col width="8" customWidth="1" style="32" min="4" max="4"/>
    <col width="7.8" customWidth="1" style="32" min="5" max="5"/>
    <col width="8" customWidth="1" style="32" min="6" max="6"/>
    <col width="7" customWidth="1" style="32" min="7" max="7"/>
    <col width="13" customWidth="1" style="32" min="8" max="8"/>
    <col width="9" customWidth="1" style="32" min="9" max="9"/>
  </cols>
  <sheetData>
    <row r="1" ht="36" customHeight="1" s="33">
      <c r="A1" s="47" t="inlineStr">
        <is>
          <t>전도 대상자 명단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</row>
    <row r="2" ht="24" customHeight="1" s="33">
      <c r="A2" s="48" t="inlineStr">
        <is>
          <t>NO</t>
        </is>
      </c>
      <c r="B2" s="49" t="inlineStr">
        <is>
          <t>구역</t>
        </is>
      </c>
      <c r="C2" s="49" t="inlineStr">
        <is>
          <t>회(부서)</t>
        </is>
      </c>
      <c r="D2" s="49" t="inlineStr">
        <is>
          <t>성  명</t>
        </is>
      </c>
      <c r="E2" s="49" t="inlineStr">
        <is>
          <t>관계</t>
        </is>
      </c>
      <c r="F2" s="49" t="inlineStr">
        <is>
          <t>인도자</t>
        </is>
      </c>
      <c r="G2" s="38" t="inlineStr">
        <is>
          <t>숙소</t>
        </is>
      </c>
      <c r="H2" s="35" t="n"/>
      <c r="I2" s="49" t="inlineStr">
        <is>
          <t>비고</t>
        </is>
      </c>
    </row>
    <row r="3" ht="19.5" customHeight="1" s="33">
      <c r="A3" s="41" t="n">
        <v>1</v>
      </c>
      <c r="B3" s="42" t="n"/>
      <c r="C3" s="42" t="n"/>
      <c r="D3" s="42" t="n"/>
      <c r="E3" s="42" t="n"/>
      <c r="F3" s="42" t="n"/>
      <c r="G3" s="42" t="n"/>
      <c r="H3" s="42" t="n"/>
      <c r="I3" s="42" t="n"/>
    </row>
    <row r="4" ht="19.5" customHeight="1" s="33">
      <c r="A4" s="43" t="n">
        <v>2</v>
      </c>
      <c r="B4" s="44" t="n"/>
      <c r="C4" s="44" t="n"/>
      <c r="D4" s="44" t="n"/>
      <c r="E4" s="44" t="n"/>
      <c r="F4" s="44" t="n"/>
      <c r="G4" s="44" t="n"/>
      <c r="H4" s="44" t="n"/>
      <c r="I4" s="44" t="n"/>
    </row>
    <row r="5" ht="19.5" customHeight="1" s="33">
      <c r="A5" s="41" t="n">
        <v>3</v>
      </c>
      <c r="B5" s="42" t="n"/>
      <c r="C5" s="42" t="n"/>
      <c r="D5" s="42" t="n"/>
      <c r="E5" s="42" t="n"/>
      <c r="F5" s="42" t="n"/>
      <c r="G5" s="42" t="n"/>
      <c r="H5" s="42" t="n"/>
      <c r="I5" s="42" t="n"/>
    </row>
    <row r="6" ht="19.5" customHeight="1" s="33">
      <c r="A6" s="43" t="n">
        <v>4</v>
      </c>
      <c r="B6" s="44" t="n"/>
      <c r="C6" s="44" t="n"/>
      <c r="D6" s="44" t="n"/>
      <c r="E6" s="44" t="n"/>
      <c r="F6" s="44" t="n"/>
      <c r="G6" s="44" t="n"/>
      <c r="H6" s="44" t="n"/>
      <c r="I6" s="44" t="n"/>
    </row>
    <row r="7" ht="19.5" customHeight="1" s="33">
      <c r="A7" s="41" t="n">
        <v>5</v>
      </c>
      <c r="B7" s="42" t="n"/>
      <c r="C7" s="42" t="n"/>
      <c r="D7" s="42" t="n"/>
      <c r="E7" s="42" t="n"/>
      <c r="F7" s="42" t="n"/>
      <c r="G7" s="42" t="n"/>
      <c r="H7" s="42" t="n"/>
      <c r="I7" s="42" t="n"/>
    </row>
    <row r="8" ht="19.5" customHeight="1" s="33">
      <c r="A8" s="43" t="n">
        <v>6</v>
      </c>
      <c r="B8" s="44" t="n"/>
      <c r="C8" s="44" t="n"/>
      <c r="D8" s="44" t="n"/>
      <c r="E8" s="44" t="n"/>
      <c r="F8" s="44" t="n"/>
      <c r="G8" s="44" t="n"/>
      <c r="H8" s="44" t="n"/>
      <c r="I8" s="44" t="n"/>
    </row>
    <row r="9" ht="19.5" customHeight="1" s="33">
      <c r="A9" s="41" t="n">
        <v>7</v>
      </c>
      <c r="B9" s="42" t="n"/>
      <c r="C9" s="42" t="n"/>
      <c r="D9" s="42" t="n"/>
      <c r="E9" s="42" t="n"/>
      <c r="F9" s="42" t="n"/>
      <c r="G9" s="42" t="n"/>
      <c r="H9" s="42" t="n"/>
      <c r="I9" s="42" t="n"/>
    </row>
    <row r="10" ht="19.5" customHeight="1" s="33">
      <c r="A10" s="43" t="n">
        <v>8</v>
      </c>
      <c r="B10" s="44" t="n"/>
      <c r="C10" s="44" t="n"/>
      <c r="D10" s="44" t="n"/>
      <c r="E10" s="44" t="n"/>
      <c r="F10" s="44" t="n"/>
      <c r="G10" s="44" t="n"/>
      <c r="H10" s="44" t="n"/>
      <c r="I10" s="44" t="n"/>
    </row>
    <row r="11" ht="19.5" customHeight="1" s="33">
      <c r="A11" s="41" t="n">
        <v>9</v>
      </c>
      <c r="B11" s="42" t="n"/>
      <c r="C11" s="42" t="n"/>
      <c r="D11" s="42" t="n"/>
      <c r="E11" s="42" t="n"/>
      <c r="F11" s="42" t="n"/>
      <c r="G11" s="42" t="n"/>
      <c r="H11" s="42" t="n"/>
      <c r="I11" s="42" t="n"/>
    </row>
    <row r="12" ht="19.5" customHeight="1" s="33">
      <c r="A12" s="43" t="n">
        <v>10</v>
      </c>
      <c r="B12" s="44" t="n"/>
      <c r="C12" s="44" t="n"/>
      <c r="D12" s="44" t="n"/>
      <c r="E12" s="44" t="n"/>
      <c r="F12" s="44" t="n"/>
      <c r="G12" s="44" t="n"/>
      <c r="H12" s="44" t="n"/>
      <c r="I12" s="44" t="n"/>
    </row>
    <row r="13" ht="19.5" customHeight="1" s="33">
      <c r="A13" s="41" t="n">
        <v>11</v>
      </c>
      <c r="B13" s="42" t="n"/>
      <c r="C13" s="42" t="n"/>
      <c r="D13" s="42" t="n"/>
      <c r="E13" s="42" t="n"/>
      <c r="F13" s="42" t="n"/>
      <c r="G13" s="42" t="n"/>
      <c r="H13" s="42" t="n"/>
      <c r="I13" s="42" t="n"/>
    </row>
    <row r="14" ht="19.5" customHeight="1" s="33">
      <c r="A14" s="43" t="n">
        <v>12</v>
      </c>
      <c r="B14" s="44" t="n"/>
      <c r="C14" s="44" t="n"/>
      <c r="D14" s="44" t="n"/>
      <c r="E14" s="44" t="n"/>
      <c r="F14" s="44" t="n"/>
      <c r="G14" s="44" t="n"/>
      <c r="H14" s="44" t="n"/>
      <c r="I14" s="44" t="n"/>
    </row>
    <row r="15" ht="19.5" customHeight="1" s="33">
      <c r="A15" s="41" t="n">
        <v>13</v>
      </c>
      <c r="B15" s="42" t="n"/>
      <c r="C15" s="42" t="n"/>
      <c r="D15" s="42" t="n"/>
      <c r="E15" s="42" t="n"/>
      <c r="F15" s="42" t="n"/>
      <c r="G15" s="42" t="n"/>
      <c r="H15" s="42" t="n"/>
      <c r="I15" s="42" t="n"/>
    </row>
    <row r="16" ht="19.5" customHeight="1" s="33">
      <c r="A16" s="43" t="n">
        <v>14</v>
      </c>
      <c r="B16" s="44" t="n"/>
      <c r="C16" s="44" t="n"/>
      <c r="D16" s="44" t="n"/>
      <c r="E16" s="44" t="n"/>
      <c r="F16" s="44" t="n"/>
      <c r="G16" s="44" t="n"/>
      <c r="H16" s="44" t="n"/>
      <c r="I16" s="44" t="n"/>
    </row>
    <row r="17" ht="19.5" customHeight="1" s="33">
      <c r="A17" s="41" t="n">
        <v>15</v>
      </c>
      <c r="B17" s="42" t="n"/>
      <c r="C17" s="42" t="n"/>
      <c r="D17" s="42" t="n"/>
      <c r="E17" s="42" t="n"/>
      <c r="F17" s="42" t="n"/>
      <c r="G17" s="42" t="n"/>
      <c r="H17" s="42" t="n"/>
      <c r="I17" s="42" t="n"/>
    </row>
    <row r="18" ht="19.5" customHeight="1" s="33">
      <c r="A18" s="43" t="n">
        <v>16</v>
      </c>
      <c r="B18" s="44" t="n"/>
      <c r="C18" s="44" t="n"/>
      <c r="D18" s="44" t="n"/>
      <c r="E18" s="44" t="n"/>
      <c r="F18" s="44" t="n"/>
      <c r="G18" s="44" t="n"/>
      <c r="H18" s="44" t="n"/>
      <c r="I18" s="44" t="n"/>
    </row>
    <row r="19" ht="19.5" customHeight="1" s="33">
      <c r="A19" s="41" t="n">
        <v>17</v>
      </c>
      <c r="B19" s="42" t="n"/>
      <c r="C19" s="42" t="n"/>
      <c r="D19" s="42" t="n"/>
      <c r="E19" s="42" t="n"/>
      <c r="F19" s="42" t="n"/>
      <c r="G19" s="42" t="n"/>
      <c r="H19" s="42" t="n"/>
      <c r="I19" s="42" t="n"/>
    </row>
    <row r="20" ht="19.5" customHeight="1" s="33">
      <c r="A20" s="43" t="n">
        <v>18</v>
      </c>
      <c r="B20" s="44" t="n"/>
      <c r="C20" s="44" t="n"/>
      <c r="D20" s="44" t="n"/>
      <c r="E20" s="44" t="n"/>
      <c r="F20" s="44" t="n"/>
      <c r="G20" s="44" t="n"/>
      <c r="H20" s="44" t="n"/>
      <c r="I20" s="44" t="n"/>
    </row>
    <row r="21" ht="19.5" customHeight="1" s="33">
      <c r="A21" s="41" t="n">
        <v>19</v>
      </c>
      <c r="B21" s="42" t="n"/>
      <c r="C21" s="42" t="n"/>
      <c r="D21" s="42" t="n"/>
      <c r="E21" s="42" t="n"/>
      <c r="F21" s="42" t="n"/>
      <c r="G21" s="42" t="n"/>
      <c r="H21" s="42" t="n"/>
      <c r="I21" s="42" t="n"/>
    </row>
    <row r="22" ht="19.5" customHeight="1" s="33">
      <c r="A22" s="43" t="n">
        <v>20</v>
      </c>
      <c r="B22" s="44" t="n"/>
      <c r="C22" s="44" t="n"/>
      <c r="D22" s="44" t="n"/>
      <c r="E22" s="44" t="n"/>
      <c r="F22" s="44" t="n"/>
      <c r="G22" s="44" t="n"/>
      <c r="H22" s="44" t="n"/>
      <c r="I22" s="44" t="n"/>
    </row>
    <row r="23" ht="19.5" customHeight="1" s="33">
      <c r="A23" s="41" t="n">
        <v>21</v>
      </c>
      <c r="B23" s="42" t="n"/>
      <c r="C23" s="42" t="n"/>
      <c r="D23" s="42" t="n"/>
      <c r="E23" s="42" t="n"/>
      <c r="F23" s="42" t="n"/>
      <c r="G23" s="42" t="n"/>
      <c r="H23" s="42" t="n"/>
      <c r="I23" s="42" t="n"/>
    </row>
    <row r="24" ht="19.5" customHeight="1" s="33">
      <c r="A24" s="43" t="n">
        <v>22</v>
      </c>
      <c r="B24" s="44" t="n"/>
      <c r="C24" s="44" t="n"/>
      <c r="D24" s="44" t="n"/>
      <c r="E24" s="44" t="n"/>
      <c r="F24" s="44" t="n"/>
      <c r="G24" s="44" t="n"/>
      <c r="H24" s="44" t="n"/>
      <c r="I24" s="44" t="n"/>
    </row>
    <row r="25" ht="19.5" customHeight="1" s="33">
      <c r="A25" s="41" t="n">
        <v>23</v>
      </c>
      <c r="B25" s="42" t="n"/>
      <c r="C25" s="42" t="n"/>
      <c r="D25" s="42" t="n"/>
      <c r="E25" s="42" t="n"/>
      <c r="F25" s="42" t="n"/>
      <c r="G25" s="42" t="n"/>
      <c r="H25" s="42" t="n"/>
      <c r="I25" s="42" t="n"/>
    </row>
    <row r="26" ht="19.5" customHeight="1" s="33">
      <c r="A26" s="43" t="n">
        <v>24</v>
      </c>
      <c r="B26" s="44" t="n"/>
      <c r="C26" s="44" t="n"/>
      <c r="D26" s="44" t="n"/>
      <c r="E26" s="44" t="n"/>
      <c r="F26" s="44" t="n"/>
      <c r="G26" s="44" t="n"/>
      <c r="H26" s="44" t="n"/>
      <c r="I26" s="44" t="n"/>
    </row>
    <row r="27" ht="19.5" customHeight="1" s="33">
      <c r="A27" s="41" t="n">
        <v>25</v>
      </c>
      <c r="B27" s="42" t="n"/>
      <c r="C27" s="42" t="n"/>
      <c r="D27" s="42" t="n"/>
      <c r="E27" s="42" t="n"/>
      <c r="F27" s="42" t="n"/>
      <c r="G27" s="42" t="n"/>
      <c r="H27" s="42" t="n"/>
      <c r="I27" s="42" t="n"/>
    </row>
    <row r="28" ht="19.5" customHeight="1" s="33">
      <c r="A28" s="43" t="n">
        <v>26</v>
      </c>
      <c r="B28" s="44" t="n"/>
      <c r="C28" s="44" t="n"/>
      <c r="D28" s="44" t="n"/>
      <c r="E28" s="44" t="n"/>
      <c r="F28" s="44" t="n"/>
      <c r="G28" s="44" t="n"/>
      <c r="H28" s="44" t="n"/>
      <c r="I28" s="44" t="n"/>
    </row>
    <row r="29" ht="19.5" customHeight="1" s="33">
      <c r="A29" s="41" t="n">
        <v>27</v>
      </c>
      <c r="B29" s="42" t="n"/>
      <c r="C29" s="42" t="n"/>
      <c r="D29" s="42" t="n"/>
      <c r="E29" s="42" t="n"/>
      <c r="F29" s="42" t="n"/>
      <c r="G29" s="42" t="n"/>
      <c r="H29" s="42" t="n"/>
      <c r="I29" s="42" t="n"/>
    </row>
    <row r="30" ht="19.5" customHeight="1" s="33">
      <c r="A30" s="43" t="n">
        <v>28</v>
      </c>
      <c r="B30" s="44" t="n"/>
      <c r="C30" s="44" t="n"/>
      <c r="D30" s="44" t="n"/>
      <c r="E30" s="44" t="n"/>
      <c r="F30" s="44" t="n"/>
      <c r="G30" s="44" t="n"/>
      <c r="H30" s="44" t="n"/>
      <c r="I30" s="44" t="n"/>
    </row>
    <row r="31" ht="19.5" customHeight="1" s="33">
      <c r="A31" s="41" t="n">
        <v>29</v>
      </c>
      <c r="B31" s="42" t="n"/>
      <c r="C31" s="42" t="n"/>
      <c r="D31" s="42" t="n"/>
      <c r="E31" s="42" t="n"/>
      <c r="F31" s="42" t="n"/>
      <c r="G31" s="42" t="n"/>
      <c r="H31" s="42" t="n"/>
      <c r="I31" s="42" t="n"/>
    </row>
    <row r="32" ht="19.5" customHeight="1" s="33">
      <c r="A32" s="43" t="n">
        <v>30</v>
      </c>
      <c r="B32" s="44" t="n"/>
      <c r="C32" s="44" t="n"/>
      <c r="D32" s="44" t="n"/>
      <c r="E32" s="44" t="n"/>
      <c r="F32" s="44" t="n"/>
      <c r="G32" s="44" t="n"/>
      <c r="H32" s="44" t="n"/>
      <c r="I32" s="44" t="n"/>
    </row>
    <row r="33" ht="19.5" customHeight="1" s="33">
      <c r="A33" s="41" t="n">
        <v>31</v>
      </c>
      <c r="B33" s="42" t="n"/>
      <c r="C33" s="42" t="n"/>
      <c r="D33" s="42" t="n"/>
      <c r="E33" s="42" t="n"/>
      <c r="F33" s="42" t="n"/>
      <c r="G33" s="42" t="n"/>
      <c r="H33" s="42" t="n"/>
      <c r="I33" s="42" t="n"/>
    </row>
    <row r="34" ht="19.5" customHeight="1" s="33">
      <c r="A34" s="43" t="n">
        <v>32</v>
      </c>
      <c r="B34" s="44" t="n"/>
      <c r="C34" s="44" t="n"/>
      <c r="D34" s="44" t="n"/>
      <c r="E34" s="44" t="n"/>
      <c r="F34" s="44" t="n"/>
      <c r="G34" s="44" t="n"/>
      <c r="H34" s="44" t="n"/>
      <c r="I34" s="44" t="n"/>
    </row>
    <row r="35" ht="19.5" customHeight="1" s="33">
      <c r="A35" s="41" t="n">
        <v>33</v>
      </c>
      <c r="B35" s="42" t="n"/>
      <c r="C35" s="42" t="n"/>
      <c r="D35" s="42" t="n"/>
      <c r="E35" s="42" t="n"/>
      <c r="F35" s="42" t="n"/>
      <c r="G35" s="42" t="n"/>
      <c r="H35" s="42" t="n"/>
      <c r="I35" s="42" t="n"/>
    </row>
    <row r="36" ht="19.5" customHeight="1" s="33">
      <c r="A36" s="43" t="n">
        <v>34</v>
      </c>
      <c r="B36" s="44" t="n"/>
      <c r="C36" s="44" t="n"/>
      <c r="D36" s="44" t="n"/>
      <c r="E36" s="44" t="n"/>
      <c r="F36" s="44" t="n"/>
      <c r="G36" s="44" t="n"/>
      <c r="H36" s="44" t="n"/>
      <c r="I36" s="44" t="n"/>
    </row>
    <row r="37" ht="19.5" customHeight="1" s="33">
      <c r="A37" s="41" t="n">
        <v>35</v>
      </c>
      <c r="B37" s="42" t="n"/>
      <c r="C37" s="42" t="n"/>
      <c r="D37" s="42" t="n"/>
      <c r="E37" s="42" t="n"/>
      <c r="F37" s="42" t="n"/>
      <c r="G37" s="42" t="n"/>
      <c r="H37" s="42" t="n"/>
      <c r="I37" s="42" t="n"/>
    </row>
    <row r="38" ht="19.5" customHeight="1" s="33">
      <c r="A38" s="43" t="n">
        <v>36</v>
      </c>
      <c r="B38" s="44" t="n"/>
      <c r="C38" s="44" t="n"/>
      <c r="D38" s="44" t="n"/>
      <c r="E38" s="44" t="n"/>
      <c r="F38" s="44" t="n"/>
      <c r="G38" s="44" t="n"/>
      <c r="H38" s="44" t="n"/>
      <c r="I38" s="44" t="n"/>
    </row>
    <row r="39" ht="19.5" customHeight="1" s="33">
      <c r="A39" s="41" t="n">
        <v>37</v>
      </c>
      <c r="B39" s="42" t="n"/>
      <c r="C39" s="42" t="n"/>
      <c r="D39" s="42" t="n"/>
      <c r="E39" s="42" t="n"/>
      <c r="F39" s="42" t="n"/>
      <c r="G39" s="42" t="n"/>
      <c r="H39" s="42" t="n"/>
      <c r="I39" s="42" t="n"/>
    </row>
    <row r="40" ht="19.5" customHeight="1" s="33">
      <c r="A40" s="43" t="n">
        <v>38</v>
      </c>
      <c r="B40" s="44" t="n"/>
      <c r="C40" s="44" t="n"/>
      <c r="D40" s="44" t="n"/>
      <c r="E40" s="44" t="n"/>
      <c r="F40" s="44" t="n"/>
      <c r="G40" s="44" t="n"/>
      <c r="H40" s="44" t="n"/>
      <c r="I40" s="44" t="n"/>
    </row>
    <row r="41" ht="19.5" customHeight="1" s="33">
      <c r="A41" s="41" t="n">
        <v>39</v>
      </c>
      <c r="B41" s="42" t="n"/>
      <c r="C41" s="42" t="n"/>
      <c r="D41" s="42" t="n"/>
      <c r="E41" s="42" t="n"/>
      <c r="F41" s="42" t="n"/>
      <c r="G41" s="42" t="n"/>
      <c r="H41" s="42" t="n"/>
      <c r="I41" s="42" t="n"/>
    </row>
    <row r="42" ht="19.5" customHeight="1" s="33">
      <c r="A42" s="43" t="n">
        <v>40</v>
      </c>
      <c r="B42" s="44" t="n"/>
      <c r="C42" s="44" t="n"/>
      <c r="D42" s="44" t="n"/>
      <c r="E42" s="44" t="n"/>
      <c r="F42" s="44" t="n"/>
      <c r="G42" s="44" t="n"/>
      <c r="H42" s="44" t="n"/>
      <c r="I42" s="44" t="n"/>
    </row>
  </sheetData>
  <mergeCells count="2">
    <mergeCell ref="A1:I1"/>
    <mergeCell ref="G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5.51" customWidth="1" style="32" min="2" max="2"/>
    <col width="8" customWidth="1" style="32" min="3" max="3"/>
    <col width="7.8" customWidth="1" style="32" min="4" max="4"/>
    <col width="8" customWidth="1" style="32" min="5" max="5"/>
    <col width="9" customWidth="1" style="32" min="6" max="6"/>
    <col width="8.5" customWidth="1" style="32" min="7" max="7"/>
    <col width="13" customWidth="1" style="32" min="8" max="8"/>
    <col width="9" customWidth="1" style="32" min="9" max="9"/>
  </cols>
  <sheetData>
    <row r="1" ht="36" customHeight="1" s="33">
      <c r="A1" s="34" t="inlineStr">
        <is>
          <t>2026년 하계수양회 전도 및 침례 현황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</row>
    <row r="2" ht="24" customHeight="1" s="33">
      <c r="A2" s="48" t="inlineStr">
        <is>
          <t>NO</t>
        </is>
      </c>
      <c r="B2" s="49" t="inlineStr">
        <is>
          <t>구역</t>
        </is>
      </c>
      <c r="C2" s="49" t="inlineStr">
        <is>
          <t>성명</t>
        </is>
      </c>
      <c r="D2" s="49" t="inlineStr">
        <is>
          <t>회(부서)</t>
        </is>
      </c>
      <c r="E2" s="49" t="inlineStr">
        <is>
          <t>인도자</t>
        </is>
      </c>
      <c r="F2" s="49" t="inlineStr">
        <is>
          <t>관계</t>
        </is>
      </c>
      <c r="G2" s="49" t="inlineStr">
        <is>
          <t>구원시인</t>
        </is>
      </c>
      <c r="H2" s="49" t="inlineStr">
        <is>
          <t>침례여부</t>
        </is>
      </c>
      <c r="I2" s="49" t="inlineStr">
        <is>
          <t>비고</t>
        </is>
      </c>
    </row>
    <row r="3" ht="19.5" customHeight="1" s="33">
      <c r="A3" s="41" t="n">
        <v>1</v>
      </c>
      <c r="B3" s="42">
        <f>IF(전도대상자!B3="","",전도대상자!B3)</f>
        <v/>
      </c>
      <c r="C3" s="42">
        <f>IF(전도대상자!D3="","",전도대상자!D3)</f>
        <v/>
      </c>
      <c r="D3" s="42">
        <f>IF(전도대상자!C3="","",전도대상자!C3)</f>
        <v/>
      </c>
      <c r="E3" s="42">
        <f>IF(전도대상자!F3="","",전도대상자!F3)</f>
        <v/>
      </c>
      <c r="F3" s="42">
        <f>IF(전도대상자!E3="","",전도대상자!E3)</f>
        <v/>
      </c>
      <c r="G3" s="42" t="n"/>
      <c r="H3" s="42" t="n"/>
      <c r="I3" s="42">
        <f>IF(전도대상자!I3="","",전도대상자!I3)</f>
        <v/>
      </c>
    </row>
    <row r="4" ht="19.5" customHeight="1" s="33">
      <c r="A4" s="43" t="n">
        <v>2</v>
      </c>
      <c r="B4" s="44">
        <f>IF(전도대상자!B4="","",전도대상자!B4)</f>
        <v/>
      </c>
      <c r="C4" s="44">
        <f>IF(전도대상자!D4="","",전도대상자!D4)</f>
        <v/>
      </c>
      <c r="D4" s="44">
        <f>IF(전도대상자!C4="","",전도대상자!C4)</f>
        <v/>
      </c>
      <c r="E4" s="44">
        <f>IF(전도대상자!F4="","",전도대상자!F4)</f>
        <v/>
      </c>
      <c r="F4" s="44">
        <f>IF(전도대상자!E4="","",전도대상자!E4)</f>
        <v/>
      </c>
      <c r="G4" s="44" t="n"/>
      <c r="H4" s="44" t="n"/>
      <c r="I4" s="44">
        <f>IF(전도대상자!I4="","",전도대상자!I4)</f>
        <v/>
      </c>
    </row>
    <row r="5" ht="19.5" customHeight="1" s="33">
      <c r="A5" s="41" t="n">
        <v>3</v>
      </c>
      <c r="B5" s="42">
        <f>IF(전도대상자!B5="","",전도대상자!B5)</f>
        <v/>
      </c>
      <c r="C5" s="42">
        <f>IF(전도대상자!D5="","",전도대상자!D5)</f>
        <v/>
      </c>
      <c r="D5" s="42">
        <f>IF(전도대상자!C5="","",전도대상자!C5)</f>
        <v/>
      </c>
      <c r="E5" s="42">
        <f>IF(전도대상자!F5="","",전도대상자!F5)</f>
        <v/>
      </c>
      <c r="F5" s="42">
        <f>IF(전도대상자!E5="","",전도대상자!E5)</f>
        <v/>
      </c>
      <c r="G5" s="42" t="n"/>
      <c r="H5" s="42" t="n"/>
      <c r="I5" s="42">
        <f>IF(전도대상자!I5="","",전도대상자!I5)</f>
        <v/>
      </c>
    </row>
    <row r="6" ht="19.5" customHeight="1" s="33">
      <c r="A6" s="43" t="n">
        <v>4</v>
      </c>
      <c r="B6" s="44">
        <f>IF(전도대상자!B6="","",전도대상자!B6)</f>
        <v/>
      </c>
      <c r="C6" s="44">
        <f>IF(전도대상자!D6="","",전도대상자!D6)</f>
        <v/>
      </c>
      <c r="D6" s="44">
        <f>IF(전도대상자!C6="","",전도대상자!C6)</f>
        <v/>
      </c>
      <c r="E6" s="44">
        <f>IF(전도대상자!F6="","",전도대상자!F6)</f>
        <v/>
      </c>
      <c r="F6" s="44">
        <f>IF(전도대상자!E6="","",전도대상자!E6)</f>
        <v/>
      </c>
      <c r="G6" s="44" t="n"/>
      <c r="H6" s="44" t="n"/>
      <c r="I6" s="44">
        <f>IF(전도대상자!I6="","",전도대상자!I6)</f>
        <v/>
      </c>
    </row>
    <row r="7" ht="19.5" customHeight="1" s="33">
      <c r="A7" s="41" t="n">
        <v>5</v>
      </c>
      <c r="B7" s="42">
        <f>IF(전도대상자!B7="","",전도대상자!B7)</f>
        <v/>
      </c>
      <c r="C7" s="42">
        <f>IF(전도대상자!D7="","",전도대상자!D7)</f>
        <v/>
      </c>
      <c r="D7" s="42">
        <f>IF(전도대상자!C7="","",전도대상자!C7)</f>
        <v/>
      </c>
      <c r="E7" s="42">
        <f>IF(전도대상자!F7="","",전도대상자!F7)</f>
        <v/>
      </c>
      <c r="F7" s="42">
        <f>IF(전도대상자!E7="","",전도대상자!E7)</f>
        <v/>
      </c>
      <c r="G7" s="42" t="n"/>
      <c r="H7" s="42" t="n"/>
      <c r="I7" s="42">
        <f>IF(전도대상자!I7="","",전도대상자!I7)</f>
        <v/>
      </c>
    </row>
    <row r="8" ht="19.5" customHeight="1" s="33">
      <c r="A8" s="43" t="n">
        <v>6</v>
      </c>
      <c r="B8" s="44">
        <f>IF(전도대상자!B8="","",전도대상자!B8)</f>
        <v/>
      </c>
      <c r="C8" s="44">
        <f>IF(전도대상자!D8="","",전도대상자!D8)</f>
        <v/>
      </c>
      <c r="D8" s="44">
        <f>IF(전도대상자!C8="","",전도대상자!C8)</f>
        <v/>
      </c>
      <c r="E8" s="44">
        <f>IF(전도대상자!F8="","",전도대상자!F8)</f>
        <v/>
      </c>
      <c r="F8" s="44">
        <f>IF(전도대상자!E8="","",전도대상자!E8)</f>
        <v/>
      </c>
      <c r="G8" s="44" t="n"/>
      <c r="H8" s="44" t="n"/>
      <c r="I8" s="44">
        <f>IF(전도대상자!I8="","",전도대상자!I8)</f>
        <v/>
      </c>
    </row>
    <row r="9" ht="19.5" customHeight="1" s="33">
      <c r="A9" s="41" t="n">
        <v>7</v>
      </c>
      <c r="B9" s="42">
        <f>IF(전도대상자!B9="","",전도대상자!B9)</f>
        <v/>
      </c>
      <c r="C9" s="42">
        <f>IF(전도대상자!D9="","",전도대상자!D9)</f>
        <v/>
      </c>
      <c r="D9" s="42">
        <f>IF(전도대상자!C9="","",전도대상자!C9)</f>
        <v/>
      </c>
      <c r="E9" s="42">
        <f>IF(전도대상자!F9="","",전도대상자!F9)</f>
        <v/>
      </c>
      <c r="F9" s="42">
        <f>IF(전도대상자!E9="","",전도대상자!E9)</f>
        <v/>
      </c>
      <c r="G9" s="42" t="n"/>
      <c r="H9" s="42" t="n"/>
      <c r="I9" s="42">
        <f>IF(전도대상자!I9="","",전도대상자!I9)</f>
        <v/>
      </c>
    </row>
    <row r="10" ht="19.5" customHeight="1" s="33">
      <c r="A10" s="43" t="n">
        <v>8</v>
      </c>
      <c r="B10" s="44">
        <f>IF(전도대상자!B10="","",전도대상자!B10)</f>
        <v/>
      </c>
      <c r="C10" s="44">
        <f>IF(전도대상자!D10="","",전도대상자!D10)</f>
        <v/>
      </c>
      <c r="D10" s="44">
        <f>IF(전도대상자!C10="","",전도대상자!C10)</f>
        <v/>
      </c>
      <c r="E10" s="44">
        <f>IF(전도대상자!F10="","",전도대상자!F10)</f>
        <v/>
      </c>
      <c r="F10" s="44">
        <f>IF(전도대상자!E10="","",전도대상자!E10)</f>
        <v/>
      </c>
      <c r="G10" s="44" t="n"/>
      <c r="H10" s="44" t="n"/>
      <c r="I10" s="44">
        <f>IF(전도대상자!I10="","",전도대상자!I10)</f>
        <v/>
      </c>
    </row>
    <row r="11" ht="19.5" customHeight="1" s="33">
      <c r="A11" s="41" t="n">
        <v>9</v>
      </c>
      <c r="B11" s="42">
        <f>IF(전도대상자!B11="","",전도대상자!B11)</f>
        <v/>
      </c>
      <c r="C11" s="42">
        <f>IF(전도대상자!D11="","",전도대상자!D11)</f>
        <v/>
      </c>
      <c r="D11" s="42">
        <f>IF(전도대상자!C11="","",전도대상자!C11)</f>
        <v/>
      </c>
      <c r="E11" s="42">
        <f>IF(전도대상자!F11="","",전도대상자!F11)</f>
        <v/>
      </c>
      <c r="F11" s="42">
        <f>IF(전도대상자!E11="","",전도대상자!E11)</f>
        <v/>
      </c>
      <c r="G11" s="42" t="n"/>
      <c r="H11" s="42" t="n"/>
      <c r="I11" s="42">
        <f>IF(전도대상자!I11="","",전도대상자!I11)</f>
        <v/>
      </c>
    </row>
    <row r="12" ht="19.5" customHeight="1" s="33">
      <c r="A12" s="43" t="n">
        <v>10</v>
      </c>
      <c r="B12" s="44">
        <f>IF(전도대상자!B12="","",전도대상자!B12)</f>
        <v/>
      </c>
      <c r="C12" s="44">
        <f>IF(전도대상자!D12="","",전도대상자!D12)</f>
        <v/>
      </c>
      <c r="D12" s="44">
        <f>IF(전도대상자!C12="","",전도대상자!C12)</f>
        <v/>
      </c>
      <c r="E12" s="44">
        <f>IF(전도대상자!F12="","",전도대상자!F12)</f>
        <v/>
      </c>
      <c r="F12" s="44">
        <f>IF(전도대상자!E12="","",전도대상자!E12)</f>
        <v/>
      </c>
      <c r="G12" s="44" t="n"/>
      <c r="H12" s="44" t="n"/>
      <c r="I12" s="44">
        <f>IF(전도대상자!I12="","",전도대상자!I12)</f>
        <v/>
      </c>
    </row>
    <row r="13" ht="19.5" customHeight="1" s="33">
      <c r="A13" s="41" t="n">
        <v>11</v>
      </c>
      <c r="B13" s="42">
        <f>IF(전도대상자!B13="","",전도대상자!B13)</f>
        <v/>
      </c>
      <c r="C13" s="42">
        <f>IF(전도대상자!D13="","",전도대상자!D13)</f>
        <v/>
      </c>
      <c r="D13" s="42">
        <f>IF(전도대상자!C13="","",전도대상자!C13)</f>
        <v/>
      </c>
      <c r="E13" s="42">
        <f>IF(전도대상자!F13="","",전도대상자!F13)</f>
        <v/>
      </c>
      <c r="F13" s="42">
        <f>IF(전도대상자!E13="","",전도대상자!E13)</f>
        <v/>
      </c>
      <c r="G13" s="42" t="n"/>
      <c r="H13" s="42" t="n"/>
      <c r="I13" s="42">
        <f>IF(전도대상자!I13="","",전도대상자!I13)</f>
        <v/>
      </c>
    </row>
    <row r="14" ht="19.5" customHeight="1" s="33">
      <c r="A14" s="43" t="n">
        <v>12</v>
      </c>
      <c r="B14" s="44">
        <f>IF(전도대상자!B14="","",전도대상자!B14)</f>
        <v/>
      </c>
      <c r="C14" s="44">
        <f>IF(전도대상자!D14="","",전도대상자!D14)</f>
        <v/>
      </c>
      <c r="D14" s="44">
        <f>IF(전도대상자!C14="","",전도대상자!C14)</f>
        <v/>
      </c>
      <c r="E14" s="44">
        <f>IF(전도대상자!F14="","",전도대상자!F14)</f>
        <v/>
      </c>
      <c r="F14" s="44">
        <f>IF(전도대상자!E14="","",전도대상자!E14)</f>
        <v/>
      </c>
      <c r="G14" s="44" t="n"/>
      <c r="H14" s="44" t="n"/>
      <c r="I14" s="44">
        <f>IF(전도대상자!I14="","",전도대상자!I14)</f>
        <v/>
      </c>
    </row>
    <row r="15" ht="19.5" customHeight="1" s="33">
      <c r="A15" s="41" t="n">
        <v>13</v>
      </c>
      <c r="B15" s="42">
        <f>IF(전도대상자!B15="","",전도대상자!B15)</f>
        <v/>
      </c>
      <c r="C15" s="42">
        <f>IF(전도대상자!D15="","",전도대상자!D15)</f>
        <v/>
      </c>
      <c r="D15" s="42">
        <f>IF(전도대상자!C15="","",전도대상자!C15)</f>
        <v/>
      </c>
      <c r="E15" s="42">
        <f>IF(전도대상자!F15="","",전도대상자!F15)</f>
        <v/>
      </c>
      <c r="F15" s="42">
        <f>IF(전도대상자!E15="","",전도대상자!E15)</f>
        <v/>
      </c>
      <c r="G15" s="42" t="n"/>
      <c r="H15" s="42" t="n"/>
      <c r="I15" s="42">
        <f>IF(전도대상자!I15="","",전도대상자!I15)</f>
        <v/>
      </c>
    </row>
    <row r="16" ht="19.5" customHeight="1" s="33">
      <c r="A16" s="43" t="n">
        <v>14</v>
      </c>
      <c r="B16" s="44">
        <f>IF(전도대상자!B16="","",전도대상자!B16)</f>
        <v/>
      </c>
      <c r="C16" s="44">
        <f>IF(전도대상자!D16="","",전도대상자!D16)</f>
        <v/>
      </c>
      <c r="D16" s="44">
        <f>IF(전도대상자!C16="","",전도대상자!C16)</f>
        <v/>
      </c>
      <c r="E16" s="44">
        <f>IF(전도대상자!F16="","",전도대상자!F16)</f>
        <v/>
      </c>
      <c r="F16" s="44">
        <f>IF(전도대상자!E16="","",전도대상자!E16)</f>
        <v/>
      </c>
      <c r="G16" s="44" t="n"/>
      <c r="H16" s="44" t="n"/>
      <c r="I16" s="44">
        <f>IF(전도대상자!I16="","",전도대상자!I16)</f>
        <v/>
      </c>
    </row>
    <row r="17" ht="19.5" customHeight="1" s="33">
      <c r="A17" s="41" t="n">
        <v>15</v>
      </c>
      <c r="B17" s="42">
        <f>IF(전도대상자!B17="","",전도대상자!B17)</f>
        <v/>
      </c>
      <c r="C17" s="42">
        <f>IF(전도대상자!D17="","",전도대상자!D17)</f>
        <v/>
      </c>
      <c r="D17" s="42">
        <f>IF(전도대상자!C17="","",전도대상자!C17)</f>
        <v/>
      </c>
      <c r="E17" s="42">
        <f>IF(전도대상자!F17="","",전도대상자!F17)</f>
        <v/>
      </c>
      <c r="F17" s="42">
        <f>IF(전도대상자!E17="","",전도대상자!E17)</f>
        <v/>
      </c>
      <c r="G17" s="42" t="n"/>
      <c r="H17" s="42" t="n"/>
      <c r="I17" s="42">
        <f>IF(전도대상자!I17="","",전도대상자!I17)</f>
        <v/>
      </c>
    </row>
    <row r="18" ht="19.5" customHeight="1" s="33">
      <c r="A18" s="43" t="n">
        <v>16</v>
      </c>
      <c r="B18" s="44">
        <f>IF(전도대상자!B18="","",전도대상자!B18)</f>
        <v/>
      </c>
      <c r="C18" s="44">
        <f>IF(전도대상자!D18="","",전도대상자!D18)</f>
        <v/>
      </c>
      <c r="D18" s="44">
        <f>IF(전도대상자!C18="","",전도대상자!C18)</f>
        <v/>
      </c>
      <c r="E18" s="44">
        <f>IF(전도대상자!F18="","",전도대상자!F18)</f>
        <v/>
      </c>
      <c r="F18" s="44">
        <f>IF(전도대상자!E18="","",전도대상자!E18)</f>
        <v/>
      </c>
      <c r="G18" s="44" t="n"/>
      <c r="H18" s="44" t="n"/>
      <c r="I18" s="44">
        <f>IF(전도대상자!I18="","",전도대상자!I18)</f>
        <v/>
      </c>
    </row>
    <row r="19" ht="19.5" customHeight="1" s="33">
      <c r="A19" s="41" t="n">
        <v>17</v>
      </c>
      <c r="B19" s="42">
        <f>IF(전도대상자!B19="","",전도대상자!B19)</f>
        <v/>
      </c>
      <c r="C19" s="42">
        <f>IF(전도대상자!D19="","",전도대상자!D19)</f>
        <v/>
      </c>
      <c r="D19" s="42">
        <f>IF(전도대상자!C19="","",전도대상자!C19)</f>
        <v/>
      </c>
      <c r="E19" s="42">
        <f>IF(전도대상자!F19="","",전도대상자!F19)</f>
        <v/>
      </c>
      <c r="F19" s="42">
        <f>IF(전도대상자!E19="","",전도대상자!E19)</f>
        <v/>
      </c>
      <c r="G19" s="42" t="n"/>
      <c r="H19" s="42" t="n"/>
      <c r="I19" s="42">
        <f>IF(전도대상자!I19="","",전도대상자!I19)</f>
        <v/>
      </c>
    </row>
    <row r="20" ht="19.5" customHeight="1" s="33">
      <c r="A20" s="43" t="n">
        <v>18</v>
      </c>
      <c r="B20" s="44">
        <f>IF(전도대상자!B20="","",전도대상자!B20)</f>
        <v/>
      </c>
      <c r="C20" s="44">
        <f>IF(전도대상자!D20="","",전도대상자!D20)</f>
        <v/>
      </c>
      <c r="D20" s="44">
        <f>IF(전도대상자!C20="","",전도대상자!C20)</f>
        <v/>
      </c>
      <c r="E20" s="44">
        <f>IF(전도대상자!F20="","",전도대상자!F20)</f>
        <v/>
      </c>
      <c r="F20" s="44">
        <f>IF(전도대상자!E20="","",전도대상자!E20)</f>
        <v/>
      </c>
      <c r="G20" s="44" t="n"/>
      <c r="H20" s="44" t="n"/>
      <c r="I20" s="44">
        <f>IF(전도대상자!I20="","",전도대상자!I20)</f>
        <v/>
      </c>
    </row>
    <row r="21" ht="19.5" customHeight="1" s="33">
      <c r="A21" s="41" t="n">
        <v>19</v>
      </c>
      <c r="B21" s="42">
        <f>IF(전도대상자!B21="","",전도대상자!B21)</f>
        <v/>
      </c>
      <c r="C21" s="42">
        <f>IF(전도대상자!D21="","",전도대상자!D21)</f>
        <v/>
      </c>
      <c r="D21" s="42">
        <f>IF(전도대상자!C21="","",전도대상자!C21)</f>
        <v/>
      </c>
      <c r="E21" s="42">
        <f>IF(전도대상자!F21="","",전도대상자!F21)</f>
        <v/>
      </c>
      <c r="F21" s="42">
        <f>IF(전도대상자!E21="","",전도대상자!E21)</f>
        <v/>
      </c>
      <c r="G21" s="42" t="n"/>
      <c r="H21" s="42" t="n"/>
      <c r="I21" s="42">
        <f>IF(전도대상자!I21="","",전도대상자!I21)</f>
        <v/>
      </c>
    </row>
    <row r="22" ht="19.5" customHeight="1" s="33">
      <c r="A22" s="43" t="n">
        <v>20</v>
      </c>
      <c r="B22" s="44">
        <f>IF(전도대상자!B22="","",전도대상자!B22)</f>
        <v/>
      </c>
      <c r="C22" s="44">
        <f>IF(전도대상자!D22="","",전도대상자!D22)</f>
        <v/>
      </c>
      <c r="D22" s="44">
        <f>IF(전도대상자!C22="","",전도대상자!C22)</f>
        <v/>
      </c>
      <c r="E22" s="44">
        <f>IF(전도대상자!F22="","",전도대상자!F22)</f>
        <v/>
      </c>
      <c r="F22" s="44">
        <f>IF(전도대상자!E22="","",전도대상자!E22)</f>
        <v/>
      </c>
      <c r="G22" s="44" t="n"/>
      <c r="H22" s="44" t="n"/>
      <c r="I22" s="44">
        <f>IF(전도대상자!I22="","",전도대상자!I22)</f>
        <v/>
      </c>
    </row>
    <row r="23" ht="19.5" customHeight="1" s="33">
      <c r="A23" s="41" t="n">
        <v>21</v>
      </c>
      <c r="B23" s="42">
        <f>IF(전도대상자!B23="","",전도대상자!B23)</f>
        <v/>
      </c>
      <c r="C23" s="42">
        <f>IF(전도대상자!D23="","",전도대상자!D23)</f>
        <v/>
      </c>
      <c r="D23" s="42">
        <f>IF(전도대상자!C23="","",전도대상자!C23)</f>
        <v/>
      </c>
      <c r="E23" s="42">
        <f>IF(전도대상자!F23="","",전도대상자!F23)</f>
        <v/>
      </c>
      <c r="F23" s="42">
        <f>IF(전도대상자!E23="","",전도대상자!E23)</f>
        <v/>
      </c>
      <c r="G23" s="42" t="n"/>
      <c r="H23" s="42" t="n"/>
      <c r="I23" s="42">
        <f>IF(전도대상자!I23="","",전도대상자!I23)</f>
        <v/>
      </c>
    </row>
    <row r="24" ht="19.5" customHeight="1" s="33">
      <c r="A24" s="43" t="n">
        <v>22</v>
      </c>
      <c r="B24" s="44">
        <f>IF(전도대상자!B24="","",전도대상자!B24)</f>
        <v/>
      </c>
      <c r="C24" s="44">
        <f>IF(전도대상자!D24="","",전도대상자!D24)</f>
        <v/>
      </c>
      <c r="D24" s="44">
        <f>IF(전도대상자!C24="","",전도대상자!C24)</f>
        <v/>
      </c>
      <c r="E24" s="44">
        <f>IF(전도대상자!F24="","",전도대상자!F24)</f>
        <v/>
      </c>
      <c r="F24" s="44">
        <f>IF(전도대상자!E24="","",전도대상자!E24)</f>
        <v/>
      </c>
      <c r="G24" s="44" t="n"/>
      <c r="H24" s="44" t="n"/>
      <c r="I24" s="44">
        <f>IF(전도대상자!I24="","",전도대상자!I24)</f>
        <v/>
      </c>
    </row>
    <row r="25" ht="19.5" customHeight="1" s="33">
      <c r="A25" s="41" t="n">
        <v>23</v>
      </c>
      <c r="B25" s="42">
        <f>IF(전도대상자!B25="","",전도대상자!B25)</f>
        <v/>
      </c>
      <c r="C25" s="42">
        <f>IF(전도대상자!D25="","",전도대상자!D25)</f>
        <v/>
      </c>
      <c r="D25" s="42">
        <f>IF(전도대상자!C25="","",전도대상자!C25)</f>
        <v/>
      </c>
      <c r="E25" s="42">
        <f>IF(전도대상자!F25="","",전도대상자!F25)</f>
        <v/>
      </c>
      <c r="F25" s="42">
        <f>IF(전도대상자!E25="","",전도대상자!E25)</f>
        <v/>
      </c>
      <c r="G25" s="42" t="n"/>
      <c r="H25" s="42" t="n"/>
      <c r="I25" s="42">
        <f>IF(전도대상자!I25="","",전도대상자!I25)</f>
        <v/>
      </c>
    </row>
    <row r="26" ht="19.5" customHeight="1" s="33">
      <c r="A26" s="43" t="n">
        <v>24</v>
      </c>
      <c r="B26" s="44">
        <f>IF(전도대상자!B26="","",전도대상자!B26)</f>
        <v/>
      </c>
      <c r="C26" s="44">
        <f>IF(전도대상자!D26="","",전도대상자!D26)</f>
        <v/>
      </c>
      <c r="D26" s="44">
        <f>IF(전도대상자!C26="","",전도대상자!C26)</f>
        <v/>
      </c>
      <c r="E26" s="44">
        <f>IF(전도대상자!F26="","",전도대상자!F26)</f>
        <v/>
      </c>
      <c r="F26" s="44">
        <f>IF(전도대상자!E26="","",전도대상자!E26)</f>
        <v/>
      </c>
      <c r="G26" s="44" t="n"/>
      <c r="H26" s="44" t="n"/>
      <c r="I26" s="44">
        <f>IF(전도대상자!I26="","",전도대상자!I26)</f>
        <v/>
      </c>
    </row>
    <row r="27" ht="19.5" customHeight="1" s="33">
      <c r="A27" s="41" t="n">
        <v>25</v>
      </c>
      <c r="B27" s="42">
        <f>IF(전도대상자!B27="","",전도대상자!B27)</f>
        <v/>
      </c>
      <c r="C27" s="42">
        <f>IF(전도대상자!D27="","",전도대상자!D27)</f>
        <v/>
      </c>
      <c r="D27" s="42">
        <f>IF(전도대상자!C27="","",전도대상자!C27)</f>
        <v/>
      </c>
      <c r="E27" s="42">
        <f>IF(전도대상자!F27="","",전도대상자!F27)</f>
        <v/>
      </c>
      <c r="F27" s="42">
        <f>IF(전도대상자!E27="","",전도대상자!E27)</f>
        <v/>
      </c>
      <c r="G27" s="42" t="n"/>
      <c r="H27" s="42" t="n"/>
      <c r="I27" s="42">
        <f>IF(전도대상자!I27="","",전도대상자!I27)</f>
        <v/>
      </c>
    </row>
    <row r="28" ht="19.5" customHeight="1" s="33">
      <c r="A28" s="43" t="n">
        <v>26</v>
      </c>
      <c r="B28" s="44">
        <f>IF(전도대상자!B28="","",전도대상자!B28)</f>
        <v/>
      </c>
      <c r="C28" s="44">
        <f>IF(전도대상자!D28="","",전도대상자!D28)</f>
        <v/>
      </c>
      <c r="D28" s="44">
        <f>IF(전도대상자!C28="","",전도대상자!C28)</f>
        <v/>
      </c>
      <c r="E28" s="44">
        <f>IF(전도대상자!F28="","",전도대상자!F28)</f>
        <v/>
      </c>
      <c r="F28" s="44">
        <f>IF(전도대상자!E28="","",전도대상자!E28)</f>
        <v/>
      </c>
      <c r="G28" s="44" t="n"/>
      <c r="H28" s="44" t="n"/>
      <c r="I28" s="44">
        <f>IF(전도대상자!I28="","",전도대상자!I28)</f>
        <v/>
      </c>
    </row>
    <row r="29" ht="19.5" customHeight="1" s="33">
      <c r="A29" s="41" t="n">
        <v>27</v>
      </c>
      <c r="B29" s="42">
        <f>IF(전도대상자!B29="","",전도대상자!B29)</f>
        <v/>
      </c>
      <c r="C29" s="42">
        <f>IF(전도대상자!D29="","",전도대상자!D29)</f>
        <v/>
      </c>
      <c r="D29" s="42">
        <f>IF(전도대상자!C29="","",전도대상자!C29)</f>
        <v/>
      </c>
      <c r="E29" s="42">
        <f>IF(전도대상자!F29="","",전도대상자!F29)</f>
        <v/>
      </c>
      <c r="F29" s="42">
        <f>IF(전도대상자!E29="","",전도대상자!E29)</f>
        <v/>
      </c>
      <c r="G29" s="42" t="n"/>
      <c r="H29" s="42" t="n"/>
      <c r="I29" s="42">
        <f>IF(전도대상자!I29="","",전도대상자!I29)</f>
        <v/>
      </c>
    </row>
    <row r="30" ht="19.5" customHeight="1" s="33">
      <c r="A30" s="43" t="n">
        <v>28</v>
      </c>
      <c r="B30" s="44">
        <f>IF(전도대상자!B30="","",전도대상자!B30)</f>
        <v/>
      </c>
      <c r="C30" s="44">
        <f>IF(전도대상자!D30="","",전도대상자!D30)</f>
        <v/>
      </c>
      <c r="D30" s="44">
        <f>IF(전도대상자!C30="","",전도대상자!C30)</f>
        <v/>
      </c>
      <c r="E30" s="44">
        <f>IF(전도대상자!F30="","",전도대상자!F30)</f>
        <v/>
      </c>
      <c r="F30" s="44">
        <f>IF(전도대상자!E30="","",전도대상자!E30)</f>
        <v/>
      </c>
      <c r="G30" s="44" t="n"/>
      <c r="H30" s="44" t="n"/>
      <c r="I30" s="44">
        <f>IF(전도대상자!I30="","",전도대상자!I30)</f>
        <v/>
      </c>
    </row>
    <row r="31" ht="19.5" customHeight="1" s="33">
      <c r="A31" s="41" t="n">
        <v>29</v>
      </c>
      <c r="B31" s="42">
        <f>IF(전도대상자!B31="","",전도대상자!B31)</f>
        <v/>
      </c>
      <c r="C31" s="42">
        <f>IF(전도대상자!D31="","",전도대상자!D31)</f>
        <v/>
      </c>
      <c r="D31" s="42">
        <f>IF(전도대상자!C31="","",전도대상자!C31)</f>
        <v/>
      </c>
      <c r="E31" s="42">
        <f>IF(전도대상자!F31="","",전도대상자!F31)</f>
        <v/>
      </c>
      <c r="F31" s="42">
        <f>IF(전도대상자!E31="","",전도대상자!E31)</f>
        <v/>
      </c>
      <c r="G31" s="42" t="n"/>
      <c r="H31" s="42" t="n"/>
      <c r="I31" s="42">
        <f>IF(전도대상자!I31="","",전도대상자!I31)</f>
        <v/>
      </c>
    </row>
    <row r="32" ht="19.5" customHeight="1" s="33">
      <c r="A32" s="43" t="n">
        <v>30</v>
      </c>
      <c r="B32" s="44">
        <f>IF(전도대상자!B32="","",전도대상자!B32)</f>
        <v/>
      </c>
      <c r="C32" s="44">
        <f>IF(전도대상자!D32="","",전도대상자!D32)</f>
        <v/>
      </c>
      <c r="D32" s="44">
        <f>IF(전도대상자!C32="","",전도대상자!C32)</f>
        <v/>
      </c>
      <c r="E32" s="44">
        <f>IF(전도대상자!F32="","",전도대상자!F32)</f>
        <v/>
      </c>
      <c r="F32" s="44">
        <f>IF(전도대상자!E32="","",전도대상자!E32)</f>
        <v/>
      </c>
      <c r="G32" s="44" t="n"/>
      <c r="H32" s="44" t="n"/>
      <c r="I32" s="44">
        <f>IF(전도대상자!I32="","",전도대상자!I32)</f>
        <v/>
      </c>
    </row>
    <row r="33" ht="19.5" customHeight="1" s="33">
      <c r="A33" s="41" t="n">
        <v>31</v>
      </c>
      <c r="B33" s="42">
        <f>IF(전도대상자!B33="","",전도대상자!B33)</f>
        <v/>
      </c>
      <c r="C33" s="42">
        <f>IF(전도대상자!D33="","",전도대상자!D33)</f>
        <v/>
      </c>
      <c r="D33" s="42">
        <f>IF(전도대상자!C33="","",전도대상자!C33)</f>
        <v/>
      </c>
      <c r="E33" s="42">
        <f>IF(전도대상자!F33="","",전도대상자!F33)</f>
        <v/>
      </c>
      <c r="F33" s="42">
        <f>IF(전도대상자!E33="","",전도대상자!E33)</f>
        <v/>
      </c>
      <c r="G33" s="42" t="n"/>
      <c r="H33" s="42" t="n"/>
      <c r="I33" s="42">
        <f>IF(전도대상자!I33="","",전도대상자!I33)</f>
        <v/>
      </c>
    </row>
    <row r="34" ht="19.5" customHeight="1" s="33">
      <c r="A34" s="43" t="n">
        <v>32</v>
      </c>
      <c r="B34" s="44">
        <f>IF(전도대상자!B34="","",전도대상자!B34)</f>
        <v/>
      </c>
      <c r="C34" s="44">
        <f>IF(전도대상자!D34="","",전도대상자!D34)</f>
        <v/>
      </c>
      <c r="D34" s="44">
        <f>IF(전도대상자!C34="","",전도대상자!C34)</f>
        <v/>
      </c>
      <c r="E34" s="44">
        <f>IF(전도대상자!F34="","",전도대상자!F34)</f>
        <v/>
      </c>
      <c r="F34" s="44">
        <f>IF(전도대상자!E34="","",전도대상자!E34)</f>
        <v/>
      </c>
      <c r="G34" s="44" t="n"/>
      <c r="H34" s="44" t="n"/>
      <c r="I34" s="44">
        <f>IF(전도대상자!I34="","",전도대상자!I34)</f>
        <v/>
      </c>
    </row>
    <row r="35" ht="19.5" customHeight="1" s="33">
      <c r="A35" s="41" t="n">
        <v>33</v>
      </c>
      <c r="B35" s="42">
        <f>IF(전도대상자!B35="","",전도대상자!B35)</f>
        <v/>
      </c>
      <c r="C35" s="42">
        <f>IF(전도대상자!D35="","",전도대상자!D35)</f>
        <v/>
      </c>
      <c r="D35" s="42">
        <f>IF(전도대상자!C35="","",전도대상자!C35)</f>
        <v/>
      </c>
      <c r="E35" s="42">
        <f>IF(전도대상자!F35="","",전도대상자!F35)</f>
        <v/>
      </c>
      <c r="F35" s="42">
        <f>IF(전도대상자!E35="","",전도대상자!E35)</f>
        <v/>
      </c>
      <c r="G35" s="42" t="n"/>
      <c r="H35" s="42" t="n"/>
      <c r="I35" s="42">
        <f>IF(전도대상자!I35="","",전도대상자!I35)</f>
        <v/>
      </c>
    </row>
    <row r="36" ht="19.5" customHeight="1" s="33">
      <c r="A36" s="43" t="n">
        <v>34</v>
      </c>
      <c r="B36" s="44">
        <f>IF(전도대상자!B36="","",전도대상자!B36)</f>
        <v/>
      </c>
      <c r="C36" s="44">
        <f>IF(전도대상자!D36="","",전도대상자!D36)</f>
        <v/>
      </c>
      <c r="D36" s="44">
        <f>IF(전도대상자!C36="","",전도대상자!C36)</f>
        <v/>
      </c>
      <c r="E36" s="44">
        <f>IF(전도대상자!F36="","",전도대상자!F36)</f>
        <v/>
      </c>
      <c r="F36" s="44">
        <f>IF(전도대상자!E36="","",전도대상자!E36)</f>
        <v/>
      </c>
      <c r="G36" s="44" t="n"/>
      <c r="H36" s="44" t="n"/>
      <c r="I36" s="44">
        <f>IF(전도대상자!I36="","",전도대상자!I36)</f>
        <v/>
      </c>
    </row>
    <row r="37" ht="19.5" customHeight="1" s="33">
      <c r="A37" s="41" t="n">
        <v>35</v>
      </c>
      <c r="B37" s="42">
        <f>IF(전도대상자!B37="","",전도대상자!B37)</f>
        <v/>
      </c>
      <c r="C37" s="42">
        <f>IF(전도대상자!D37="","",전도대상자!D37)</f>
        <v/>
      </c>
      <c r="D37" s="42">
        <f>IF(전도대상자!C37="","",전도대상자!C37)</f>
        <v/>
      </c>
      <c r="E37" s="42">
        <f>IF(전도대상자!F37="","",전도대상자!F37)</f>
        <v/>
      </c>
      <c r="F37" s="42">
        <f>IF(전도대상자!E37="","",전도대상자!E37)</f>
        <v/>
      </c>
      <c r="G37" s="42" t="n"/>
      <c r="H37" s="42" t="n"/>
      <c r="I37" s="42">
        <f>IF(전도대상자!I37="","",전도대상자!I37)</f>
        <v/>
      </c>
    </row>
    <row r="38" ht="15" customHeight="1" s="33">
      <c r="A38" s="45" t="n">
        <v>36</v>
      </c>
      <c r="B38">
        <f>IF(전도대상자!B38="","",전도대상자!B38)</f>
        <v/>
      </c>
      <c r="C38">
        <f>IF(전도대상자!D38="","",전도대상자!D38)</f>
        <v/>
      </c>
      <c r="D38">
        <f>IF(전도대상자!C38="","",전도대상자!C38)</f>
        <v/>
      </c>
      <c r="E38">
        <f>IF(전도대상자!F38="","",전도대상자!F38)</f>
        <v/>
      </c>
      <c r="F38">
        <f>IF(전도대상자!E38="","",전도대상자!E38)</f>
        <v/>
      </c>
      <c r="G38" s="46" t="n"/>
      <c r="H38" s="46" t="n"/>
      <c r="I38" s="46">
        <f>IF(전도대상자!I38="","",전도대상자!I38)</f>
        <v/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K8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5.51" customWidth="1" style="32" min="2" max="2"/>
    <col width="9" customWidth="1" style="32" min="3" max="3"/>
    <col width="8" customWidth="1" style="32" min="4" max="4"/>
    <col width="10" customWidth="1" style="32" min="5" max="5"/>
    <col width="13" customWidth="1" style="32" min="6" max="6"/>
    <col width="8.5" customWidth="1" style="32" min="7" max="7"/>
    <col width="13" customWidth="1" style="32" min="8" max="11"/>
  </cols>
  <sheetData>
    <row r="1" ht="36" customHeight="1" s="33">
      <c r="A1" s="50" t="inlineStr">
        <is>
          <t>회비 지원 명단</t>
        </is>
      </c>
      <c r="B1" s="35" t="n"/>
      <c r="C1" s="35" t="n"/>
      <c r="D1" s="35" t="n"/>
      <c r="E1" s="35" t="n"/>
      <c r="F1" s="35" t="n"/>
    </row>
    <row r="2" ht="24" customHeight="1" s="33">
      <c r="A2" s="51" t="inlineStr">
        <is>
          <t>NO</t>
        </is>
      </c>
      <c r="B2" s="52" t="inlineStr">
        <is>
          <t>구역</t>
        </is>
      </c>
      <c r="C2" s="52" t="inlineStr">
        <is>
          <t>부서(회별)</t>
        </is>
      </c>
      <c r="D2" s="52" t="inlineStr">
        <is>
          <t>성  명</t>
        </is>
      </c>
      <c r="E2" s="52" t="inlineStr">
        <is>
          <t>금액</t>
        </is>
      </c>
      <c r="F2" s="52" t="inlineStr">
        <is>
          <t>비고</t>
        </is>
      </c>
      <c r="J2" s="53" t="inlineStr">
        <is>
          <t>회비</t>
        </is>
      </c>
      <c r="K2" s="35" t="n"/>
    </row>
    <row r="3" ht="15" customHeight="1" s="33">
      <c r="A3" s="41" t="n">
        <v>1</v>
      </c>
      <c r="B3" s="42" t="n"/>
      <c r="C3" s="42" t="n"/>
      <c r="D3" s="42" t="n"/>
      <c r="E3" s="54">
        <f>IF(C3="","",VLOOKUP(C3,$J$3:$K$11,2,0))</f>
        <v/>
      </c>
      <c r="F3" s="42" t="n"/>
      <c r="J3" s="55" t="inlineStr">
        <is>
          <t>은장회</t>
        </is>
      </c>
      <c r="K3" s="56" t="n">
        <v>50000</v>
      </c>
    </row>
    <row r="4" ht="15" customHeight="1" s="33">
      <c r="A4" s="43" t="n">
        <v>2</v>
      </c>
      <c r="B4" s="44" t="n"/>
      <c r="C4" s="44" t="n"/>
      <c r="D4" s="44" t="n"/>
      <c r="E4" s="57">
        <f>IF(C4="","",VLOOKUP(C4,$J$3:$K$11,2,0))</f>
        <v/>
      </c>
      <c r="F4" s="44" t="n"/>
      <c r="J4" s="55" t="inlineStr">
        <is>
          <t>봉사회</t>
        </is>
      </c>
      <c r="K4" s="56" t="n">
        <v>70000</v>
      </c>
    </row>
    <row r="5" ht="15" customHeight="1" s="33">
      <c r="A5" s="41" t="n">
        <v>3</v>
      </c>
      <c r="B5" s="42" t="n"/>
      <c r="C5" s="42" t="n"/>
      <c r="D5" s="42" t="n"/>
      <c r="E5" s="54">
        <f>IF(C5="","",VLOOKUP(C5,$J$3:$K$11,2,0))</f>
        <v/>
      </c>
      <c r="F5" s="42" t="n"/>
      <c r="J5" s="55" t="inlineStr">
        <is>
          <t>어머니회</t>
        </is>
      </c>
      <c r="K5" s="56" t="n">
        <v>70000</v>
      </c>
    </row>
    <row r="6" ht="15" customHeight="1" s="33">
      <c r="A6" s="43" t="n">
        <v>4</v>
      </c>
      <c r="B6" s="44" t="n"/>
      <c r="C6" s="44" t="n"/>
      <c r="D6" s="44" t="n"/>
      <c r="E6" s="57">
        <f>IF(C6="","",VLOOKUP(C6,$J$3:$K$11,2,0))</f>
        <v/>
      </c>
      <c r="F6" s="44" t="n"/>
      <c r="J6" s="55" t="inlineStr">
        <is>
          <t>청년회</t>
        </is>
      </c>
      <c r="K6" s="56" t="n">
        <v>70000</v>
      </c>
    </row>
    <row r="7" ht="15" customHeight="1" s="33">
      <c r="A7" s="41" t="n">
        <v>5</v>
      </c>
      <c r="B7" s="42" t="n"/>
      <c r="C7" s="42" t="n"/>
      <c r="D7" s="42" t="n"/>
      <c r="E7" s="54">
        <f>IF(C7="","",VLOOKUP(C7,$J$3:$K$11,2,0))</f>
        <v/>
      </c>
      <c r="F7" s="42" t="n"/>
      <c r="J7" s="55" t="inlineStr">
        <is>
          <t>대학부</t>
        </is>
      </c>
      <c r="K7" s="56" t="n">
        <v>50000</v>
      </c>
    </row>
    <row r="8" ht="15" customHeight="1" s="33">
      <c r="A8" s="43" t="n">
        <v>6</v>
      </c>
      <c r="B8" s="44" t="n"/>
      <c r="C8" s="44" t="n"/>
      <c r="D8" s="44" t="n"/>
      <c r="E8" s="57">
        <f>IF(C8="","",VLOOKUP(C8,$J$3:$K$11,2,0))</f>
        <v/>
      </c>
      <c r="F8" s="44" t="n"/>
      <c r="J8" s="55" t="inlineStr">
        <is>
          <t>중고등부</t>
        </is>
      </c>
      <c r="K8" s="56" t="n">
        <v>0</v>
      </c>
    </row>
    <row r="9" ht="15" customHeight="1" s="33">
      <c r="A9" s="41" t="n">
        <v>7</v>
      </c>
      <c r="B9" s="42" t="n"/>
      <c r="C9" s="42" t="n"/>
      <c r="D9" s="42" t="n"/>
      <c r="E9" s="54">
        <f>IF(C9="","",VLOOKUP(C9,$J$3:$K$11,2,0))</f>
        <v/>
      </c>
      <c r="F9" s="42" t="n"/>
      <c r="J9" s="55" t="inlineStr">
        <is>
          <t>초등부</t>
        </is>
      </c>
      <c r="K9" s="56" t="n">
        <v>0</v>
      </c>
    </row>
    <row r="10" ht="15" customHeight="1" s="33">
      <c r="A10" s="43" t="n">
        <v>8</v>
      </c>
      <c r="B10" s="44" t="n"/>
      <c r="C10" s="44" t="n"/>
      <c r="D10" s="44" t="n"/>
      <c r="E10" s="57">
        <f>IF(C10="","",VLOOKUP(C10,$J$3:$K$11,2,0))</f>
        <v/>
      </c>
      <c r="F10" s="44" t="n"/>
      <c r="J10" s="55" t="inlineStr">
        <is>
          <t>유치부</t>
        </is>
      </c>
      <c r="K10" s="56" t="n">
        <v>0</v>
      </c>
    </row>
    <row r="11" ht="15" customHeight="1" s="33">
      <c r="A11" s="41" t="n">
        <v>9</v>
      </c>
      <c r="B11" s="42" t="n"/>
      <c r="C11" s="42" t="n"/>
      <c r="D11" s="42" t="n"/>
      <c r="E11" s="54">
        <f>IF(C11="","",VLOOKUP(C11,$J$3:$K$11,2,0))</f>
        <v/>
      </c>
      <c r="F11" s="42" t="n"/>
      <c r="J11" s="55" t="inlineStr">
        <is>
          <t>미취학</t>
        </is>
      </c>
      <c r="K11" s="56" t="n">
        <v>0</v>
      </c>
    </row>
    <row r="12" ht="15" customHeight="1" s="33">
      <c r="A12" s="43" t="n">
        <v>10</v>
      </c>
      <c r="B12" s="44" t="n"/>
      <c r="C12" s="44" t="n"/>
      <c r="D12" s="44" t="n"/>
      <c r="E12" s="57">
        <f>IF(C12="","",VLOOKUP(C12,$J$3:$K$11,2,0))</f>
        <v/>
      </c>
      <c r="F12" s="44" t="n"/>
    </row>
    <row r="13" ht="15" customHeight="1" s="33">
      <c r="A13" s="41" t="n">
        <v>11</v>
      </c>
      <c r="B13" s="42" t="n"/>
      <c r="C13" s="42" t="n"/>
      <c r="D13" s="42" t="n"/>
      <c r="E13" s="54">
        <f>IF(C13="","",VLOOKUP(C13,$J$3:$K$11,2,0))</f>
        <v/>
      </c>
      <c r="F13" s="42" t="n"/>
    </row>
    <row r="14" ht="15" customHeight="1" s="33">
      <c r="A14" s="43" t="n">
        <v>12</v>
      </c>
      <c r="B14" s="44" t="n"/>
      <c r="C14" s="44" t="n"/>
      <c r="D14" s="44" t="n"/>
      <c r="E14" s="57">
        <f>IF(C14="","",VLOOKUP(C14,$J$3:$K$11,2,0))</f>
        <v/>
      </c>
      <c r="F14" s="44" t="n"/>
    </row>
    <row r="15" ht="15" customHeight="1" s="33">
      <c r="A15" s="41" t="n">
        <v>13</v>
      </c>
      <c r="B15" s="42" t="n"/>
      <c r="C15" s="42" t="n"/>
      <c r="D15" s="42" t="n"/>
      <c r="E15" s="54">
        <f>IF(C15="","",VLOOKUP(C15,$J$3:$K$11,2,0))</f>
        <v/>
      </c>
      <c r="F15" s="42" t="n"/>
    </row>
    <row r="16" ht="15" customHeight="1" s="33">
      <c r="A16" s="43" t="n">
        <v>14</v>
      </c>
      <c r="B16" s="44" t="n"/>
      <c r="C16" s="44" t="n"/>
      <c r="D16" s="44" t="n"/>
      <c r="E16" s="57">
        <f>IF(C16="","",VLOOKUP(C16,$J$3:$K$11,2,0))</f>
        <v/>
      </c>
      <c r="F16" s="44" t="n"/>
    </row>
    <row r="17" ht="15" customHeight="1" s="33">
      <c r="A17" s="41" t="n">
        <v>15</v>
      </c>
      <c r="B17" s="42" t="n"/>
      <c r="C17" s="42" t="n"/>
      <c r="D17" s="42" t="n"/>
      <c r="E17" s="54">
        <f>IF(C17="","",VLOOKUP(C17,$J$3:$K$11,2,0))</f>
        <v/>
      </c>
      <c r="F17" s="42" t="n"/>
    </row>
    <row r="18" ht="15" customHeight="1" s="33">
      <c r="A18" s="43" t="n">
        <v>16</v>
      </c>
      <c r="B18" s="44" t="n"/>
      <c r="C18" s="44" t="n"/>
      <c r="D18" s="44" t="n"/>
      <c r="E18" s="57">
        <f>IF(C18="","",VLOOKUP(C18,$J$3:$K$11,2,0))</f>
        <v/>
      </c>
      <c r="F18" s="44" t="n"/>
    </row>
    <row r="19" ht="15" customHeight="1" s="33">
      <c r="A19" s="41" t="n">
        <v>17</v>
      </c>
      <c r="B19" s="42" t="n"/>
      <c r="C19" s="42" t="n"/>
      <c r="D19" s="42" t="n"/>
      <c r="E19" s="54">
        <f>IF(C19="","",VLOOKUP(C19,$J$3:$K$11,2,0))</f>
        <v/>
      </c>
      <c r="F19" s="42" t="n"/>
    </row>
    <row r="20" ht="15" customHeight="1" s="33">
      <c r="A20" s="43" t="n">
        <v>18</v>
      </c>
      <c r="B20" s="44" t="n"/>
      <c r="C20" s="44" t="n"/>
      <c r="D20" s="44" t="n"/>
      <c r="E20" s="57">
        <f>IF(C20="","",VLOOKUP(C20,$J$3:$K$11,2,0))</f>
        <v/>
      </c>
      <c r="F20" s="44" t="n"/>
    </row>
    <row r="21" ht="15" customHeight="1" s="33">
      <c r="A21" s="41" t="n">
        <v>19</v>
      </c>
      <c r="B21" s="42" t="n"/>
      <c r="C21" s="42" t="n"/>
      <c r="D21" s="42" t="n"/>
      <c r="E21" s="54">
        <f>IF(C21="","",VLOOKUP(C21,$J$3:$K$11,2,0))</f>
        <v/>
      </c>
      <c r="F21" s="42" t="n"/>
    </row>
    <row r="22" ht="15" customHeight="1" s="33">
      <c r="A22" s="43" t="n">
        <v>20</v>
      </c>
      <c r="B22" s="44" t="n"/>
      <c r="C22" s="44" t="n"/>
      <c r="D22" s="44" t="n"/>
      <c r="E22" s="57">
        <f>IF(C22="","",VLOOKUP(C22,$J$3:$K$11,2,0))</f>
        <v/>
      </c>
      <c r="F22" s="44" t="n"/>
    </row>
    <row r="23" ht="15" customHeight="1" s="33">
      <c r="A23" s="41" t="n">
        <v>21</v>
      </c>
      <c r="B23" s="42" t="n"/>
      <c r="C23" s="42" t="n"/>
      <c r="D23" s="42" t="n"/>
      <c r="E23" s="54">
        <f>IF(C23="","",VLOOKUP(C23,$J$3:$K$11,2,0))</f>
        <v/>
      </c>
      <c r="F23" s="42" t="n"/>
    </row>
    <row r="24" ht="15" customHeight="1" s="33">
      <c r="A24" s="43" t="n">
        <v>22</v>
      </c>
      <c r="B24" s="44" t="n"/>
      <c r="C24" s="44" t="n"/>
      <c r="D24" s="44" t="n"/>
      <c r="E24" s="57">
        <f>IF(C24="","",VLOOKUP(C24,$J$3:$K$11,2,0))</f>
        <v/>
      </c>
      <c r="F24" s="44" t="n"/>
    </row>
    <row r="25" ht="15" customHeight="1" s="33">
      <c r="A25" s="41" t="n">
        <v>23</v>
      </c>
      <c r="B25" s="42" t="n"/>
      <c r="C25" s="42" t="n"/>
      <c r="D25" s="42" t="n"/>
      <c r="E25" s="54">
        <f>IF(C25="","",VLOOKUP(C25,$J$3:$K$11,2,0))</f>
        <v/>
      </c>
      <c r="F25" s="42" t="n"/>
    </row>
    <row r="26" ht="15" customHeight="1" s="33">
      <c r="A26" s="43" t="n">
        <v>24</v>
      </c>
      <c r="B26" s="44" t="n"/>
      <c r="C26" s="44" t="n"/>
      <c r="D26" s="44" t="n"/>
      <c r="E26" s="57">
        <f>IF(C26="","",VLOOKUP(C26,$J$3:$K$11,2,0))</f>
        <v/>
      </c>
      <c r="F26" s="44" t="n"/>
    </row>
    <row r="27" ht="15" customHeight="1" s="33">
      <c r="A27" s="41" t="n">
        <v>25</v>
      </c>
      <c r="B27" s="42" t="n"/>
      <c r="C27" s="42" t="n"/>
      <c r="D27" s="42" t="n"/>
      <c r="E27" s="54">
        <f>IF(C27="","",VLOOKUP(C27,$J$3:$K$11,2,0))</f>
        <v/>
      </c>
      <c r="F27" s="42" t="n"/>
    </row>
    <row r="28" ht="15" customHeight="1" s="33">
      <c r="A28" s="43" t="n">
        <v>26</v>
      </c>
      <c r="B28" s="44" t="n"/>
      <c r="C28" s="44" t="n"/>
      <c r="D28" s="44" t="n"/>
      <c r="E28" s="57">
        <f>IF(C28="","",VLOOKUP(C28,$J$3:$K$11,2,0))</f>
        <v/>
      </c>
      <c r="F28" s="44" t="n"/>
    </row>
    <row r="29" ht="15" customHeight="1" s="33">
      <c r="A29" s="41" t="n">
        <v>27</v>
      </c>
      <c r="B29" s="42" t="n"/>
      <c r="C29" s="42" t="n"/>
      <c r="D29" s="42" t="n"/>
      <c r="E29" s="54">
        <f>IF(C29="","",VLOOKUP(C29,$J$3:$K$11,2,0))</f>
        <v/>
      </c>
      <c r="F29" s="42" t="n"/>
    </row>
    <row r="30" ht="15" customHeight="1" s="33">
      <c r="A30" s="43" t="n">
        <v>28</v>
      </c>
      <c r="B30" s="44" t="n"/>
      <c r="C30" s="44" t="n"/>
      <c r="D30" s="44" t="n"/>
      <c r="E30" s="57">
        <f>IF(C30="","",VLOOKUP(C30,$J$3:$K$11,2,0))</f>
        <v/>
      </c>
      <c r="F30" s="44" t="n"/>
    </row>
    <row r="31" ht="15" customHeight="1" s="33">
      <c r="A31" s="41" t="n">
        <v>29</v>
      </c>
      <c r="B31" s="42" t="n"/>
      <c r="C31" s="42" t="n"/>
      <c r="D31" s="42" t="n"/>
      <c r="E31" s="54">
        <f>IF(C31="","",VLOOKUP(C31,$J$3:$K$11,2,0))</f>
        <v/>
      </c>
      <c r="F31" s="42" t="n"/>
    </row>
    <row r="32" ht="15" customHeight="1" s="33">
      <c r="A32" s="43" t="n">
        <v>30</v>
      </c>
      <c r="B32" s="44" t="n"/>
      <c r="C32" s="44" t="n"/>
      <c r="D32" s="44" t="n"/>
      <c r="E32" s="57">
        <f>IF(C32="","",VLOOKUP(C32,$J$3:$K$11,2,0))</f>
        <v/>
      </c>
      <c r="F32" s="44" t="n"/>
    </row>
    <row r="33" ht="15" customHeight="1" s="33">
      <c r="A33" s="41" t="n">
        <v>31</v>
      </c>
      <c r="B33" s="42" t="n"/>
      <c r="C33" s="42" t="n"/>
      <c r="D33" s="42" t="n"/>
      <c r="E33" s="54">
        <f>IF(C33="","",VLOOKUP(C33,$J$3:$K$11,2,0))</f>
        <v/>
      </c>
      <c r="F33" s="42" t="n"/>
    </row>
    <row r="34" ht="15" customHeight="1" s="33">
      <c r="A34" s="43" t="n">
        <v>32</v>
      </c>
      <c r="B34" s="44" t="n"/>
      <c r="C34" s="44" t="n"/>
      <c r="D34" s="44" t="n"/>
      <c r="E34" s="57">
        <f>IF(C34="","",VLOOKUP(C34,$J$3:$K$11,2,0))</f>
        <v/>
      </c>
      <c r="F34" s="44" t="n"/>
    </row>
    <row r="35" ht="15" customHeight="1" s="33">
      <c r="A35" s="41" t="n">
        <v>33</v>
      </c>
      <c r="B35" s="42" t="n"/>
      <c r="C35" s="42" t="n"/>
      <c r="D35" s="42" t="n"/>
      <c r="E35" s="54">
        <f>IF(C35="","",VLOOKUP(C35,$J$3:$K$11,2,0))</f>
        <v/>
      </c>
      <c r="F35" s="42" t="n"/>
    </row>
    <row r="36" ht="15" customHeight="1" s="33">
      <c r="A36" s="43" t="n">
        <v>34</v>
      </c>
      <c r="B36" s="44" t="n"/>
      <c r="C36" s="44" t="n"/>
      <c r="D36" s="44" t="n"/>
      <c r="E36" s="57">
        <f>IF(C36="","",VLOOKUP(C36,$J$3:$K$11,2,0))</f>
        <v/>
      </c>
      <c r="F36" s="44" t="n"/>
    </row>
    <row r="37" ht="15" customHeight="1" s="33">
      <c r="A37" s="41" t="n">
        <v>35</v>
      </c>
      <c r="B37" s="42" t="n"/>
      <c r="C37" s="42" t="n"/>
      <c r="D37" s="42" t="n"/>
      <c r="E37" s="54">
        <f>IF(C37="","",VLOOKUP(C37,$J$3:$K$11,2,0))</f>
        <v/>
      </c>
      <c r="F37" s="42" t="n"/>
    </row>
    <row r="38" ht="15" customHeight="1" s="33">
      <c r="A38" s="43" t="n">
        <v>36</v>
      </c>
      <c r="B38" s="44" t="n"/>
      <c r="C38" s="44" t="n"/>
      <c r="D38" s="44" t="n"/>
      <c r="E38" s="57">
        <f>IF(C38="","",VLOOKUP(C38,$J$3:$K$11,2,0))</f>
        <v/>
      </c>
      <c r="F38" s="44" t="n"/>
    </row>
    <row r="39" ht="15" customHeight="1" s="33">
      <c r="A39" s="41" t="n">
        <v>37</v>
      </c>
      <c r="B39" s="42" t="n"/>
      <c r="C39" s="42" t="n"/>
      <c r="D39" s="42" t="n"/>
      <c r="E39" s="54">
        <f>IF(C39="","",VLOOKUP(C39,$J$3:$K$11,2,0))</f>
        <v/>
      </c>
      <c r="F39" s="42" t="n"/>
    </row>
    <row r="40" ht="15" customHeight="1" s="33">
      <c r="A40" s="43" t="n">
        <v>38</v>
      </c>
      <c r="B40" s="44" t="n"/>
      <c r="C40" s="44" t="n"/>
      <c r="D40" s="44" t="n"/>
      <c r="E40" s="57">
        <f>IF(C40="","",VLOOKUP(C40,$J$3:$K$11,2,0))</f>
        <v/>
      </c>
      <c r="F40" s="44" t="n"/>
    </row>
    <row r="41" ht="15" customHeight="1" s="33">
      <c r="A41" s="41" t="n">
        <v>39</v>
      </c>
      <c r="B41" s="42" t="n"/>
      <c r="C41" s="42" t="n"/>
      <c r="D41" s="42" t="n"/>
      <c r="E41" s="54">
        <f>IF(C41="","",VLOOKUP(C41,$J$3:$K$11,2,0))</f>
        <v/>
      </c>
      <c r="F41" s="42" t="n"/>
    </row>
    <row r="42" ht="15" customHeight="1" s="33">
      <c r="A42" s="43" t="n">
        <v>40</v>
      </c>
      <c r="B42" s="44" t="n"/>
      <c r="C42" s="44" t="n"/>
      <c r="D42" s="44" t="n"/>
      <c r="E42" s="57">
        <f>IF(C42="","",VLOOKUP(C42,$J$3:$K$11,2,0))</f>
        <v/>
      </c>
      <c r="F42" s="44" t="n"/>
    </row>
    <row r="43" ht="15" customHeight="1" s="33">
      <c r="A43" s="41" t="n">
        <v>41</v>
      </c>
      <c r="B43" s="42" t="n"/>
      <c r="C43" s="42" t="n"/>
      <c r="D43" s="42" t="n"/>
      <c r="E43" s="54">
        <f>IF(C43="","",VLOOKUP(C43,$J$3:$K$11,2,0))</f>
        <v/>
      </c>
      <c r="F43" s="42" t="n"/>
    </row>
    <row r="44" ht="15" customHeight="1" s="33">
      <c r="A44" s="43" t="n">
        <v>42</v>
      </c>
      <c r="B44" s="44" t="n"/>
      <c r="C44" s="44" t="n"/>
      <c r="D44" s="44" t="n"/>
      <c r="E44" s="57">
        <f>IF(C44="","",VLOOKUP(C44,$J$3:$K$11,2,0))</f>
        <v/>
      </c>
      <c r="F44" s="44" t="n"/>
    </row>
    <row r="45" ht="15" customHeight="1" s="33">
      <c r="A45" s="41" t="n">
        <v>43</v>
      </c>
      <c r="B45" s="42" t="n"/>
      <c r="C45" s="42" t="n"/>
      <c r="D45" s="42" t="n"/>
      <c r="E45" s="54">
        <f>IF(C45="","",VLOOKUP(C45,$J$3:$K$11,2,0))</f>
        <v/>
      </c>
      <c r="F45" s="42" t="n"/>
    </row>
    <row r="46" ht="15" customHeight="1" s="33">
      <c r="A46" s="43" t="n">
        <v>44</v>
      </c>
      <c r="B46" s="44" t="n"/>
      <c r="C46" s="44" t="n"/>
      <c r="D46" s="44" t="n"/>
      <c r="E46" s="57">
        <f>IF(C46="","",VLOOKUP(C46,$J$3:$K$11,2,0))</f>
        <v/>
      </c>
      <c r="F46" s="44" t="n"/>
    </row>
    <row r="47" ht="15" customHeight="1" s="33">
      <c r="A47" s="41" t="n">
        <v>45</v>
      </c>
      <c r="B47" s="42" t="n"/>
      <c r="C47" s="42" t="n"/>
      <c r="D47" s="42" t="n"/>
      <c r="E47" s="54">
        <f>IF(C47="","",VLOOKUP(C47,$J$3:$K$11,2,0))</f>
        <v/>
      </c>
      <c r="F47" s="42" t="n"/>
    </row>
    <row r="48" ht="15" customHeight="1" s="33">
      <c r="A48" s="43" t="n">
        <v>46</v>
      </c>
      <c r="B48" s="44" t="n"/>
      <c r="C48" s="44" t="n"/>
      <c r="D48" s="44" t="n"/>
      <c r="E48" s="57">
        <f>IF(C48="","",VLOOKUP(C48,$J$3:$K$11,2,0))</f>
        <v/>
      </c>
      <c r="F48" s="44" t="n"/>
    </row>
    <row r="49" ht="15" customHeight="1" s="33">
      <c r="A49" s="41" t="n">
        <v>47</v>
      </c>
      <c r="B49" s="42" t="n"/>
      <c r="C49" s="42" t="n"/>
      <c r="D49" s="42" t="n"/>
      <c r="E49" s="54">
        <f>IF(C49="","",VLOOKUP(C49,$J$3:$K$11,2,0))</f>
        <v/>
      </c>
      <c r="F49" s="42" t="n"/>
    </row>
    <row r="50" ht="15" customHeight="1" s="33">
      <c r="A50" s="43" t="n">
        <v>48</v>
      </c>
      <c r="B50" s="44" t="n"/>
      <c r="C50" s="44" t="n"/>
      <c r="D50" s="44" t="n"/>
      <c r="E50" s="57">
        <f>IF(C50="","",VLOOKUP(C50,$J$3:$K$11,2,0))</f>
        <v/>
      </c>
      <c r="F50" s="44" t="n"/>
    </row>
    <row r="51" ht="15" customHeight="1" s="33">
      <c r="A51" s="41" t="n">
        <v>49</v>
      </c>
      <c r="B51" s="42" t="n"/>
      <c r="C51" s="42" t="n"/>
      <c r="D51" s="42" t="n"/>
      <c r="E51" s="54">
        <f>IF(C51="","",VLOOKUP(C51,$J$3:$K$11,2,0))</f>
        <v/>
      </c>
      <c r="F51" s="42" t="n"/>
    </row>
    <row r="52" ht="15" customHeight="1" s="33">
      <c r="A52" s="43" t="n">
        <v>50</v>
      </c>
      <c r="B52" s="44" t="n"/>
      <c r="C52" s="44" t="n"/>
      <c r="D52" s="44" t="n"/>
      <c r="E52" s="57">
        <f>IF(C52="","",VLOOKUP(C52,$J$3:$K$11,2,0))</f>
        <v/>
      </c>
      <c r="F52" s="44" t="n"/>
    </row>
    <row r="53" ht="15" customHeight="1" s="33">
      <c r="A53" s="41" t="n">
        <v>51</v>
      </c>
      <c r="B53" s="42" t="n"/>
      <c r="C53" s="42" t="n"/>
      <c r="D53" s="42" t="n"/>
      <c r="E53" s="54">
        <f>IF(C53="","",VLOOKUP(C53,$J$3:$K$11,2,0))</f>
        <v/>
      </c>
      <c r="F53" s="42" t="n"/>
    </row>
    <row r="54" ht="15" customHeight="1" s="33">
      <c r="A54" s="43" t="n">
        <v>52</v>
      </c>
      <c r="B54" s="44" t="n"/>
      <c r="C54" s="44" t="n"/>
      <c r="D54" s="44" t="n"/>
      <c r="E54" s="57">
        <f>IF(C54="","",VLOOKUP(C54,$J$3:$K$11,2,0))</f>
        <v/>
      </c>
      <c r="F54" s="44" t="n"/>
    </row>
    <row r="55" ht="15" customHeight="1" s="33">
      <c r="A55" s="41" t="n">
        <v>53</v>
      </c>
      <c r="B55" s="42" t="n"/>
      <c r="C55" s="42" t="n"/>
      <c r="D55" s="42" t="n"/>
      <c r="E55" s="54">
        <f>IF(C55="","",VLOOKUP(C55,$J$3:$K$11,2,0))</f>
        <v/>
      </c>
      <c r="F55" s="42" t="n"/>
    </row>
    <row r="56" ht="15" customHeight="1" s="33">
      <c r="A56" s="43" t="n">
        <v>54</v>
      </c>
      <c r="B56" s="44" t="n"/>
      <c r="C56" s="44" t="n"/>
      <c r="D56" s="44" t="n"/>
      <c r="E56" s="57">
        <f>IF(C56="","",VLOOKUP(C56,$J$3:$K$11,2,0))</f>
        <v/>
      </c>
      <c r="F56" s="44" t="n"/>
    </row>
    <row r="57" ht="15" customHeight="1" s="33">
      <c r="A57" s="41" t="n">
        <v>55</v>
      </c>
      <c r="B57" s="42" t="n"/>
      <c r="C57" s="42" t="n"/>
      <c r="D57" s="42" t="n"/>
      <c r="E57" s="54">
        <f>IF(C57="","",VLOOKUP(C57,$J$3:$K$11,2,0))</f>
        <v/>
      </c>
      <c r="F57" s="42" t="n"/>
    </row>
    <row r="58" ht="15" customHeight="1" s="33">
      <c r="A58" s="43" t="n">
        <v>56</v>
      </c>
      <c r="B58" s="44" t="n"/>
      <c r="C58" s="44" t="n"/>
      <c r="D58" s="44" t="n"/>
      <c r="E58" s="57">
        <f>IF(C58="","",VLOOKUP(C58,$J$3:$K$11,2,0))</f>
        <v/>
      </c>
      <c r="F58" s="44" t="n"/>
    </row>
    <row r="59" ht="15" customHeight="1" s="33">
      <c r="A59" s="41" t="n">
        <v>57</v>
      </c>
      <c r="B59" s="42" t="n"/>
      <c r="C59" s="42" t="n"/>
      <c r="D59" s="42" t="n"/>
      <c r="E59" s="54">
        <f>IF(C59="","",VLOOKUP(C59,$J$3:$K$11,2,0))</f>
        <v/>
      </c>
      <c r="F59" s="42" t="n"/>
    </row>
    <row r="60" ht="15" customHeight="1" s="33">
      <c r="A60" s="43" t="n">
        <v>58</v>
      </c>
      <c r="B60" s="44" t="n"/>
      <c r="C60" s="44" t="n"/>
      <c r="D60" s="44" t="n"/>
      <c r="E60" s="57">
        <f>IF(C60="","",VLOOKUP(C60,$J$3:$K$11,2,0))</f>
        <v/>
      </c>
      <c r="F60" s="44" t="n"/>
    </row>
    <row r="61" ht="15" customHeight="1" s="33">
      <c r="A61" s="41" t="n">
        <v>59</v>
      </c>
      <c r="B61" s="42" t="n"/>
      <c r="C61" s="42" t="n"/>
      <c r="D61" s="42" t="n"/>
      <c r="E61" s="54">
        <f>IF(C61="","",VLOOKUP(C61,$J$3:$K$11,2,0))</f>
        <v/>
      </c>
      <c r="F61" s="42" t="n"/>
    </row>
    <row r="62" ht="15" customHeight="1" s="33">
      <c r="A62" s="43" t="n">
        <v>60</v>
      </c>
      <c r="B62" s="44" t="n"/>
      <c r="C62" s="44" t="n"/>
      <c r="D62" s="44" t="n"/>
      <c r="E62" s="57">
        <f>IF(C62="","",VLOOKUP(C62,$J$3:$K$11,2,0))</f>
        <v/>
      </c>
      <c r="F62" s="44" t="n"/>
    </row>
    <row r="63" ht="15" customHeight="1" s="33">
      <c r="A63" s="41" t="n">
        <v>61</v>
      </c>
      <c r="B63" s="42" t="n"/>
      <c r="C63" s="42" t="n"/>
      <c r="D63" s="42" t="n"/>
      <c r="E63" s="54">
        <f>IF(C63="","",VLOOKUP(C63,$J$3:$K$11,2,0))</f>
        <v/>
      </c>
      <c r="F63" s="42" t="n"/>
    </row>
    <row r="64" ht="15" customHeight="1" s="33">
      <c r="A64" s="43" t="n">
        <v>62</v>
      </c>
      <c r="B64" s="44" t="n"/>
      <c r="C64" s="44" t="n"/>
      <c r="D64" s="44" t="n"/>
      <c r="E64" s="57">
        <f>IF(C64="","",VLOOKUP(C64,$J$3:$K$11,2,0))</f>
        <v/>
      </c>
      <c r="F64" s="44" t="n"/>
    </row>
    <row r="65" ht="15" customHeight="1" s="33">
      <c r="A65" s="41" t="n">
        <v>63</v>
      </c>
      <c r="B65" s="42" t="n"/>
      <c r="C65" s="42" t="n"/>
      <c r="D65" s="42" t="n"/>
      <c r="E65" s="54">
        <f>IF(C65="","",VLOOKUP(C65,$J$3:$K$11,2,0))</f>
        <v/>
      </c>
      <c r="F65" s="42" t="n"/>
    </row>
    <row r="66" ht="15" customHeight="1" s="33">
      <c r="A66" s="43" t="n">
        <v>64</v>
      </c>
      <c r="B66" s="44" t="n"/>
      <c r="C66" s="44" t="n"/>
      <c r="D66" s="44" t="n"/>
      <c r="E66" s="57">
        <f>IF(C66="","",VLOOKUP(C66,$J$3:$K$11,2,0))</f>
        <v/>
      </c>
      <c r="F66" s="44" t="n"/>
    </row>
    <row r="67" ht="15" customHeight="1" s="33">
      <c r="A67" s="41" t="n">
        <v>65</v>
      </c>
      <c r="B67" s="42" t="n"/>
      <c r="C67" s="42" t="n"/>
      <c r="D67" s="42" t="n"/>
      <c r="E67" s="54">
        <f>IF(C67="","",VLOOKUP(C67,$J$3:$K$11,2,0))</f>
        <v/>
      </c>
      <c r="F67" s="42" t="n"/>
    </row>
    <row r="68" ht="15" customHeight="1" s="33">
      <c r="A68" s="43" t="n">
        <v>66</v>
      </c>
      <c r="B68" s="44" t="n"/>
      <c r="C68" s="44" t="n"/>
      <c r="D68" s="44" t="n"/>
      <c r="E68" s="57">
        <f>IF(C68="","",VLOOKUP(C68,$J$3:$K$11,2,0))</f>
        <v/>
      </c>
      <c r="F68" s="44" t="n"/>
    </row>
    <row r="69" ht="15" customHeight="1" s="33">
      <c r="A69" s="41" t="n">
        <v>67</v>
      </c>
      <c r="B69" s="42" t="n"/>
      <c r="C69" s="42" t="n"/>
      <c r="D69" s="42" t="n"/>
      <c r="E69" s="54">
        <f>IF(C69="","",VLOOKUP(C69,$J$3:$K$11,2,0))</f>
        <v/>
      </c>
      <c r="F69" s="42" t="n"/>
    </row>
    <row r="70" ht="15" customHeight="1" s="33">
      <c r="A70" s="43" t="n">
        <v>68</v>
      </c>
      <c r="B70" s="44" t="n"/>
      <c r="C70" s="44" t="n"/>
      <c r="D70" s="44" t="n"/>
      <c r="E70" s="57">
        <f>IF(C70="","",VLOOKUP(C70,$J$3:$K$11,2,0))</f>
        <v/>
      </c>
      <c r="F70" s="44" t="n"/>
    </row>
    <row r="71" ht="15" customHeight="1" s="33">
      <c r="A71" s="41" t="n">
        <v>69</v>
      </c>
      <c r="B71" s="42" t="n"/>
      <c r="C71" s="42" t="n"/>
      <c r="D71" s="42" t="n"/>
      <c r="E71" s="54">
        <f>IF(C71="","",VLOOKUP(C71,$J$3:$K$11,2,0))</f>
        <v/>
      </c>
      <c r="F71" s="42" t="n"/>
    </row>
    <row r="72" ht="15" customHeight="1" s="33">
      <c r="A72" s="43" t="n">
        <v>70</v>
      </c>
      <c r="B72" s="44" t="n"/>
      <c r="C72" s="44" t="n"/>
      <c r="D72" s="44" t="n"/>
      <c r="E72" s="57">
        <f>IF(C72="","",VLOOKUP(C72,$J$3:$K$11,2,0))</f>
        <v/>
      </c>
      <c r="F72" s="44" t="n"/>
    </row>
    <row r="73" ht="15" customHeight="1" s="33">
      <c r="A73" s="41" t="n">
        <v>71</v>
      </c>
      <c r="B73" s="42" t="n"/>
      <c r="C73" s="42" t="n"/>
      <c r="D73" s="42" t="n"/>
      <c r="E73" s="54">
        <f>IF(C73="","",VLOOKUP(C73,$J$3:$K$11,2,0))</f>
        <v/>
      </c>
      <c r="F73" s="42" t="n"/>
    </row>
    <row r="74" ht="15" customHeight="1" s="33">
      <c r="A74" s="43" t="n">
        <v>72</v>
      </c>
      <c r="B74" s="44" t="n"/>
      <c r="C74" s="44" t="n"/>
      <c r="D74" s="44" t="n"/>
      <c r="E74" s="57">
        <f>IF(C74="","",VLOOKUP(C74,$J$3:$K$11,2,0))</f>
        <v/>
      </c>
      <c r="F74" s="44" t="n"/>
    </row>
    <row r="75" ht="15" customHeight="1" s="33">
      <c r="A75" s="41" t="n">
        <v>73</v>
      </c>
      <c r="B75" s="42" t="n"/>
      <c r="C75" s="42" t="n"/>
      <c r="D75" s="42" t="n"/>
      <c r="E75" s="54">
        <f>IF(C75="","",VLOOKUP(C75,$J$3:$K$11,2,0))</f>
        <v/>
      </c>
      <c r="F75" s="42" t="n"/>
    </row>
    <row r="76" ht="15" customHeight="1" s="33">
      <c r="A76" s="43" t="n">
        <v>74</v>
      </c>
      <c r="B76" s="44" t="n"/>
      <c r="C76" s="44" t="n"/>
      <c r="D76" s="44" t="n"/>
      <c r="E76" s="57">
        <f>IF(C76="","",VLOOKUP(C76,$J$3:$K$11,2,0))</f>
        <v/>
      </c>
      <c r="F76" s="44" t="n"/>
    </row>
    <row r="77" ht="15" customHeight="1" s="33">
      <c r="A77" s="41" t="n">
        <v>75</v>
      </c>
      <c r="B77" s="42" t="n"/>
      <c r="C77" s="42" t="n"/>
      <c r="D77" s="42" t="n"/>
      <c r="E77" s="54">
        <f>IF(C77="","",VLOOKUP(C77,$J$3:$K$11,2,0))</f>
        <v/>
      </c>
      <c r="F77" s="42" t="n"/>
    </row>
    <row r="78" ht="15" customHeight="1" s="33">
      <c r="A78" s="43" t="n">
        <v>76</v>
      </c>
      <c r="B78" s="44" t="n"/>
      <c r="C78" s="44" t="n"/>
      <c r="D78" s="44" t="n"/>
      <c r="E78" s="57">
        <f>IF(C78="","",VLOOKUP(C78,$J$3:$K$11,2,0))</f>
        <v/>
      </c>
      <c r="F78" s="44" t="n"/>
    </row>
    <row r="79" ht="15" customHeight="1" s="33">
      <c r="A79" s="41" t="n">
        <v>77</v>
      </c>
      <c r="B79" s="42" t="n"/>
      <c r="C79" s="42" t="n"/>
      <c r="D79" s="42" t="n"/>
      <c r="E79" s="54">
        <f>IF(C79="","",VLOOKUP(C79,$J$3:$K$11,2,0))</f>
        <v/>
      </c>
      <c r="F79" s="42" t="n"/>
    </row>
    <row r="80" ht="15" customHeight="1" s="33">
      <c r="A80" s="43" t="n">
        <v>78</v>
      </c>
      <c r="B80" s="44" t="n"/>
      <c r="C80" s="44" t="n"/>
      <c r="D80" s="44" t="n"/>
      <c r="E80" s="57">
        <f>IF(C80="","",VLOOKUP(C80,$J$3:$K$11,2,0))</f>
        <v/>
      </c>
      <c r="F80" s="44" t="n"/>
    </row>
    <row r="81" ht="15" customHeight="1" s="33">
      <c r="A81" s="41" t="n">
        <v>79</v>
      </c>
      <c r="B81" s="42" t="n"/>
      <c r="C81" s="42" t="n"/>
      <c r="D81" s="42" t="n"/>
      <c r="E81" s="54">
        <f>IF(C81="","",VLOOKUP(C81,$J$3:$K$11,2,0))</f>
        <v/>
      </c>
      <c r="F81" s="42" t="n"/>
    </row>
    <row r="82" ht="15" customHeight="1" s="33">
      <c r="A82" s="43" t="n">
        <v>80</v>
      </c>
      <c r="B82" s="44" t="n"/>
      <c r="C82" s="44" t="n"/>
      <c r="D82" s="44" t="n"/>
      <c r="E82" s="57">
        <f>IF(C82="","",VLOOKUP(C82,$J$3:$K$11,2,0))</f>
        <v/>
      </c>
      <c r="F82" s="44" t="n"/>
    </row>
    <row r="83" ht="15" customHeight="1" s="33">
      <c r="A83" s="58" t="inlineStr">
        <is>
          <t>합  계</t>
        </is>
      </c>
      <c r="B83" s="35" t="n"/>
      <c r="C83" s="35" t="n"/>
      <c r="D83" s="35" t="n"/>
      <c r="E83" s="59">
        <f>IF(SUM(E3:E82)=0,"",SUM(E3:E82))</f>
        <v/>
      </c>
      <c r="F83" s="60" t="n"/>
    </row>
  </sheetData>
  <mergeCells count="3">
    <mergeCell ref="A83:D83"/>
    <mergeCell ref="J2:K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.8" customWidth="1" style="32" min="1" max="1"/>
    <col width="4.5" customWidth="1" style="32" min="2" max="2"/>
    <col width="13" customWidth="1" style="32" min="3" max="13"/>
  </cols>
  <sheetData>
    <row r="1" ht="36" customHeight="1" s="33">
      <c r="A1" s="34" t="inlineStr">
        <is>
          <t>2026년 하계수양회 교통편 통계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</row>
    <row r="2" ht="24" customHeight="1" s="33">
      <c r="A2" s="37" t="inlineStr">
        <is>
          <t>구역</t>
        </is>
      </c>
      <c r="B2" s="38" t="inlineStr">
        <is>
          <t>본대 버스</t>
        </is>
      </c>
      <c r="C2" s="35" t="n"/>
      <c r="D2" s="37" t="inlineStr">
        <is>
          <t>기타
상행</t>
        </is>
      </c>
      <c r="E2" s="37" t="inlineStr">
        <is>
          <t>기타
하행</t>
        </is>
      </c>
      <c r="F2" s="38" t="inlineStr">
        <is>
          <t>교회차</t>
        </is>
      </c>
      <c r="G2" s="35" t="n"/>
      <c r="H2" s="38" t="inlineStr">
        <is>
          <t>타교회</t>
        </is>
      </c>
      <c r="I2" s="35" t="n"/>
      <c r="J2" s="38" t="inlineStr">
        <is>
          <t>개인차량</t>
        </is>
      </c>
      <c r="K2" s="35" t="n"/>
      <c r="L2" s="38" t="inlineStr">
        <is>
          <t>대중교통</t>
        </is>
      </c>
      <c r="M2" s="35" t="n"/>
    </row>
    <row r="3" ht="24" customHeight="1" s="33">
      <c r="A3" s="39" t="n"/>
      <c r="B3" s="40" t="inlineStr">
        <is>
          <t>상행</t>
        </is>
      </c>
      <c r="C3" s="40" t="inlineStr">
        <is>
          <t>하행</t>
        </is>
      </c>
      <c r="D3" s="39" t="n"/>
      <c r="E3" s="39" t="n"/>
      <c r="F3" s="40" t="inlineStr">
        <is>
          <t>상행</t>
        </is>
      </c>
      <c r="G3" s="40" t="inlineStr">
        <is>
          <t>하행</t>
        </is>
      </c>
      <c r="H3" s="40" t="inlineStr">
        <is>
          <t>상행</t>
        </is>
      </c>
      <c r="I3" s="40" t="inlineStr">
        <is>
          <t>하행</t>
        </is>
      </c>
      <c r="J3" s="40" t="inlineStr">
        <is>
          <t>상행</t>
        </is>
      </c>
      <c r="K3" s="40" t="inlineStr">
        <is>
          <t>하행</t>
        </is>
      </c>
      <c r="L3" s="40" t="inlineStr">
        <is>
          <t>상행</t>
        </is>
      </c>
      <c r="M3" s="40" t="inlineStr">
        <is>
          <t>하행</t>
        </is>
      </c>
    </row>
    <row r="4" ht="21.75" customHeight="1" s="33">
      <c r="A4" s="42" t="inlineStr">
        <is>
          <t>11구역</t>
        </is>
      </c>
      <c r="B4" s="42">
        <f>IF(COUNTIFS(11구역!F4:F43,"1호차",11구역!E4:E43,$B23)+COUNTIFS(11구역!F4:F43,"2호차",11구역!E4:E43,$B23)+COUNTIFS(11구역!F4:F43,"3호차",11구역!E4:E43,$B23)+COUNTIFS(11구역!F4:F43,"4호차",11구역!E4:E43,$B23)+COUNTIFS(11구역!F4:F43,"5호차",11구역!E4:E43,$B23)+COUNTIFS(11구역!F4:F43,"6호차",11구역!E4:E43,$B23)+COUNTIFS(11구역!F4:F43,"7호차",11구역!E4:E43,$B23)=0,"",COUNTIFS(11구역!F4:F43,"1호차",11구역!E4:E43,$B23)+COUNTIFS(11구역!F4:F43,"2호차",11구역!E4:E43,$B23)+COUNTIFS(11구역!F4:F43,"3호차",11구역!E4:E43,$B23)+COUNTIFS(11구역!F4:F43,"4호차",11구역!E4:E43,$B23)+COUNTIFS(11구역!F4:F43,"5호차",11구역!E4:E43,$B23)+COUNTIFS(11구역!F4:F43,"6호차",11구역!E4:E43,$B23)+COUNTIFS(11구역!F4:F43,"7호차",11구역!E4:E43,$B23))</f>
        <v/>
      </c>
      <c r="C4" s="42">
        <f>IF(COUNTIFS(11구역!G4:G43,"1호차",11구역!E4:E43,$B23)+COUNTIFS(11구역!G4:G43,"2호차",11구역!E4:E43,$B23)+COUNTIFS(11구역!G4:G43,"3호차",11구역!E4:E43,$B23)+COUNTIFS(11구역!G4:G43,"4호차",11구역!E4:E43,$B23)+COUNTIFS(11구역!G4:G43,"5호차",11구역!E4:E43,$B23)+COUNTIFS(11구역!G4:G43,"6호차",11구역!E4:E43,$B23)+COUNTIFS(11구역!G4:G43,"7호차",11구역!E4:E43,$B23)=0,"",COUNTIFS(11구역!G4:G43,"1호차",11구역!E4:E43,$B23)+COUNTIFS(11구역!G4:G43,"2호차",11구역!E4:E43,$B23)+COUNTIFS(11구역!G4:G43,"3호차",11구역!E4:E43,$B23)+COUNTIFS(11구역!G4:G43,"4호차",11구역!E4:E43,$B23)+COUNTIFS(11구역!G4:G43,"5호차",11구역!E4:E43,$B23)+COUNTIFS(11구역!G4:G43,"6호차",11구역!E4:E43,$B23)+COUNTIFS(11구역!G4:G43,"7호차",11구역!E4:E43,$B23))</f>
        <v/>
      </c>
      <c r="D4" s="42">
        <f>IF(COUNTIFS(11구역!H4:H43,"&lt;&gt;",11구역!E4:E43,$B23)=0,"",COUNTIFS(11구역!H4:H43,"&lt;&gt;",11구역!E4:E43,$B23))</f>
        <v/>
      </c>
      <c r="E4" s="42">
        <f>IF(COUNTIFS(11구역!I4:I43,"&lt;&gt;",11구역!E4:E43,$B23)=0,"",COUNTIFS(11구역!I4:I43,"&lt;&gt;",11구역!E4:E43,$B23))</f>
        <v/>
      </c>
      <c r="F4" s="42">
        <f>IF(COUNTIFS(11구역!F4:F43,"교회차1",11구역!E4:E43,$B23)+COUNTIFS(11구역!H4:H43,"교회차1",11구역!E4:E43,$B23)+COUNTIFS(11구역!F4:F43,"교회차2",11구역!E4:E43,$B23)+COUNTIFS(11구역!H4:H43,"교회차2",11구역!E4:E43,$B23)=0,"",COUNTIFS(11구역!F4:F43,"교회차1",11구역!E4:E43,$B23)+COUNTIFS(11구역!H4:H43,"교회차1",11구역!E4:E43,$B23)+COUNTIFS(11구역!F4:F43,"교회차2",11구역!E4:E43,$B23)+COUNTIFS(11구역!H4:H43,"교회차2",11구역!E4:E43,$B23))</f>
        <v/>
      </c>
      <c r="G4" s="42">
        <f>IF(COUNTIFS(11구역!G4:G43,"교회차1",11구역!E4:E43,$B23)+COUNTIFS(11구역!I4:I43,"교회차1",11구역!E4:E43,$B23)+COUNTIFS(11구역!G4:G43,"교회차2",11구역!E4:E43,$B23)+COUNTIFS(11구역!I4:I43,"교회차2",11구역!E4:E43,$B23)=0,"",COUNTIFS(11구역!G4:G43,"교회차1",11구역!E4:E43,$B23)+COUNTIFS(11구역!I4:I43,"교회차1",11구역!E4:E43,$B23)+COUNTIFS(11구역!G4:G43,"교회차2",11구역!E4:E43,$B23)+COUNTIFS(11구역!I4:I43,"교회차2",11구역!E4:E43,$B23))</f>
        <v/>
      </c>
      <c r="H4" s="42">
        <f>IF(COUNTIFS(11구역!F4:F43,"타교회",11구역!E4:E43,$B23)+COUNTIFS(11구역!H4:H43,"타교회",11구역!E4:E43,$B23)=0,"",COUNTIFS(11구역!F4:F43,"타교회",11구역!E4:E43,$B23)+COUNTIFS(11구역!H4:H43,"타교회",11구역!E4:E43,$B23))</f>
        <v/>
      </c>
      <c r="I4" s="42">
        <f>IF(COUNTIFS(11구역!G4:G43,"타교회",11구역!E4:E43,$B23)+COUNTIFS(11구역!I4:I43,"타교회",11구역!E4:E43,$B23)=0,"",COUNTIFS(11구역!G4:G43,"타교회",11구역!E4:E43,$B23)+COUNTIFS(11구역!I4:I43,"타교회",11구역!E4:E43,$B23))</f>
        <v/>
      </c>
      <c r="J4" s="42">
        <f>IF(COUNTIFS(11구역!F4:F43,"개인차",11구역!E4:E43,$B23)=0,"",COUNTIFS(11구역!F4:F43,"개인차",11구역!E4:E43,$B23))</f>
        <v/>
      </c>
      <c r="K4" s="42">
        <f>IF(COUNTIFS(11구역!G4:G43,"개인차",11구역!E4:E43,$B23)=0,"",COUNTIFS(11구역!G4:G43,"개인차",11구역!E4:E43,$B23))</f>
        <v/>
      </c>
      <c r="L4" s="42">
        <f>IF(COUNTIFS(11구역!F4:F43,"대중교통",11구역!E4:E43,$B23)+COUNTIFS(11구역!H4:H43,"대중교통",11구역!E4:E43,$B23)=0,"",COUNTIFS(11구역!F4:F43,"대중교통",11구역!E4:E43,$B23)+COUNTIFS(11구역!H4:H43,"대중교통",11구역!E4:E43,$B23))</f>
        <v/>
      </c>
      <c r="M4" s="42">
        <f>IF(COUNTIFS(11구역!G4:G43,"대중교통",11구역!E4:E43,$B23)+COUNTIFS(11구역!I4:I43,"대중교통",11구역!E4:E43,$B23)=0,"",COUNTIFS(11구역!G4:G43,"대중교통",11구역!E4:E43,$B23)+COUNTIFS(11구역!I4:I43,"대중교통",11구역!E4:E43,$B23))</f>
        <v/>
      </c>
    </row>
    <row r="5" ht="21.75" customHeight="1" s="33">
      <c r="A5" s="44" t="inlineStr">
        <is>
          <t>12구역</t>
        </is>
      </c>
      <c r="B5" s="44">
        <f>IF(COUNTIFS(12구역!F4:F43,"1호차",12구역!E4:E43,$B23)+COUNTIFS(12구역!F4:F43,"2호차",12구역!E4:E43,$B23)+COUNTIFS(12구역!F4:F43,"3호차",12구역!E4:E43,$B23)+COUNTIFS(12구역!F4:F43,"4호차",12구역!E4:E43,$B23)+COUNTIFS(12구역!F4:F43,"5호차",12구역!E4:E43,$B23)+COUNTIFS(12구역!F4:F43,"6호차",12구역!E4:E43,$B23)+COUNTIFS(12구역!F4:F43,"7호차",12구역!E4:E43,$B23)=0,"",COUNTIFS(12구역!F4:F43,"1호차",12구역!E4:E43,$B23)+COUNTIFS(12구역!F4:F43,"2호차",12구역!E4:E43,$B23)+COUNTIFS(12구역!F4:F43,"3호차",12구역!E4:E43,$B23)+COUNTIFS(12구역!F4:F43,"4호차",12구역!E4:E43,$B23)+COUNTIFS(12구역!F4:F43,"5호차",12구역!E4:E43,$B23)+COUNTIFS(12구역!F4:F43,"6호차",12구역!E4:E43,$B23)+COUNTIFS(12구역!F4:F43,"7호차",12구역!E4:E43,$B23))</f>
        <v/>
      </c>
      <c r="C5" s="44">
        <f>IF(COUNTIFS(12구역!G4:G43,"1호차",12구역!E4:E43,$B23)+COUNTIFS(12구역!G4:G43,"2호차",12구역!E4:E43,$B23)+COUNTIFS(12구역!G4:G43,"3호차",12구역!E4:E43,$B23)+COUNTIFS(12구역!G4:G43,"4호차",12구역!E4:E43,$B23)+COUNTIFS(12구역!G4:G43,"5호차",12구역!E4:E43,$B23)+COUNTIFS(12구역!G4:G43,"6호차",12구역!E4:E43,$B23)+COUNTIFS(12구역!G4:G43,"7호차",12구역!E4:E43,$B23)=0,"",COUNTIFS(12구역!G4:G43,"1호차",12구역!E4:E43,$B23)+COUNTIFS(12구역!G4:G43,"2호차",12구역!E4:E43,$B23)+COUNTIFS(12구역!G4:G43,"3호차",12구역!E4:E43,$B23)+COUNTIFS(12구역!G4:G43,"4호차",12구역!E4:E43,$B23)+COUNTIFS(12구역!G4:G43,"5호차",12구역!E4:E43,$B23)+COUNTIFS(12구역!G4:G43,"6호차",12구역!E4:E43,$B23)+COUNTIFS(12구역!G4:G43,"7호차",12구역!E4:E43,$B23))</f>
        <v/>
      </c>
      <c r="D5" s="44">
        <f>IF(COUNTIFS(12구역!H4:H43,"&lt;&gt;",12구역!E4:E43,$B23)=0,"",COUNTIFS(12구역!H4:H43,"&lt;&gt;",12구역!E4:E43,$B23))</f>
        <v/>
      </c>
      <c r="E5" s="44">
        <f>IF(COUNTIFS(12구역!I4:I43,"&lt;&gt;",12구역!E4:E43,$B23)=0,"",COUNTIFS(12구역!I4:I43,"&lt;&gt;",12구역!E4:E43,$B23))</f>
        <v/>
      </c>
      <c r="F5" s="44">
        <f>IF(COUNTIFS(12구역!F4:F43,"교회차1",12구역!E4:E43,$B23)+COUNTIFS(12구역!H4:H43,"교회차1",12구역!E4:E43,$B23)+COUNTIFS(12구역!F4:F43,"교회차2",12구역!E4:E43,$B23)+COUNTIFS(12구역!H4:H43,"교회차2",12구역!E4:E43,$B23)=0,"",COUNTIFS(12구역!F4:F43,"교회차1",12구역!E4:E43,$B23)+COUNTIFS(12구역!H4:H43,"교회차1",12구역!E4:E43,$B23)+COUNTIFS(12구역!F4:F43,"교회차2",12구역!E4:E43,$B23)+COUNTIFS(12구역!H4:H43,"교회차2",12구역!E4:E43,$B23))</f>
        <v/>
      </c>
      <c r="G5" s="44">
        <f>IF(COUNTIFS(12구역!G4:G43,"교회차1",12구역!E4:E43,$B23)+COUNTIFS(12구역!I4:I43,"교회차1",12구역!E4:E43,$B23)+COUNTIFS(12구역!G4:G43,"교회차2",12구역!E4:E43,$B23)+COUNTIFS(12구역!I4:I43,"교회차2",12구역!E4:E43,$B23)=0,"",COUNTIFS(12구역!G4:G43,"교회차1",12구역!E4:E43,$B23)+COUNTIFS(12구역!I4:I43,"교회차1",12구역!E4:E43,$B23)+COUNTIFS(12구역!G4:G43,"교회차2",12구역!E4:E43,$B23)+COUNTIFS(12구역!I4:I43,"교회차2",12구역!E4:E43,$B23))</f>
        <v/>
      </c>
      <c r="H5" s="44">
        <f>IF(COUNTIFS(12구역!F4:F43,"타교회",12구역!E4:E43,$B23)+COUNTIFS(12구역!H4:H43,"타교회",12구역!E4:E43,$B23)=0,"",COUNTIFS(12구역!F4:F43,"타교회",12구역!E4:E43,$B23)+COUNTIFS(12구역!H4:H43,"타교회",12구역!E4:E43,$B23))</f>
        <v/>
      </c>
      <c r="I5" s="44">
        <f>IF(COUNTIFS(12구역!G4:G43,"타교회",12구역!E4:E43,$B23)+COUNTIFS(12구역!I4:I43,"타교회",12구역!E4:E43,$B23)=0,"",COUNTIFS(12구역!G4:G43,"타교회",12구역!E4:E43,$B23)+COUNTIFS(12구역!I4:I43,"타교회",12구역!E4:E43,$B23))</f>
        <v/>
      </c>
      <c r="J5" s="44">
        <f>IF(COUNTIFS(12구역!F4:F43,"개인차",12구역!E4:E43,$B23)=0,"",COUNTIFS(12구역!F4:F43,"개인차",12구역!E4:E43,$B23))</f>
        <v/>
      </c>
      <c r="K5" s="44">
        <f>IF(COUNTIFS(12구역!G4:G43,"개인차",12구역!E4:E43,$B23)=0,"",COUNTIFS(12구역!G4:G43,"개인차",12구역!E4:E43,$B23))</f>
        <v/>
      </c>
      <c r="L5" s="44">
        <f>IF(COUNTIFS(12구역!F4:F43,"대중교통",12구역!E4:E43,$B23)+COUNTIFS(12구역!H4:H43,"대중교통",12구역!E4:E43,$B23)=0,"",COUNTIFS(12구역!F4:F43,"대중교통",12구역!E4:E43,$B23)+COUNTIFS(12구역!H4:H43,"대중교통",12구역!E4:E43,$B23))</f>
        <v/>
      </c>
      <c r="M5" s="44">
        <f>IF(COUNTIFS(12구역!G4:G43,"대중교통",12구역!E4:E43,$B23)+COUNTIFS(12구역!I4:I43,"대중교통",12구역!E4:E43,$B23)=0,"",COUNTIFS(12구역!G4:G43,"대중교통",12구역!E4:E43,$B23)+COUNTIFS(12구역!I4:I43,"대중교통",12구역!E4:E43,$B23))</f>
        <v/>
      </c>
    </row>
    <row r="6" ht="21.75" customHeight="1" s="33">
      <c r="A6" s="42" t="inlineStr">
        <is>
          <t>13구역</t>
        </is>
      </c>
      <c r="B6" s="42">
        <f>IF(COUNTIFS(13구역!F4:F43,"1호차",13구역!E4:E43,$B23)+COUNTIFS(13구역!F4:F43,"2호차",13구역!E4:E43,$B23)+COUNTIFS(13구역!F4:F43,"3호차",13구역!E4:E43,$B23)+COUNTIFS(13구역!F4:F43,"4호차",13구역!E4:E43,$B23)+COUNTIFS(13구역!F4:F43,"5호차",13구역!E4:E43,$B23)+COUNTIFS(13구역!F4:F43,"6호차",13구역!E4:E43,$B23)+COUNTIFS(13구역!F4:F43,"7호차",13구역!E4:E43,$B23)=0,"",COUNTIFS(13구역!F4:F43,"1호차",13구역!E4:E43,$B23)+COUNTIFS(13구역!F4:F43,"2호차",13구역!E4:E43,$B23)+COUNTIFS(13구역!F4:F43,"3호차",13구역!E4:E43,$B23)+COUNTIFS(13구역!F4:F43,"4호차",13구역!E4:E43,$B23)+COUNTIFS(13구역!F4:F43,"5호차",13구역!E4:E43,$B23)+COUNTIFS(13구역!F4:F43,"6호차",13구역!E4:E43,$B23)+COUNTIFS(13구역!F4:F43,"7호차",13구역!E4:E43,$B23))</f>
        <v/>
      </c>
      <c r="C6" s="42">
        <f>IF(COUNTIFS(13구역!G4:G43,"1호차",13구역!E4:E43,$B23)+COUNTIFS(13구역!G4:G43,"2호차",13구역!E4:E43,$B23)+COUNTIFS(13구역!G4:G43,"3호차",13구역!E4:E43,$B23)+COUNTIFS(13구역!G4:G43,"4호차",13구역!E4:E43,$B23)+COUNTIFS(13구역!G4:G43,"5호차",13구역!E4:E43,$B23)+COUNTIFS(13구역!G4:G43,"6호차",13구역!E4:E43,$B23)+COUNTIFS(13구역!G4:G43,"7호차",13구역!E4:E43,$B23)=0,"",COUNTIFS(13구역!G4:G43,"1호차",13구역!E4:E43,$B23)+COUNTIFS(13구역!G4:G43,"2호차",13구역!E4:E43,$B23)+COUNTIFS(13구역!G4:G43,"3호차",13구역!E4:E43,$B23)+COUNTIFS(13구역!G4:G43,"4호차",13구역!E4:E43,$B23)+COUNTIFS(13구역!G4:G43,"5호차",13구역!E4:E43,$B23)+COUNTIFS(13구역!G4:G43,"6호차",13구역!E4:E43,$B23)+COUNTIFS(13구역!G4:G43,"7호차",13구역!E4:E43,$B23))</f>
        <v/>
      </c>
      <c r="D6" s="42">
        <f>IF(COUNTIFS(13구역!H4:H43,"&lt;&gt;",13구역!E4:E43,$B23)=0,"",COUNTIFS(13구역!H4:H43,"&lt;&gt;",13구역!E4:E43,$B23))</f>
        <v/>
      </c>
      <c r="E6" s="42">
        <f>IF(COUNTIFS(13구역!I4:I43,"&lt;&gt;",13구역!E4:E43,$B23)=0,"",COUNTIFS(13구역!I4:I43,"&lt;&gt;",13구역!E4:E43,$B23))</f>
        <v/>
      </c>
      <c r="F6" s="42">
        <f>IF(COUNTIFS(13구역!F4:F43,"교회차1",13구역!E4:E43,$B23)+COUNTIFS(13구역!H4:H43,"교회차1",13구역!E4:E43,$B23)+COUNTIFS(13구역!F4:F43,"교회차2",13구역!E4:E43,$B23)+COUNTIFS(13구역!H4:H43,"교회차2",13구역!E4:E43,$B23)=0,"",COUNTIFS(13구역!F4:F43,"교회차1",13구역!E4:E43,$B23)+COUNTIFS(13구역!H4:H43,"교회차1",13구역!E4:E43,$B23)+COUNTIFS(13구역!F4:F43,"교회차2",13구역!E4:E43,$B23)+COUNTIFS(13구역!H4:H43,"교회차2",13구역!E4:E43,$B23))</f>
        <v/>
      </c>
      <c r="G6" s="42">
        <f>IF(COUNTIFS(13구역!G4:G43,"교회차1",13구역!E4:E43,$B23)+COUNTIFS(13구역!I4:I43,"교회차1",13구역!E4:E43,$B23)+COUNTIFS(13구역!G4:G43,"교회차2",13구역!E4:E43,$B23)+COUNTIFS(13구역!I4:I43,"교회차2",13구역!E4:E43,$B23)=0,"",COUNTIFS(13구역!G4:G43,"교회차1",13구역!E4:E43,$B23)+COUNTIFS(13구역!I4:I43,"교회차1",13구역!E4:E43,$B23)+COUNTIFS(13구역!G4:G43,"교회차2",13구역!E4:E43,$B23)+COUNTIFS(13구역!I4:I43,"교회차2",13구역!E4:E43,$B23))</f>
        <v/>
      </c>
      <c r="H6" s="42">
        <f>IF(COUNTIFS(13구역!F4:F43,"타교회",13구역!E4:E43,$B23)+COUNTIFS(13구역!H4:H43,"타교회",13구역!E4:E43,$B23)=0,"",COUNTIFS(13구역!F4:F43,"타교회",13구역!E4:E43,$B23)+COUNTIFS(13구역!H4:H43,"타교회",13구역!E4:E43,$B23))</f>
        <v/>
      </c>
      <c r="I6" s="42">
        <f>IF(COUNTIFS(13구역!G4:G43,"타교회",13구역!E4:E43,$B23)+COUNTIFS(13구역!I4:I43,"타교회",13구역!E4:E43,$B23)=0,"",COUNTIFS(13구역!G4:G43,"타교회",13구역!E4:E43,$B23)+COUNTIFS(13구역!I4:I43,"타교회",13구역!E4:E43,$B23))</f>
        <v/>
      </c>
      <c r="J6" s="42">
        <f>IF(COUNTIFS(13구역!F4:F43,"개인차",13구역!E4:E43,$B23)=0,"",COUNTIFS(13구역!F4:F43,"개인차",13구역!E4:E43,$B23))</f>
        <v/>
      </c>
      <c r="K6" s="42">
        <f>IF(COUNTIFS(13구역!G4:G43,"개인차",13구역!E4:E43,$B23)=0,"",COUNTIFS(13구역!G4:G43,"개인차",13구역!E4:E43,$B23))</f>
        <v/>
      </c>
      <c r="L6" s="42">
        <f>IF(COUNTIFS(13구역!F4:F43,"대중교통",13구역!E4:E43,$B23)+COUNTIFS(13구역!H4:H43,"대중교통",13구역!E4:E43,$B23)=0,"",COUNTIFS(13구역!F4:F43,"대중교통",13구역!E4:E43,$B23)+COUNTIFS(13구역!H4:H43,"대중교통",13구역!E4:E43,$B23))</f>
        <v/>
      </c>
      <c r="M6" s="42">
        <f>IF(COUNTIFS(13구역!G4:G43,"대중교통",13구역!E4:E43,$B23)+COUNTIFS(13구역!I4:I43,"대중교통",13구역!E4:E43,$B23)=0,"",COUNTIFS(13구역!G4:G43,"대중교통",13구역!E4:E43,$B23)+COUNTIFS(13구역!I4:I43,"대중교통",13구역!E4:E43,$B23))</f>
        <v/>
      </c>
    </row>
    <row r="7" ht="21.75" customHeight="1" s="33">
      <c r="A7" s="44" t="inlineStr">
        <is>
          <t>14구역</t>
        </is>
      </c>
      <c r="B7" s="44">
        <f>IF(COUNTIFS(14구역!F4:F43,"1호차",14구역!E4:E43,$B23)+COUNTIFS(14구역!F4:F43,"2호차",14구역!E4:E43,$B23)+COUNTIFS(14구역!F4:F43,"3호차",14구역!E4:E43,$B23)+COUNTIFS(14구역!F4:F43,"4호차",14구역!E4:E43,$B23)+COUNTIFS(14구역!F4:F43,"5호차",14구역!E4:E43,$B23)+COUNTIFS(14구역!F4:F43,"6호차",14구역!E4:E43,$B23)+COUNTIFS(14구역!F4:F43,"7호차",14구역!E4:E43,$B23)=0,"",COUNTIFS(14구역!F4:F43,"1호차",14구역!E4:E43,$B23)+COUNTIFS(14구역!F4:F43,"2호차",14구역!E4:E43,$B23)+COUNTIFS(14구역!F4:F43,"3호차",14구역!E4:E43,$B23)+COUNTIFS(14구역!F4:F43,"4호차",14구역!E4:E43,$B23)+COUNTIFS(14구역!F4:F43,"5호차",14구역!E4:E43,$B23)+COUNTIFS(14구역!F4:F43,"6호차",14구역!E4:E43,$B23)+COUNTIFS(14구역!F4:F43,"7호차",14구역!E4:E43,$B23))</f>
        <v/>
      </c>
      <c r="C7" s="44">
        <f>IF(COUNTIFS(14구역!G4:G43,"1호차",14구역!E4:E43,$B23)+COUNTIFS(14구역!G4:G43,"2호차",14구역!E4:E43,$B23)+COUNTIFS(14구역!G4:G43,"3호차",14구역!E4:E43,$B23)+COUNTIFS(14구역!G4:G43,"4호차",14구역!E4:E43,$B23)+COUNTIFS(14구역!G4:G43,"5호차",14구역!E4:E43,$B23)+COUNTIFS(14구역!G4:G43,"6호차",14구역!E4:E43,$B23)+COUNTIFS(14구역!G4:G43,"7호차",14구역!E4:E43,$B23)=0,"",COUNTIFS(14구역!G4:G43,"1호차",14구역!E4:E43,$B23)+COUNTIFS(14구역!G4:G43,"2호차",14구역!E4:E43,$B23)+COUNTIFS(14구역!G4:G43,"3호차",14구역!E4:E43,$B23)+COUNTIFS(14구역!G4:G43,"4호차",14구역!E4:E43,$B23)+COUNTIFS(14구역!G4:G43,"5호차",14구역!E4:E43,$B23)+COUNTIFS(14구역!G4:G43,"6호차",14구역!E4:E43,$B23)+COUNTIFS(14구역!G4:G43,"7호차",14구역!E4:E43,$B23))</f>
        <v/>
      </c>
      <c r="D7" s="44">
        <f>IF(COUNTIFS(14구역!H4:H43,"&lt;&gt;",14구역!E4:E43,$B23)=0,"",COUNTIFS(14구역!H4:H43,"&lt;&gt;",14구역!E4:E43,$B23))</f>
        <v/>
      </c>
      <c r="E7" s="44">
        <f>IF(COUNTIFS(14구역!I4:I43,"&lt;&gt;",14구역!E4:E43,$B23)=0,"",COUNTIFS(14구역!I4:I43,"&lt;&gt;",14구역!E4:E43,$B23))</f>
        <v/>
      </c>
      <c r="F7" s="44">
        <f>IF(COUNTIFS(14구역!F4:F43,"교회차1",14구역!E4:E43,$B23)+COUNTIFS(14구역!H4:H43,"교회차1",14구역!E4:E43,$B23)+COUNTIFS(14구역!F4:F43,"교회차2",14구역!E4:E43,$B23)+COUNTIFS(14구역!H4:H43,"교회차2",14구역!E4:E43,$B23)=0,"",COUNTIFS(14구역!F4:F43,"교회차1",14구역!E4:E43,$B23)+COUNTIFS(14구역!H4:H43,"교회차1",14구역!E4:E43,$B23)+COUNTIFS(14구역!F4:F43,"교회차2",14구역!E4:E43,$B23)+COUNTIFS(14구역!H4:H43,"교회차2",14구역!E4:E43,$B23))</f>
        <v/>
      </c>
      <c r="G7" s="44">
        <f>IF(COUNTIFS(14구역!G4:G43,"교회차1",14구역!E4:E43,$B23)+COUNTIFS(14구역!I4:I43,"교회차1",14구역!E4:E43,$B23)+COUNTIFS(14구역!G4:G43,"교회차2",14구역!E4:E43,$B23)+COUNTIFS(14구역!I4:I43,"교회차2",14구역!E4:E43,$B23)=0,"",COUNTIFS(14구역!G4:G43,"교회차1",14구역!E4:E43,$B23)+COUNTIFS(14구역!I4:I43,"교회차1",14구역!E4:E43,$B23)+COUNTIFS(14구역!G4:G43,"교회차2",14구역!E4:E43,$B23)+COUNTIFS(14구역!I4:I43,"교회차2",14구역!E4:E43,$B23))</f>
        <v/>
      </c>
      <c r="H7" s="44">
        <f>IF(COUNTIFS(14구역!F4:F43,"타교회",14구역!E4:E43,$B23)+COUNTIFS(14구역!H4:H43,"타교회",14구역!E4:E43,$B23)=0,"",COUNTIFS(14구역!F4:F43,"타교회",14구역!E4:E43,$B23)+COUNTIFS(14구역!H4:H43,"타교회",14구역!E4:E43,$B23))</f>
        <v/>
      </c>
      <c r="I7" s="44">
        <f>IF(COUNTIFS(14구역!G4:G43,"타교회",14구역!E4:E43,$B23)+COUNTIFS(14구역!I4:I43,"타교회",14구역!E4:E43,$B23)=0,"",COUNTIFS(14구역!G4:G43,"타교회",14구역!E4:E43,$B23)+COUNTIFS(14구역!I4:I43,"타교회",14구역!E4:E43,$B23))</f>
        <v/>
      </c>
      <c r="J7" s="44">
        <f>IF(COUNTIFS(14구역!F4:F43,"개인차",14구역!E4:E43,$B23)=0,"",COUNTIFS(14구역!F4:F43,"개인차",14구역!E4:E43,$B23))</f>
        <v/>
      </c>
      <c r="K7" s="44">
        <f>IF(COUNTIFS(14구역!G4:G43,"개인차",14구역!E4:E43,$B23)=0,"",COUNTIFS(14구역!G4:G43,"개인차",14구역!E4:E43,$B23))</f>
        <v/>
      </c>
      <c r="L7" s="44">
        <f>IF(COUNTIFS(14구역!F4:F43,"대중교통",14구역!E4:E43,$B23)+COUNTIFS(14구역!H4:H43,"대중교통",14구역!E4:E43,$B23)=0,"",COUNTIFS(14구역!F4:F43,"대중교통",14구역!E4:E43,$B23)+COUNTIFS(14구역!H4:H43,"대중교통",14구역!E4:E43,$B23))</f>
        <v/>
      </c>
      <c r="M7" s="44">
        <f>IF(COUNTIFS(14구역!G4:G43,"대중교통",14구역!E4:E43,$B23)+COUNTIFS(14구역!I4:I43,"대중교통",14구역!E4:E43,$B23)=0,"",COUNTIFS(14구역!G4:G43,"대중교통",14구역!E4:E43,$B23)+COUNTIFS(14구역!I4:I43,"대중교통",14구역!E4:E43,$B23))</f>
        <v/>
      </c>
    </row>
    <row r="8" ht="21.75" customHeight="1" s="33">
      <c r="A8" s="42" t="inlineStr">
        <is>
          <t>21구역</t>
        </is>
      </c>
      <c r="B8" s="42">
        <f>IF(COUNTIFS(21구역!F4:F43,"1호차",21구역!E4:E43,$B23)+COUNTIFS(21구역!F4:F43,"2호차",21구역!E4:E43,$B23)+COUNTIFS(21구역!F4:F43,"3호차",21구역!E4:E43,$B23)+COUNTIFS(21구역!F4:F43,"4호차",21구역!E4:E43,$B23)+COUNTIFS(21구역!F4:F43,"5호차",21구역!E4:E43,$B23)+COUNTIFS(21구역!F4:F43,"6호차",21구역!E4:E43,$B23)+COUNTIFS(21구역!F4:F43,"7호차",21구역!E4:E43,$B23)=0,"",COUNTIFS(21구역!F4:F43,"1호차",21구역!E4:E43,$B23)+COUNTIFS(21구역!F4:F43,"2호차",21구역!E4:E43,$B23)+COUNTIFS(21구역!F4:F43,"3호차",21구역!E4:E43,$B23)+COUNTIFS(21구역!F4:F43,"4호차",21구역!E4:E43,$B23)+COUNTIFS(21구역!F4:F43,"5호차",21구역!E4:E43,$B23)+COUNTIFS(21구역!F4:F43,"6호차",21구역!E4:E43,$B23)+COUNTIFS(21구역!F4:F43,"7호차",21구역!E4:E43,$B23))</f>
        <v/>
      </c>
      <c r="C8" s="42">
        <f>IF(COUNTIFS(21구역!G4:G43,"1호차",21구역!E4:E43,$B23)+COUNTIFS(21구역!G4:G43,"2호차",21구역!E4:E43,$B23)+COUNTIFS(21구역!G4:G43,"3호차",21구역!E4:E43,$B23)+COUNTIFS(21구역!G4:G43,"4호차",21구역!E4:E43,$B23)+COUNTIFS(21구역!G4:G43,"5호차",21구역!E4:E43,$B23)+COUNTIFS(21구역!G4:G43,"6호차",21구역!E4:E43,$B23)+COUNTIFS(21구역!G4:G43,"7호차",21구역!E4:E43,$B23)=0,"",COUNTIFS(21구역!G4:G43,"1호차",21구역!E4:E43,$B23)+COUNTIFS(21구역!G4:G43,"2호차",21구역!E4:E43,$B23)+COUNTIFS(21구역!G4:G43,"3호차",21구역!E4:E43,$B23)+COUNTIFS(21구역!G4:G43,"4호차",21구역!E4:E43,$B23)+COUNTIFS(21구역!G4:G43,"5호차",21구역!E4:E43,$B23)+COUNTIFS(21구역!G4:G43,"6호차",21구역!E4:E43,$B23)+COUNTIFS(21구역!G4:G43,"7호차",21구역!E4:E43,$B23))</f>
        <v/>
      </c>
      <c r="D8" s="42">
        <f>IF(COUNTIFS(21구역!H4:H43,"&lt;&gt;",21구역!E4:E43,$B23)=0,"",COUNTIFS(21구역!H4:H43,"&lt;&gt;",21구역!E4:E43,$B23))</f>
        <v/>
      </c>
      <c r="E8" s="42">
        <f>IF(COUNTIFS(21구역!I4:I43,"&lt;&gt;",21구역!E4:E43,$B23)=0,"",COUNTIFS(21구역!I4:I43,"&lt;&gt;",21구역!E4:E43,$B23))</f>
        <v/>
      </c>
      <c r="F8" s="42">
        <f>IF(COUNTIFS(21구역!F4:F43,"교회차1",21구역!E4:E43,$B23)+COUNTIFS(21구역!H4:H43,"교회차1",21구역!E4:E43,$B23)+COUNTIFS(21구역!F4:F43,"교회차2",21구역!E4:E43,$B23)+COUNTIFS(21구역!H4:H43,"교회차2",21구역!E4:E43,$B23)=0,"",COUNTIFS(21구역!F4:F43,"교회차1",21구역!E4:E43,$B23)+COUNTIFS(21구역!H4:H43,"교회차1",21구역!E4:E43,$B23)+COUNTIFS(21구역!F4:F43,"교회차2",21구역!E4:E43,$B23)+COUNTIFS(21구역!H4:H43,"교회차2",21구역!E4:E43,$B23))</f>
        <v/>
      </c>
      <c r="G8" s="42">
        <f>IF(COUNTIFS(21구역!G4:G43,"교회차1",21구역!E4:E43,$B23)+COUNTIFS(21구역!I4:I43,"교회차1",21구역!E4:E43,$B23)+COUNTIFS(21구역!G4:G43,"교회차2",21구역!E4:E43,$B23)+COUNTIFS(21구역!I4:I43,"교회차2",21구역!E4:E43,$B23)=0,"",COUNTIFS(21구역!G4:G43,"교회차1",21구역!E4:E43,$B23)+COUNTIFS(21구역!I4:I43,"교회차1",21구역!E4:E43,$B23)+COUNTIFS(21구역!G4:G43,"교회차2",21구역!E4:E43,$B23)+COUNTIFS(21구역!I4:I43,"교회차2",21구역!E4:E43,$B23))</f>
        <v/>
      </c>
      <c r="H8" s="42">
        <f>IF(COUNTIFS(21구역!F4:F43,"타교회",21구역!E4:E43,$B23)+COUNTIFS(21구역!H4:H43,"타교회",21구역!E4:E43,$B23)=0,"",COUNTIFS(21구역!F4:F43,"타교회",21구역!E4:E43,$B23)+COUNTIFS(21구역!H4:H43,"타교회",21구역!E4:E43,$B23))</f>
        <v/>
      </c>
      <c r="I8" s="42">
        <f>IF(COUNTIFS(21구역!G4:G43,"타교회",21구역!E4:E43,$B23)+COUNTIFS(21구역!I4:I43,"타교회",21구역!E4:E43,$B23)=0,"",COUNTIFS(21구역!G4:G43,"타교회",21구역!E4:E43,$B23)+COUNTIFS(21구역!I4:I43,"타교회",21구역!E4:E43,$B23))</f>
        <v/>
      </c>
      <c r="J8" s="42">
        <f>IF(COUNTIFS(21구역!F4:F43,"개인차",21구역!E4:E43,$B23)=0,"",COUNTIFS(21구역!F4:F43,"개인차",21구역!E4:E43,$B23))</f>
        <v/>
      </c>
      <c r="K8" s="42">
        <f>IF(COUNTIFS(21구역!G4:G43,"개인차",21구역!E4:E43,$B23)=0,"",COUNTIFS(21구역!G4:G43,"개인차",21구역!E4:E43,$B23))</f>
        <v/>
      </c>
      <c r="L8" s="42">
        <f>IF(COUNTIFS(21구역!F4:F43,"대중교통",21구역!E4:E43,$B23)+COUNTIFS(21구역!H4:H43,"대중교통",21구역!E4:E43,$B23)=0,"",COUNTIFS(21구역!F4:F43,"대중교통",21구역!E4:E43,$B23)+COUNTIFS(21구역!H4:H43,"대중교통",21구역!E4:E43,$B23))</f>
        <v/>
      </c>
      <c r="M8" s="42">
        <f>IF(COUNTIFS(21구역!G4:G43,"대중교통",21구역!E4:E43,$B23)+COUNTIFS(21구역!I4:I43,"대중교통",21구역!E4:E43,$B23)=0,"",COUNTIFS(21구역!G4:G43,"대중교통",21구역!E4:E43,$B23)+COUNTIFS(21구역!I4:I43,"대중교통",21구역!E4:E43,$B23))</f>
        <v/>
      </c>
    </row>
    <row r="9" ht="21.75" customHeight="1" s="33">
      <c r="A9" s="44" t="inlineStr">
        <is>
          <t>22구역</t>
        </is>
      </c>
      <c r="B9" s="44">
        <f>IF(COUNTIFS(22구역!F4:F43,"1호차",22구역!E4:E43,$B23)+COUNTIFS(22구역!F4:F43,"2호차",22구역!E4:E43,$B23)+COUNTIFS(22구역!F4:F43,"3호차",22구역!E4:E43,$B23)+COUNTIFS(22구역!F4:F43,"4호차",22구역!E4:E43,$B23)+COUNTIFS(22구역!F4:F43,"5호차",22구역!E4:E43,$B23)+COUNTIFS(22구역!F4:F43,"6호차",22구역!E4:E43,$B23)+COUNTIFS(22구역!F4:F43,"7호차",22구역!E4:E43,$B23)=0,"",COUNTIFS(22구역!F4:F43,"1호차",22구역!E4:E43,$B23)+COUNTIFS(22구역!F4:F43,"2호차",22구역!E4:E43,$B23)+COUNTIFS(22구역!F4:F43,"3호차",22구역!E4:E43,$B23)+COUNTIFS(22구역!F4:F43,"4호차",22구역!E4:E43,$B23)+COUNTIFS(22구역!F4:F43,"5호차",22구역!E4:E43,$B23)+COUNTIFS(22구역!F4:F43,"6호차",22구역!E4:E43,$B23)+COUNTIFS(22구역!F4:F43,"7호차",22구역!E4:E43,$B23))</f>
        <v/>
      </c>
      <c r="C9" s="44">
        <f>IF(COUNTIFS(22구역!G4:G43,"1호차",22구역!E4:E43,$B23)+COUNTIFS(22구역!G4:G43,"2호차",22구역!E4:E43,$B23)+COUNTIFS(22구역!G4:G43,"3호차",22구역!E4:E43,$B23)+COUNTIFS(22구역!G4:G43,"4호차",22구역!E4:E43,$B23)+COUNTIFS(22구역!G4:G43,"5호차",22구역!E4:E43,$B23)+COUNTIFS(22구역!G4:G43,"6호차",22구역!E4:E43,$B23)+COUNTIFS(22구역!G4:G43,"7호차",22구역!E4:E43,$B23)=0,"",COUNTIFS(22구역!G4:G43,"1호차",22구역!E4:E43,$B23)+COUNTIFS(22구역!G4:G43,"2호차",22구역!E4:E43,$B23)+COUNTIFS(22구역!G4:G43,"3호차",22구역!E4:E43,$B23)+COUNTIFS(22구역!G4:G43,"4호차",22구역!E4:E43,$B23)+COUNTIFS(22구역!G4:G43,"5호차",22구역!E4:E43,$B23)+COUNTIFS(22구역!G4:G43,"6호차",22구역!E4:E43,$B23)+COUNTIFS(22구역!G4:G43,"7호차",22구역!E4:E43,$B23))</f>
        <v/>
      </c>
      <c r="D9" s="44">
        <f>IF(COUNTIFS(22구역!H4:H43,"&lt;&gt;",22구역!E4:E43,$B23)=0,"",COUNTIFS(22구역!H4:H43,"&lt;&gt;",22구역!E4:E43,$B23))</f>
        <v/>
      </c>
      <c r="E9" s="44">
        <f>IF(COUNTIFS(22구역!I4:I43,"&lt;&gt;",22구역!E4:E43,$B23)=0,"",COUNTIFS(22구역!I4:I43,"&lt;&gt;",22구역!E4:E43,$B23))</f>
        <v/>
      </c>
      <c r="F9" s="44">
        <f>IF(COUNTIFS(22구역!F4:F43,"교회차1",22구역!E4:E43,$B23)+COUNTIFS(22구역!H4:H43,"교회차1",22구역!E4:E43,$B23)+COUNTIFS(22구역!F4:F43,"교회차2",22구역!E4:E43,$B23)+COUNTIFS(22구역!H4:H43,"교회차2",22구역!E4:E43,$B23)=0,"",COUNTIFS(22구역!F4:F43,"교회차1",22구역!E4:E43,$B23)+COUNTIFS(22구역!H4:H43,"교회차1",22구역!E4:E43,$B23)+COUNTIFS(22구역!F4:F43,"교회차2",22구역!E4:E43,$B23)+COUNTIFS(22구역!H4:H43,"교회차2",22구역!E4:E43,$B23))</f>
        <v/>
      </c>
      <c r="G9" s="44">
        <f>IF(COUNTIFS(22구역!G4:G43,"교회차1",22구역!E4:E43,$B23)+COUNTIFS(22구역!I4:I43,"교회차1",22구역!E4:E43,$B23)+COUNTIFS(22구역!G4:G43,"교회차2",22구역!E4:E43,$B23)+COUNTIFS(22구역!I4:I43,"교회차2",22구역!E4:E43,$B23)=0,"",COUNTIFS(22구역!G4:G43,"교회차1",22구역!E4:E43,$B23)+COUNTIFS(22구역!I4:I43,"교회차1",22구역!E4:E43,$B23)+COUNTIFS(22구역!G4:G43,"교회차2",22구역!E4:E43,$B23)+COUNTIFS(22구역!I4:I43,"교회차2",22구역!E4:E43,$B23))</f>
        <v/>
      </c>
      <c r="H9" s="44">
        <f>IF(COUNTIFS(22구역!F4:F43,"타교회",22구역!E4:E43,$B23)+COUNTIFS(22구역!H4:H43,"타교회",22구역!E4:E43,$B23)=0,"",COUNTIFS(22구역!F4:F43,"타교회",22구역!E4:E43,$B23)+COUNTIFS(22구역!H4:H43,"타교회",22구역!E4:E43,$B23))</f>
        <v/>
      </c>
      <c r="I9" s="44">
        <f>IF(COUNTIFS(22구역!G4:G43,"타교회",22구역!E4:E43,$B23)+COUNTIFS(22구역!I4:I43,"타교회",22구역!E4:E43,$B23)=0,"",COUNTIFS(22구역!G4:G43,"타교회",22구역!E4:E43,$B23)+COUNTIFS(22구역!I4:I43,"타교회",22구역!E4:E43,$B23))</f>
        <v/>
      </c>
      <c r="J9" s="44">
        <f>IF(COUNTIFS(22구역!F4:F43,"개인차",22구역!E4:E43,$B23)=0,"",COUNTIFS(22구역!F4:F43,"개인차",22구역!E4:E43,$B23))</f>
        <v/>
      </c>
      <c r="K9" s="44">
        <f>IF(COUNTIFS(22구역!G4:G43,"개인차",22구역!E4:E43,$B23)=0,"",COUNTIFS(22구역!G4:G43,"개인차",22구역!E4:E43,$B23))</f>
        <v/>
      </c>
      <c r="L9" s="44">
        <f>IF(COUNTIFS(22구역!F4:F43,"대중교통",22구역!E4:E43,$B23)+COUNTIFS(22구역!H4:H43,"대중교통",22구역!E4:E43,$B23)=0,"",COUNTIFS(22구역!F4:F43,"대중교통",22구역!E4:E43,$B23)+COUNTIFS(22구역!H4:H43,"대중교통",22구역!E4:E43,$B23))</f>
        <v/>
      </c>
      <c r="M9" s="44">
        <f>IF(COUNTIFS(22구역!G4:G43,"대중교통",22구역!E4:E43,$B23)+COUNTIFS(22구역!I4:I43,"대중교통",22구역!E4:E43,$B23)=0,"",COUNTIFS(22구역!G4:G43,"대중교통",22구역!E4:E43,$B23)+COUNTIFS(22구역!I4:I43,"대중교통",22구역!E4:E43,$B23))</f>
        <v/>
      </c>
    </row>
    <row r="10" ht="21.75" customHeight="1" s="33">
      <c r="A10" s="42" t="inlineStr">
        <is>
          <t>23구역</t>
        </is>
      </c>
      <c r="B10" s="42">
        <f>IF(COUNTIFS(23구역!F4:F43,"1호차",23구역!E4:E43,$B23)+COUNTIFS(23구역!F4:F43,"2호차",23구역!E4:E43,$B23)+COUNTIFS(23구역!F4:F43,"3호차",23구역!E4:E43,$B23)+COUNTIFS(23구역!F4:F43,"4호차",23구역!E4:E43,$B23)+COUNTIFS(23구역!F4:F43,"5호차",23구역!E4:E43,$B23)+COUNTIFS(23구역!F4:F43,"6호차",23구역!E4:E43,$B23)+COUNTIFS(23구역!F4:F43,"7호차",23구역!E4:E43,$B23)=0,"",COUNTIFS(23구역!F4:F43,"1호차",23구역!E4:E43,$B23)+COUNTIFS(23구역!F4:F43,"2호차",23구역!E4:E43,$B23)+COUNTIFS(23구역!F4:F43,"3호차",23구역!E4:E43,$B23)+COUNTIFS(23구역!F4:F43,"4호차",23구역!E4:E43,$B23)+COUNTIFS(23구역!F4:F43,"5호차",23구역!E4:E43,$B23)+COUNTIFS(23구역!F4:F43,"6호차",23구역!E4:E43,$B23)+COUNTIFS(23구역!F4:F43,"7호차",23구역!E4:E43,$B23))</f>
        <v/>
      </c>
      <c r="C10" s="42">
        <f>IF(COUNTIFS(23구역!G4:G43,"1호차",23구역!E4:E43,$B23)+COUNTIFS(23구역!G4:G43,"2호차",23구역!E4:E43,$B23)+COUNTIFS(23구역!G4:G43,"3호차",23구역!E4:E43,$B23)+COUNTIFS(23구역!G4:G43,"4호차",23구역!E4:E43,$B23)+COUNTIFS(23구역!G4:G43,"5호차",23구역!E4:E43,$B23)+COUNTIFS(23구역!G4:G43,"6호차",23구역!E4:E43,$B23)+COUNTIFS(23구역!G4:G43,"7호차",23구역!E4:E43,$B23)=0,"",COUNTIFS(23구역!G4:G43,"1호차",23구역!E4:E43,$B23)+COUNTIFS(23구역!G4:G43,"2호차",23구역!E4:E43,$B23)+COUNTIFS(23구역!G4:G43,"3호차",23구역!E4:E43,$B23)+COUNTIFS(23구역!G4:G43,"4호차",23구역!E4:E43,$B23)+COUNTIFS(23구역!G4:G43,"5호차",23구역!E4:E43,$B23)+COUNTIFS(23구역!G4:G43,"6호차",23구역!E4:E43,$B23)+COUNTIFS(23구역!G4:G43,"7호차",23구역!E4:E43,$B23))</f>
        <v/>
      </c>
      <c r="D10" s="42">
        <f>IF(COUNTIFS(23구역!H4:H43,"&lt;&gt;",23구역!E4:E43,$B23)=0,"",COUNTIFS(23구역!H4:H43,"&lt;&gt;",23구역!E4:E43,$B23))</f>
        <v/>
      </c>
      <c r="E10" s="42">
        <f>IF(COUNTIFS(23구역!I4:I43,"&lt;&gt;",23구역!E4:E43,$B23)=0,"",COUNTIFS(23구역!I4:I43,"&lt;&gt;",23구역!E4:E43,$B23))</f>
        <v/>
      </c>
      <c r="F10" s="42">
        <f>IF(COUNTIFS(23구역!F4:F43,"교회차1",23구역!E4:E43,$B23)+COUNTIFS(23구역!H4:H43,"교회차1",23구역!E4:E43,$B23)+COUNTIFS(23구역!F4:F43,"교회차2",23구역!E4:E43,$B23)+COUNTIFS(23구역!H4:H43,"교회차2",23구역!E4:E43,$B23)=0,"",COUNTIFS(23구역!F4:F43,"교회차1",23구역!E4:E43,$B23)+COUNTIFS(23구역!H4:H43,"교회차1",23구역!E4:E43,$B23)+COUNTIFS(23구역!F4:F43,"교회차2",23구역!E4:E43,$B23)+COUNTIFS(23구역!H4:H43,"교회차2",23구역!E4:E43,$B23))</f>
        <v/>
      </c>
      <c r="G10" s="42">
        <f>IF(COUNTIFS(23구역!G4:G43,"교회차1",23구역!E4:E43,$B23)+COUNTIFS(23구역!I4:I43,"교회차1",23구역!E4:E43,$B23)+COUNTIFS(23구역!G4:G43,"교회차2",23구역!E4:E43,$B23)+COUNTIFS(23구역!I4:I43,"교회차2",23구역!E4:E43,$B23)=0,"",COUNTIFS(23구역!G4:G43,"교회차1",23구역!E4:E43,$B23)+COUNTIFS(23구역!I4:I43,"교회차1",23구역!E4:E43,$B23)+COUNTIFS(23구역!G4:G43,"교회차2",23구역!E4:E43,$B23)+COUNTIFS(23구역!I4:I43,"교회차2",23구역!E4:E43,$B23))</f>
        <v/>
      </c>
      <c r="H10" s="42">
        <f>IF(COUNTIFS(23구역!F4:F43,"타교회",23구역!E4:E43,$B23)+COUNTIFS(23구역!H4:H43,"타교회",23구역!E4:E43,$B23)=0,"",COUNTIFS(23구역!F4:F43,"타교회",23구역!E4:E43,$B23)+COUNTIFS(23구역!H4:H43,"타교회",23구역!E4:E43,$B23))</f>
        <v/>
      </c>
      <c r="I10" s="42">
        <f>IF(COUNTIFS(23구역!G4:G43,"타교회",23구역!E4:E43,$B23)+COUNTIFS(23구역!I4:I43,"타교회",23구역!E4:E43,$B23)=0,"",COUNTIFS(23구역!G4:G43,"타교회",23구역!E4:E43,$B23)+COUNTIFS(23구역!I4:I43,"타교회",23구역!E4:E43,$B23))</f>
        <v/>
      </c>
      <c r="J10" s="42">
        <f>IF(COUNTIFS(23구역!F4:F43,"개인차",23구역!E4:E43,$B23)=0,"",COUNTIFS(23구역!F4:F43,"개인차",23구역!E4:E43,$B23))</f>
        <v/>
      </c>
      <c r="K10" s="42">
        <f>IF(COUNTIFS(23구역!G4:G43,"개인차",23구역!E4:E43,$B23)=0,"",COUNTIFS(23구역!G4:G43,"개인차",23구역!E4:E43,$B23))</f>
        <v/>
      </c>
      <c r="L10" s="42">
        <f>IF(COUNTIFS(23구역!F4:F43,"대중교통",23구역!E4:E43,$B23)+COUNTIFS(23구역!H4:H43,"대중교통",23구역!E4:E43,$B23)=0,"",COUNTIFS(23구역!F4:F43,"대중교통",23구역!E4:E43,$B23)+COUNTIFS(23구역!H4:H43,"대중교통",23구역!E4:E43,$B23))</f>
        <v/>
      </c>
      <c r="M10" s="42">
        <f>IF(COUNTIFS(23구역!G4:G43,"대중교통",23구역!E4:E43,$B23)+COUNTIFS(23구역!I4:I43,"대중교통",23구역!E4:E43,$B23)=0,"",COUNTIFS(23구역!G4:G43,"대중교통",23구역!E4:E43,$B23)+COUNTIFS(23구역!I4:I43,"대중교통",23구역!E4:E43,$B23))</f>
        <v/>
      </c>
    </row>
    <row r="11" ht="21.75" customHeight="1" s="33">
      <c r="A11" s="44" t="inlineStr">
        <is>
          <t>24구역</t>
        </is>
      </c>
      <c r="B11" s="44">
        <f>IF(COUNTIFS(24구역!F4:F43,"1호차",24구역!E4:E43,$B23)+COUNTIFS(24구역!F4:F43,"2호차",24구역!E4:E43,$B23)+COUNTIFS(24구역!F4:F43,"3호차",24구역!E4:E43,$B23)+COUNTIFS(24구역!F4:F43,"4호차",24구역!E4:E43,$B23)+COUNTIFS(24구역!F4:F43,"5호차",24구역!E4:E43,$B23)+COUNTIFS(24구역!F4:F43,"6호차",24구역!E4:E43,$B23)+COUNTIFS(24구역!F4:F43,"7호차",24구역!E4:E43,$B23)=0,"",COUNTIFS(24구역!F4:F43,"1호차",24구역!E4:E43,$B23)+COUNTIFS(24구역!F4:F43,"2호차",24구역!E4:E43,$B23)+COUNTIFS(24구역!F4:F43,"3호차",24구역!E4:E43,$B23)+COUNTIFS(24구역!F4:F43,"4호차",24구역!E4:E43,$B23)+COUNTIFS(24구역!F4:F43,"5호차",24구역!E4:E43,$B23)+COUNTIFS(24구역!F4:F43,"6호차",24구역!E4:E43,$B23)+COUNTIFS(24구역!F4:F43,"7호차",24구역!E4:E43,$B23))</f>
        <v/>
      </c>
      <c r="C11" s="44">
        <f>IF(COUNTIFS(24구역!G4:G43,"1호차",24구역!E4:E43,$B23)+COUNTIFS(24구역!G4:G43,"2호차",24구역!E4:E43,$B23)+COUNTIFS(24구역!G4:G43,"3호차",24구역!E4:E43,$B23)+COUNTIFS(24구역!G4:G43,"4호차",24구역!E4:E43,$B23)+COUNTIFS(24구역!G4:G43,"5호차",24구역!E4:E43,$B23)+COUNTIFS(24구역!G4:G43,"6호차",24구역!E4:E43,$B23)+COUNTIFS(24구역!G4:G43,"7호차",24구역!E4:E43,$B23)=0,"",COUNTIFS(24구역!G4:G43,"1호차",24구역!E4:E43,$B23)+COUNTIFS(24구역!G4:G43,"2호차",24구역!E4:E43,$B23)+COUNTIFS(24구역!G4:G43,"3호차",24구역!E4:E43,$B23)+COUNTIFS(24구역!G4:G43,"4호차",24구역!E4:E43,$B23)+COUNTIFS(24구역!G4:G43,"5호차",24구역!E4:E43,$B23)+COUNTIFS(24구역!G4:G43,"6호차",24구역!E4:E43,$B23)+COUNTIFS(24구역!G4:G43,"7호차",24구역!E4:E43,$B23))</f>
        <v/>
      </c>
      <c r="D11" s="44">
        <f>IF(COUNTIFS(24구역!H4:H43,"&lt;&gt;",24구역!E4:E43,$B23)=0,"",COUNTIFS(24구역!H4:H43,"&lt;&gt;",24구역!E4:E43,$B23))</f>
        <v/>
      </c>
      <c r="E11" s="44">
        <f>IF(COUNTIFS(24구역!I4:I43,"&lt;&gt;",24구역!E4:E43,$B23)=0,"",COUNTIFS(24구역!I4:I43,"&lt;&gt;",24구역!E4:E43,$B23))</f>
        <v/>
      </c>
      <c r="F11" s="44">
        <f>IF(COUNTIFS(24구역!F4:F43,"교회차1",24구역!E4:E43,$B23)+COUNTIFS(24구역!H4:H43,"교회차1",24구역!E4:E43,$B23)+COUNTIFS(24구역!F4:F43,"교회차2",24구역!E4:E43,$B23)+COUNTIFS(24구역!H4:H43,"교회차2",24구역!E4:E43,$B23)=0,"",COUNTIFS(24구역!F4:F43,"교회차1",24구역!E4:E43,$B23)+COUNTIFS(24구역!H4:H43,"교회차1",24구역!E4:E43,$B23)+COUNTIFS(24구역!F4:F43,"교회차2",24구역!E4:E43,$B23)+COUNTIFS(24구역!H4:H43,"교회차2",24구역!E4:E43,$B23))</f>
        <v/>
      </c>
      <c r="G11" s="44">
        <f>IF(COUNTIFS(24구역!G4:G43,"교회차1",24구역!E4:E43,$B23)+COUNTIFS(24구역!I4:I43,"교회차1",24구역!E4:E43,$B23)+COUNTIFS(24구역!G4:G43,"교회차2",24구역!E4:E43,$B23)+COUNTIFS(24구역!I4:I43,"교회차2",24구역!E4:E43,$B23)=0,"",COUNTIFS(24구역!G4:G43,"교회차1",24구역!E4:E43,$B23)+COUNTIFS(24구역!I4:I43,"교회차1",24구역!E4:E43,$B23)+COUNTIFS(24구역!G4:G43,"교회차2",24구역!E4:E43,$B23)+COUNTIFS(24구역!I4:I43,"교회차2",24구역!E4:E43,$B23))</f>
        <v/>
      </c>
      <c r="H11" s="44">
        <f>IF(COUNTIFS(24구역!F4:F43,"타교회",24구역!E4:E43,$B23)+COUNTIFS(24구역!H4:H43,"타교회",24구역!E4:E43,$B23)=0,"",COUNTIFS(24구역!F4:F43,"타교회",24구역!E4:E43,$B23)+COUNTIFS(24구역!H4:H43,"타교회",24구역!E4:E43,$B23))</f>
        <v/>
      </c>
      <c r="I11" s="44">
        <f>IF(COUNTIFS(24구역!G4:G43,"타교회",24구역!E4:E43,$B23)+COUNTIFS(24구역!I4:I43,"타교회",24구역!E4:E43,$B23)=0,"",COUNTIFS(24구역!G4:G43,"타교회",24구역!E4:E43,$B23)+COUNTIFS(24구역!I4:I43,"타교회",24구역!E4:E43,$B23))</f>
        <v/>
      </c>
      <c r="J11" s="44">
        <f>IF(COUNTIFS(24구역!F4:F43,"개인차",24구역!E4:E43,$B23)=0,"",COUNTIFS(24구역!F4:F43,"개인차",24구역!E4:E43,$B23))</f>
        <v/>
      </c>
      <c r="K11" s="44">
        <f>IF(COUNTIFS(24구역!G4:G43,"개인차",24구역!E4:E43,$B23)=0,"",COUNTIFS(24구역!G4:G43,"개인차",24구역!E4:E43,$B23))</f>
        <v/>
      </c>
      <c r="L11" s="44">
        <f>IF(COUNTIFS(24구역!F4:F43,"대중교통",24구역!E4:E43,$B23)+COUNTIFS(24구역!H4:H43,"대중교통",24구역!E4:E43,$B23)=0,"",COUNTIFS(24구역!F4:F43,"대중교통",24구역!E4:E43,$B23)+COUNTIFS(24구역!H4:H43,"대중교통",24구역!E4:E43,$B23))</f>
        <v/>
      </c>
      <c r="M11" s="44">
        <f>IF(COUNTIFS(24구역!G4:G43,"대중교통",24구역!E4:E43,$B23)+COUNTIFS(24구역!I4:I43,"대중교통",24구역!E4:E43,$B23)=0,"",COUNTIFS(24구역!G4:G43,"대중교통",24구역!E4:E43,$B23)+COUNTIFS(24구역!I4:I43,"대중교통",24구역!E4:E43,$B23))</f>
        <v/>
      </c>
    </row>
    <row r="12" ht="21.75" customHeight="1" s="33">
      <c r="A12" s="42" t="inlineStr">
        <is>
          <t>31구역</t>
        </is>
      </c>
      <c r="B12" s="42">
        <f>IF(COUNTIFS(31구역!F4:F43,"1호차",31구역!E4:E43,$B23)+COUNTIFS(31구역!F4:F43,"2호차",31구역!E4:E43,$B23)+COUNTIFS(31구역!F4:F43,"3호차",31구역!E4:E43,$B23)+COUNTIFS(31구역!F4:F43,"4호차",31구역!E4:E43,$B23)+COUNTIFS(31구역!F4:F43,"5호차",31구역!E4:E43,$B23)+COUNTIFS(31구역!F4:F43,"6호차",31구역!E4:E43,$B23)+COUNTIFS(31구역!F4:F43,"7호차",31구역!E4:E43,$B23)=0,"",COUNTIFS(31구역!F4:F43,"1호차",31구역!E4:E43,$B23)+COUNTIFS(31구역!F4:F43,"2호차",31구역!E4:E43,$B23)+COUNTIFS(31구역!F4:F43,"3호차",31구역!E4:E43,$B23)+COUNTIFS(31구역!F4:F43,"4호차",31구역!E4:E43,$B23)+COUNTIFS(31구역!F4:F43,"5호차",31구역!E4:E43,$B23)+COUNTIFS(31구역!F4:F43,"6호차",31구역!E4:E43,$B23)+COUNTIFS(31구역!F4:F43,"7호차",31구역!E4:E43,$B23))</f>
        <v/>
      </c>
      <c r="C12" s="42">
        <f>IF(COUNTIFS(31구역!G4:G43,"1호차",31구역!E4:E43,$B23)+COUNTIFS(31구역!G4:G43,"2호차",31구역!E4:E43,$B23)+COUNTIFS(31구역!G4:G43,"3호차",31구역!E4:E43,$B23)+COUNTIFS(31구역!G4:G43,"4호차",31구역!E4:E43,$B23)+COUNTIFS(31구역!G4:G43,"5호차",31구역!E4:E43,$B23)+COUNTIFS(31구역!G4:G43,"6호차",31구역!E4:E43,$B23)+COUNTIFS(31구역!G4:G43,"7호차",31구역!E4:E43,$B23)=0,"",COUNTIFS(31구역!G4:G43,"1호차",31구역!E4:E43,$B23)+COUNTIFS(31구역!G4:G43,"2호차",31구역!E4:E43,$B23)+COUNTIFS(31구역!G4:G43,"3호차",31구역!E4:E43,$B23)+COUNTIFS(31구역!G4:G43,"4호차",31구역!E4:E43,$B23)+COUNTIFS(31구역!G4:G43,"5호차",31구역!E4:E43,$B23)+COUNTIFS(31구역!G4:G43,"6호차",31구역!E4:E43,$B23)+COUNTIFS(31구역!G4:G43,"7호차",31구역!E4:E43,$B23))</f>
        <v/>
      </c>
      <c r="D12" s="42">
        <f>IF(COUNTIFS(31구역!H4:H43,"&lt;&gt;",31구역!E4:E43,$B23)=0,"",COUNTIFS(31구역!H4:H43,"&lt;&gt;",31구역!E4:E43,$B23))</f>
        <v/>
      </c>
      <c r="E12" s="42">
        <f>IF(COUNTIFS(31구역!I4:I43,"&lt;&gt;",31구역!E4:E43,$B23)=0,"",COUNTIFS(31구역!I4:I43,"&lt;&gt;",31구역!E4:E43,$B23))</f>
        <v/>
      </c>
      <c r="F12" s="42">
        <f>IF(COUNTIFS(31구역!F4:F43,"교회차1",31구역!E4:E43,$B23)+COUNTIFS(31구역!H4:H43,"교회차1",31구역!E4:E43,$B23)+COUNTIFS(31구역!F4:F43,"교회차2",31구역!E4:E43,$B23)+COUNTIFS(31구역!H4:H43,"교회차2",31구역!E4:E43,$B23)=0,"",COUNTIFS(31구역!F4:F43,"교회차1",31구역!E4:E43,$B23)+COUNTIFS(31구역!H4:H43,"교회차1",31구역!E4:E43,$B23)+COUNTIFS(31구역!F4:F43,"교회차2",31구역!E4:E43,$B23)+COUNTIFS(31구역!H4:H43,"교회차2",31구역!E4:E43,$B23))</f>
        <v/>
      </c>
      <c r="G12" s="42">
        <f>IF(COUNTIFS(31구역!G4:G43,"교회차1",31구역!E4:E43,$B23)+COUNTIFS(31구역!I4:I43,"교회차1",31구역!E4:E43,$B23)+COUNTIFS(31구역!G4:G43,"교회차2",31구역!E4:E43,$B23)+COUNTIFS(31구역!I4:I43,"교회차2",31구역!E4:E43,$B23)=0,"",COUNTIFS(31구역!G4:G43,"교회차1",31구역!E4:E43,$B23)+COUNTIFS(31구역!I4:I43,"교회차1",31구역!E4:E43,$B23)+COUNTIFS(31구역!G4:G43,"교회차2",31구역!E4:E43,$B23)+COUNTIFS(31구역!I4:I43,"교회차2",31구역!E4:E43,$B23))</f>
        <v/>
      </c>
      <c r="H12" s="42">
        <f>IF(COUNTIFS(31구역!F4:F43,"타교회",31구역!E4:E43,$B23)+COUNTIFS(31구역!H4:H43,"타교회",31구역!E4:E43,$B23)=0,"",COUNTIFS(31구역!F4:F43,"타교회",31구역!E4:E43,$B23)+COUNTIFS(31구역!H4:H43,"타교회",31구역!E4:E43,$B23))</f>
        <v/>
      </c>
      <c r="I12" s="42">
        <f>IF(COUNTIFS(31구역!G4:G43,"타교회",31구역!E4:E43,$B23)+COUNTIFS(31구역!I4:I43,"타교회",31구역!E4:E43,$B23)=0,"",COUNTIFS(31구역!G4:G43,"타교회",31구역!E4:E43,$B23)+COUNTIFS(31구역!I4:I43,"타교회",31구역!E4:E43,$B23))</f>
        <v/>
      </c>
      <c r="J12" s="42">
        <f>IF(COUNTIFS(31구역!F4:F43,"개인차",31구역!E4:E43,$B23)=0,"",COUNTIFS(31구역!F4:F43,"개인차",31구역!E4:E43,$B23))</f>
        <v/>
      </c>
      <c r="K12" s="42">
        <f>IF(COUNTIFS(31구역!G4:G43,"개인차",31구역!E4:E43,$B23)=0,"",COUNTIFS(31구역!G4:G43,"개인차",31구역!E4:E43,$B23))</f>
        <v/>
      </c>
      <c r="L12" s="42">
        <f>IF(COUNTIFS(31구역!F4:F43,"대중교통",31구역!E4:E43,$B23)+COUNTIFS(31구역!H4:H43,"대중교통",31구역!E4:E43,$B23)=0,"",COUNTIFS(31구역!F4:F43,"대중교통",31구역!E4:E43,$B23)+COUNTIFS(31구역!H4:H43,"대중교통",31구역!E4:E43,$B23))</f>
        <v/>
      </c>
      <c r="M12" s="42">
        <f>IF(COUNTIFS(31구역!G4:G43,"대중교통",31구역!E4:E43,$B23)+COUNTIFS(31구역!I4:I43,"대중교통",31구역!E4:E43,$B23)=0,"",COUNTIFS(31구역!G4:G43,"대중교통",31구역!E4:E43,$B23)+COUNTIFS(31구역!I4:I43,"대중교통",31구역!E4:E43,$B23))</f>
        <v/>
      </c>
    </row>
    <row r="13" ht="21.75" customHeight="1" s="33">
      <c r="A13" s="44" t="inlineStr">
        <is>
          <t>32구역</t>
        </is>
      </c>
      <c r="B13" s="44">
        <f>IF(COUNTIFS(32구역!F4:F43,"1호차",32구역!E4:E43,$B23)+COUNTIFS(32구역!F4:F43,"2호차",32구역!E4:E43,$B23)+COUNTIFS(32구역!F4:F43,"3호차",32구역!E4:E43,$B23)+COUNTIFS(32구역!F4:F43,"4호차",32구역!E4:E43,$B23)+COUNTIFS(32구역!F4:F43,"5호차",32구역!E4:E43,$B23)+COUNTIFS(32구역!F4:F43,"6호차",32구역!E4:E43,$B23)+COUNTIFS(32구역!F4:F43,"7호차",32구역!E4:E43,$B23)=0,"",COUNTIFS(32구역!F4:F43,"1호차",32구역!E4:E43,$B23)+COUNTIFS(32구역!F4:F43,"2호차",32구역!E4:E43,$B23)+COUNTIFS(32구역!F4:F43,"3호차",32구역!E4:E43,$B23)+COUNTIFS(32구역!F4:F43,"4호차",32구역!E4:E43,$B23)+COUNTIFS(32구역!F4:F43,"5호차",32구역!E4:E43,$B23)+COUNTIFS(32구역!F4:F43,"6호차",32구역!E4:E43,$B23)+COUNTIFS(32구역!F4:F43,"7호차",32구역!E4:E43,$B23))</f>
        <v/>
      </c>
      <c r="C13" s="44">
        <f>IF(COUNTIFS(32구역!G4:G43,"1호차",32구역!E4:E43,$B23)+COUNTIFS(32구역!G4:G43,"2호차",32구역!E4:E43,$B23)+COUNTIFS(32구역!G4:G43,"3호차",32구역!E4:E43,$B23)+COUNTIFS(32구역!G4:G43,"4호차",32구역!E4:E43,$B23)+COUNTIFS(32구역!G4:G43,"5호차",32구역!E4:E43,$B23)+COUNTIFS(32구역!G4:G43,"6호차",32구역!E4:E43,$B23)+COUNTIFS(32구역!G4:G43,"7호차",32구역!E4:E43,$B23)=0,"",COUNTIFS(32구역!G4:G43,"1호차",32구역!E4:E43,$B23)+COUNTIFS(32구역!G4:G43,"2호차",32구역!E4:E43,$B23)+COUNTIFS(32구역!G4:G43,"3호차",32구역!E4:E43,$B23)+COUNTIFS(32구역!G4:G43,"4호차",32구역!E4:E43,$B23)+COUNTIFS(32구역!G4:G43,"5호차",32구역!E4:E43,$B23)+COUNTIFS(32구역!G4:G43,"6호차",32구역!E4:E43,$B23)+COUNTIFS(32구역!G4:G43,"7호차",32구역!E4:E43,$B23))</f>
        <v/>
      </c>
      <c r="D13" s="44">
        <f>IF(COUNTIFS(32구역!H4:H43,"&lt;&gt;",32구역!E4:E43,$B23)=0,"",COUNTIFS(32구역!H4:H43,"&lt;&gt;",32구역!E4:E43,$B23))</f>
        <v/>
      </c>
      <c r="E13" s="44">
        <f>IF(COUNTIFS(32구역!I4:I43,"&lt;&gt;",32구역!E4:E43,$B23)=0,"",COUNTIFS(32구역!I4:I43,"&lt;&gt;",32구역!E4:E43,$B23))</f>
        <v/>
      </c>
      <c r="F13" s="44">
        <f>IF(COUNTIFS(32구역!F4:F43,"교회차1",32구역!E4:E43,$B23)+COUNTIFS(32구역!H4:H43,"교회차1",32구역!E4:E43,$B23)+COUNTIFS(32구역!F4:F43,"교회차2",32구역!E4:E43,$B23)+COUNTIFS(32구역!H4:H43,"교회차2",32구역!E4:E43,$B23)=0,"",COUNTIFS(32구역!F4:F43,"교회차1",32구역!E4:E43,$B23)+COUNTIFS(32구역!H4:H43,"교회차1",32구역!E4:E43,$B23)+COUNTIFS(32구역!F4:F43,"교회차2",32구역!E4:E43,$B23)+COUNTIFS(32구역!H4:H43,"교회차2",32구역!E4:E43,$B23))</f>
        <v/>
      </c>
      <c r="G13" s="44">
        <f>IF(COUNTIFS(32구역!G4:G43,"교회차1",32구역!E4:E43,$B23)+COUNTIFS(32구역!I4:I43,"교회차1",32구역!E4:E43,$B23)+COUNTIFS(32구역!G4:G43,"교회차2",32구역!E4:E43,$B23)+COUNTIFS(32구역!I4:I43,"교회차2",32구역!E4:E43,$B23)=0,"",COUNTIFS(32구역!G4:G43,"교회차1",32구역!E4:E43,$B23)+COUNTIFS(32구역!I4:I43,"교회차1",32구역!E4:E43,$B23)+COUNTIFS(32구역!G4:G43,"교회차2",32구역!E4:E43,$B23)+COUNTIFS(32구역!I4:I43,"교회차2",32구역!E4:E43,$B23))</f>
        <v/>
      </c>
      <c r="H13" s="44">
        <f>IF(COUNTIFS(32구역!F4:F43,"타교회",32구역!E4:E43,$B23)+COUNTIFS(32구역!H4:H43,"타교회",32구역!E4:E43,$B23)=0,"",COUNTIFS(32구역!F4:F43,"타교회",32구역!E4:E43,$B23)+COUNTIFS(32구역!H4:H43,"타교회",32구역!E4:E43,$B23))</f>
        <v/>
      </c>
      <c r="I13" s="44">
        <f>IF(COUNTIFS(32구역!G4:G43,"타교회",32구역!E4:E43,$B23)+COUNTIFS(32구역!I4:I43,"타교회",32구역!E4:E43,$B23)=0,"",COUNTIFS(32구역!G4:G43,"타교회",32구역!E4:E43,$B23)+COUNTIFS(32구역!I4:I43,"타교회",32구역!E4:E43,$B23))</f>
        <v/>
      </c>
      <c r="J13" s="44">
        <f>IF(COUNTIFS(32구역!F4:F43,"개인차",32구역!E4:E43,$B23)=0,"",COUNTIFS(32구역!F4:F43,"개인차",32구역!E4:E43,$B23))</f>
        <v/>
      </c>
      <c r="K13" s="44">
        <f>IF(COUNTIFS(32구역!G4:G43,"개인차",32구역!E4:E43,$B23)=0,"",COUNTIFS(32구역!G4:G43,"개인차",32구역!E4:E43,$B23))</f>
        <v/>
      </c>
      <c r="L13" s="44">
        <f>IF(COUNTIFS(32구역!F4:F43,"대중교통",32구역!E4:E43,$B23)+COUNTIFS(32구역!H4:H43,"대중교통",32구역!E4:E43,$B23)=0,"",COUNTIFS(32구역!F4:F43,"대중교통",32구역!E4:E43,$B23)+COUNTIFS(32구역!H4:H43,"대중교통",32구역!E4:E43,$B23))</f>
        <v/>
      </c>
      <c r="M13" s="44">
        <f>IF(COUNTIFS(32구역!G4:G43,"대중교통",32구역!E4:E43,$B23)+COUNTIFS(32구역!I4:I43,"대중교통",32구역!E4:E43,$B23)=0,"",COUNTIFS(32구역!G4:G43,"대중교통",32구역!E4:E43,$B23)+COUNTIFS(32구역!I4:I43,"대중교통",32구역!E4:E43,$B23))</f>
        <v/>
      </c>
    </row>
    <row r="14" ht="15" customHeight="1" s="33">
      <c r="A14" s="61" t="inlineStr">
        <is>
          <t>33구역</t>
        </is>
      </c>
      <c r="B14" s="61">
        <f>IF(COUNTIFS(33구역!F4:F43,"1호차",33구역!E4:E43,$B23)+COUNTIFS(33구역!F4:F43,"2호차",33구역!E4:E43,$B23)+COUNTIFS(33구역!F4:F43,"3호차",33구역!E4:E43,$B23)+COUNTIFS(33구역!F4:F43,"4호차",33구역!E4:E43,$B23)+COUNTIFS(33구역!F4:F43,"5호차",33구역!E4:E43,$B23)+COUNTIFS(33구역!F4:F43,"6호차",33구역!E4:E43,$B23)+COUNTIFS(33구역!F4:F43,"7호차",33구역!E4:E43,$B23)=0,"",COUNTIFS(33구역!F4:F43,"1호차",33구역!E4:E43,$B23)+COUNTIFS(33구역!F4:F43,"2호차",33구역!E4:E43,$B23)+COUNTIFS(33구역!F4:F43,"3호차",33구역!E4:E43,$B23)+COUNTIFS(33구역!F4:F43,"4호차",33구역!E4:E43,$B23)+COUNTIFS(33구역!F4:F43,"5호차",33구역!E4:E43,$B23)+COUNTIFS(33구역!F4:F43,"6호차",33구역!E4:E43,$B23)+COUNTIFS(33구역!F4:F43,"7호차",33구역!E4:E43,$B23))</f>
        <v/>
      </c>
      <c r="C14" s="61">
        <f>IF(COUNTIFS(33구역!G4:G43,"1호차",33구역!E4:E43,$B23)+COUNTIFS(33구역!G4:G43,"2호차",33구역!E4:E43,$B23)+COUNTIFS(33구역!G4:G43,"3호차",33구역!E4:E43,$B23)+COUNTIFS(33구역!G4:G43,"4호차",33구역!E4:E43,$B23)+COUNTIFS(33구역!G4:G43,"5호차",33구역!E4:E43,$B23)+COUNTIFS(33구역!G4:G43,"6호차",33구역!E4:E43,$B23)+COUNTIFS(33구역!G4:G43,"7호차",33구역!E4:E43,$B23)=0,"",COUNTIFS(33구역!G4:G43,"1호차",33구역!E4:E43,$B23)+COUNTIFS(33구역!G4:G43,"2호차",33구역!E4:E43,$B23)+COUNTIFS(33구역!G4:G43,"3호차",33구역!E4:E43,$B23)+COUNTIFS(33구역!G4:G43,"4호차",33구역!E4:E43,$B23)+COUNTIFS(33구역!G4:G43,"5호차",33구역!E4:E43,$B23)+COUNTIFS(33구역!G4:G43,"6호차",33구역!E4:E43,$B23)+COUNTIFS(33구역!G4:G43,"7호차",33구역!E4:E43,$B23))</f>
        <v/>
      </c>
      <c r="D14" s="61">
        <f>IF(COUNTIFS(33구역!H4:H43,"&lt;&gt;",33구역!E4:E43,$B23)=0,"",COUNTIFS(33구역!H4:H43,"&lt;&gt;",33구역!E4:E43,$B23))</f>
        <v/>
      </c>
      <c r="E14" s="61">
        <f>IF(COUNTIFS(33구역!I4:I43,"&lt;&gt;",33구역!E4:E43,$B23)=0,"",COUNTIFS(33구역!I4:I43,"&lt;&gt;",33구역!E4:E43,$B23))</f>
        <v/>
      </c>
      <c r="F14" s="61">
        <f>IF(COUNTIFS(33구역!F4:F43,"교회차1",33구역!E4:E43,$B23)+COUNTIFS(33구역!H4:H43,"교회차1",33구역!E4:E43,$B23)+COUNTIFS(33구역!F4:F43,"교회차2",33구역!E4:E43,$B23)+COUNTIFS(33구역!H4:H43,"교회차2",33구역!E4:E43,$B23)=0,"",COUNTIFS(33구역!F4:F43,"교회차1",33구역!E4:E43,$B23)+COUNTIFS(33구역!H4:H43,"교회차1",33구역!E4:E43,$B23)+COUNTIFS(33구역!F4:F43,"교회차2",33구역!E4:E43,$B23)+COUNTIFS(33구역!H4:H43,"교회차2",33구역!E4:E43,$B23))</f>
        <v/>
      </c>
      <c r="G14" s="61">
        <f>IF(COUNTIFS(33구역!G4:G43,"교회차1",33구역!E4:E43,$B23)+COUNTIFS(33구역!I4:I43,"교회차1",33구역!E4:E43,$B23)+COUNTIFS(33구역!G4:G43,"교회차2",33구역!E4:E43,$B23)+COUNTIFS(33구역!I4:I43,"교회차2",33구역!E4:E43,$B23)=0,"",COUNTIFS(33구역!G4:G43,"교회차1",33구역!E4:E43,$B23)+COUNTIFS(33구역!I4:I43,"교회차1",33구역!E4:E43,$B23)+COUNTIFS(33구역!G4:G43,"교회차2",33구역!E4:E43,$B23)+COUNTIFS(33구역!I4:I43,"교회차2",33구역!E4:E43,$B23))</f>
        <v/>
      </c>
      <c r="H14" s="61">
        <f>IF(COUNTIFS(33구역!F4:F43,"타교회",33구역!E4:E43,$B23)+COUNTIFS(33구역!H4:H43,"타교회",33구역!E4:E43,$B23)=0,"",COUNTIFS(33구역!F4:F43,"타교회",33구역!E4:E43,$B23)+COUNTIFS(33구역!H4:H43,"타교회",33구역!E4:E43,$B23))</f>
        <v/>
      </c>
      <c r="I14" s="61">
        <f>IF(COUNTIFS(33구역!G4:G43,"타교회",33구역!E4:E43,$B23)+COUNTIFS(33구역!I4:I43,"타교회",33구역!E4:E43,$B23)=0,"",COUNTIFS(33구역!G4:G43,"타교회",33구역!E4:E43,$B23)+COUNTIFS(33구역!I4:I43,"타교회",33구역!E4:E43,$B23))</f>
        <v/>
      </c>
      <c r="J14" s="61">
        <f>IF(COUNTIFS(33구역!F4:F43,"개인차",33구역!E4:E43,$B23)=0,"",COUNTIFS(33구역!F4:F43,"개인차",33구역!E4:E43,$B23))</f>
        <v/>
      </c>
      <c r="K14" s="61">
        <f>IF(COUNTIFS(33구역!G4:G43,"개인차",33구역!E4:E43,$B23)=0,"",COUNTIFS(33구역!G4:G43,"개인차",33구역!E4:E43,$B23))</f>
        <v/>
      </c>
      <c r="L14" s="61">
        <f>IF(COUNTIFS(33구역!F4:F43,"대중교통",33구역!E4:E43,$B23)+COUNTIFS(33구역!H4:H43,"대중교통",33구역!E4:E43,$B23)=0,"",COUNTIFS(33구역!F4:F43,"대중교통",33구역!E4:E43,$B23)+COUNTIFS(33구역!H4:H43,"대중교통",33구역!E4:E43,$B23))</f>
        <v/>
      </c>
      <c r="M14" s="61">
        <f>IF(COUNTIFS(33구역!G4:G43,"대중교통",33구역!E4:E43,$B23)+COUNTIFS(33구역!I4:I43,"대중교통",33구역!E4:E43,$B23)=0,"",COUNTIFS(33구역!G4:G43,"대중교통",33구역!E4:E43,$B23)+COUNTIFS(33구역!I4:I43,"대중교통",33구역!E4:E43,$B23))</f>
        <v/>
      </c>
    </row>
    <row r="15">
      <c r="A15" t="inlineStr">
        <is>
          <t>34구역</t>
        </is>
      </c>
      <c r="B15">
        <f>IF(COUNTIFS(34구역!F4:F43,"1호차",34구역!E4:E43,$B23)+COUNTIFS(34구역!F4:F43,"2호차",34구역!E4:E43,$B23)+COUNTIFS(34구역!F4:F43,"3호차",34구역!E4:E43,$B23)+COUNTIFS(34구역!F4:F43,"4호차",34구역!E4:E43,$B23)+COUNTIFS(34구역!F4:F43,"5호차",34구역!E4:E43,$B23)+COUNTIFS(34구역!F4:F43,"6호차",34구역!E4:E43,$B23)+COUNTIFS(34구역!F4:F43,"7호차",34구역!E4:E43,$B23)=0,"",COUNTIFS(34구역!F4:F43,"1호차",34구역!E4:E43,$B23)+COUNTIFS(34구역!F4:F43,"2호차",34구역!E4:E43,$B23)+COUNTIFS(34구역!F4:F43,"3호차",34구역!E4:E43,$B23)+COUNTIFS(34구역!F4:F43,"4호차",34구역!E4:E43,$B23)+COUNTIFS(34구역!F4:F43,"5호차",34구역!E4:E43,$B23)+COUNTIFS(34구역!F4:F43,"6호차",34구역!E4:E43,$B23)+COUNTIFS(34구역!F4:F43,"7호차",34구역!E4:E43,$B23))</f>
        <v/>
      </c>
      <c r="C15">
        <f>IF(COUNTIFS(34구역!G4:G43,"1호차",34구역!E4:E43,$B23)+COUNTIFS(34구역!G4:G43,"2호차",34구역!E4:E43,$B23)+COUNTIFS(34구역!G4:G43,"3호차",34구역!E4:E43,$B23)+COUNTIFS(34구역!G4:G43,"4호차",34구역!E4:E43,$B23)+COUNTIFS(34구역!G4:G43,"5호차",34구역!E4:E43,$B23)+COUNTIFS(34구역!G4:G43,"6호차",34구역!E4:E43,$B23)+COUNTIFS(34구역!G4:G43,"7호차",34구역!E4:E43,$B23)=0,"",COUNTIFS(34구역!G4:G43,"1호차",34구역!E4:E43,$B23)+COUNTIFS(34구역!G4:G43,"2호차",34구역!E4:E43,$B23)+COUNTIFS(34구역!G4:G43,"3호차",34구역!E4:E43,$B23)+COUNTIFS(34구역!G4:G43,"4호차",34구역!E4:E43,$B23)+COUNTIFS(34구역!G4:G43,"5호차",34구역!E4:E43,$B23)+COUNTIFS(34구역!G4:G43,"6호차",34구역!E4:E43,$B23)+COUNTIFS(34구역!G4:G43,"7호차",34구역!E4:E43,$B23))</f>
        <v/>
      </c>
      <c r="D15">
        <f>IF(COUNTIFS(34구역!H4:H43,"&lt;&gt;",34구역!E4:E43,$B23)=0,"",COUNTIFS(34구역!H4:H43,"&lt;&gt;",34구역!E4:E43,$B23))</f>
        <v/>
      </c>
      <c r="E15">
        <f>IF(COUNTIFS(34구역!I4:I43,"&lt;&gt;",34구역!E4:E43,$B23)=0,"",COUNTIFS(34구역!I4:I43,"&lt;&gt;",34구역!E4:E43,$B23))</f>
        <v/>
      </c>
      <c r="F15">
        <f>IF(COUNTIFS(34구역!F4:F43,"교회차1",34구역!E4:E43,$B23)+COUNTIFS(34구역!H4:H43,"교회차1",34구역!E4:E43,$B23)+COUNTIFS(34구역!F4:F43,"교회차2",34구역!E4:E43,$B23)+COUNTIFS(34구역!H4:H43,"교회차2",34구역!E4:E43,$B23)=0,"",COUNTIFS(34구역!F4:F43,"교회차1",34구역!E4:E43,$B23)+COUNTIFS(34구역!H4:H43,"교회차1",34구역!E4:E43,$B23)+COUNTIFS(34구역!F4:F43,"교회차2",34구역!E4:E43,$B23)+COUNTIFS(34구역!H4:H43,"교회차2",34구역!E4:E43,$B23))</f>
        <v/>
      </c>
      <c r="G15">
        <f>IF(COUNTIFS(34구역!G4:G43,"교회차1",34구역!E4:E43,$B23)+COUNTIFS(34구역!I4:I43,"교회차1",34구역!E4:E43,$B23)+COUNTIFS(34구역!G4:G43,"교회차2",34구역!E4:E43,$B23)+COUNTIFS(34구역!I4:I43,"교회차2",34구역!E4:E43,$B23)=0,"",COUNTIFS(34구역!G4:G43,"교회차1",34구역!E4:E43,$B23)+COUNTIFS(34구역!I4:I43,"교회차1",34구역!E4:E43,$B23)+COUNTIFS(34구역!G4:G43,"교회차2",34구역!E4:E43,$B23)+COUNTIFS(34구역!I4:I43,"교회차2",34구역!E4:E43,$B23))</f>
        <v/>
      </c>
      <c r="H15">
        <f>IF(COUNTIFS(34구역!F4:F43,"타교회",34구역!E4:E43,$B23)+COUNTIFS(34구역!H4:H43,"타교회",34구역!E4:E43,$B23)=0,"",COUNTIFS(34구역!F4:F43,"타교회",34구역!E4:E43,$B23)+COUNTIFS(34구역!H4:H43,"타교회",34구역!E4:E43,$B23))</f>
        <v/>
      </c>
      <c r="I15">
        <f>IF(COUNTIFS(34구역!G4:G43,"타교회",34구역!E4:E43,$B23)+COUNTIFS(34구역!I4:I43,"타교회",34구역!E4:E43,$B23)=0,"",COUNTIFS(34구역!G4:G43,"타교회",34구역!E4:E43,$B23)+COUNTIFS(34구역!I4:I43,"타교회",34구역!E4:E43,$B23))</f>
        <v/>
      </c>
      <c r="J15">
        <f>IF(COUNTIFS(34구역!F4:F43,"개인차",34구역!E4:E43,$B23)=0,"",COUNTIFS(34구역!F4:F43,"개인차",34구역!E4:E43,$B23))</f>
        <v/>
      </c>
      <c r="K15">
        <f>IF(COUNTIFS(34구역!G4:G43,"개인차",34구역!E4:E43,$B23)=0,"",COUNTIFS(34구역!G4:G43,"개인차",34구역!E4:E43,$B23))</f>
        <v/>
      </c>
      <c r="L15">
        <f>IF(COUNTIFS(34구역!F4:F43,"대중교통",34구역!E4:E43,$B23)+COUNTIFS(34구역!H4:H43,"대중교통",34구역!E4:E43,$B23)=0,"",COUNTIFS(34구역!F4:F43,"대중교통",34구역!E4:E43,$B23)+COUNTIFS(34구역!H4:H43,"대중교통",34구역!E4:E43,$B23))</f>
        <v/>
      </c>
      <c r="M15">
        <f>IF(COUNTIFS(34구역!G4:G43,"대중교통",34구역!E4:E43,$B23)+COUNTIFS(34구역!I4:I43,"대중교통",34구역!E4:E43,$B23)=0,"",COUNTIFS(34구역!G4:G43,"대중교통",34구역!E4:E43,$B23)+COUNTIFS(34구역!I4:I43,"대중교통",34구역!E4:E43,$B23))</f>
        <v/>
      </c>
    </row>
    <row r="16" ht="19.4" customHeight="1" s="33">
      <c r="A16" s="62" t="inlineStr">
        <is>
          <t>합  계</t>
        </is>
      </c>
      <c r="B16">
        <f>IF(SUM(B4:B15)=0,"",SUM(B4:B15))</f>
        <v/>
      </c>
      <c r="C16">
        <f>IF(SUM(C4:C15)=0,"",SUM(C4:C15))</f>
        <v/>
      </c>
      <c r="D16">
        <f>IF(SUM(D4:D15)=0,"",SUM(D4:D15))</f>
        <v/>
      </c>
      <c r="E16">
        <f>IF(SUM(E4:E15)=0,"",SUM(E4:E15))</f>
        <v/>
      </c>
      <c r="F16">
        <f>IF(SUM(F4:F15)=0,"",SUM(F4:F15))</f>
        <v/>
      </c>
      <c r="G16">
        <f>IF(SUM(G4:G15)=0,"",SUM(G4:G15))</f>
        <v/>
      </c>
      <c r="H16">
        <f>IF(SUM(H4:H15)=0,"",SUM(H4:H15))</f>
        <v/>
      </c>
      <c r="I16">
        <f>IF(SUM(I4:I15)=0,"",SUM(I4:I15))</f>
        <v/>
      </c>
      <c r="J16">
        <f>IF(SUM(J4:J15)=0,"",SUM(J4:J15))</f>
        <v/>
      </c>
      <c r="K16">
        <f>IF(SUM(K4:K15)=0,"",SUM(K4:K15))</f>
        <v/>
      </c>
      <c r="L16">
        <f>IF(SUM(L4:L15)=0,"",SUM(L4:L15))</f>
        <v/>
      </c>
      <c r="M16">
        <f>IF(SUM(M4:M15)=0,"",SUM(M4:M15))</f>
        <v/>
      </c>
    </row>
    <row r="17" ht="15" customHeight="1" s="33">
      <c r="A17" s="49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9" t="n"/>
    </row>
    <row r="18" ht="15" customHeight="1" s="33">
      <c r="A18" s="49" t="inlineStr">
        <is>
          <t>차수별 접수인원</t>
        </is>
      </c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67" t="n"/>
    </row>
    <row r="19">
      <c r="A19" t="inlineStr">
        <is>
          <t>차수</t>
        </is>
      </c>
      <c r="B19" t="inlineStr">
        <is>
          <t>1차</t>
        </is>
      </c>
      <c r="C19" t="inlineStr">
        <is>
          <t>2차</t>
        </is>
      </c>
      <c r="D19" t="inlineStr">
        <is>
          <t>3차</t>
        </is>
      </c>
      <c r="E19" t="inlineStr">
        <is>
          <t>4차</t>
        </is>
      </c>
      <c r="F19" t="inlineStr">
        <is>
          <t>5차</t>
        </is>
      </c>
      <c r="G19" t="inlineStr">
        <is>
          <t>6차</t>
        </is>
      </c>
      <c r="H19" t="inlineStr">
        <is>
          <t>7차</t>
        </is>
      </c>
      <c r="I19" t="inlineStr">
        <is>
          <t>8차</t>
        </is>
      </c>
      <c r="J19" t="inlineStr">
        <is>
          <t>계</t>
        </is>
      </c>
    </row>
    <row r="20">
      <c r="A20" t="inlineStr">
        <is>
          <t>접수인원</t>
        </is>
      </c>
      <c r="B20">
        <f>IF(COUNTIF(11구역!E4:E43,"1차")+COUNTIF(12구역!E4:E43,"1차")+COUNTIF(13구역!E4:E43,"1차")+COUNTIF(14구역!E4:E43,"1차")+COUNTIF(21구역!E4:E43,"1차")+COUNTIF(22구역!E4:E43,"1차")+COUNTIF(23구역!E4:E43,"1차")+COUNTIF(24구역!E4:E43,"1차")+COUNTIF(31구역!E4:E43,"1차")+COUNTIF(32구역!E4:E43,"1차")+COUNTIF(33구역!E4:E43,"1차")+COUNTIF(34구역!E4:E43,"1차")=0,"",COUNTIF(11구역!E4:E43,"1차")+COUNTIF(12구역!E4:E43,"1차")+COUNTIF(13구역!E4:E43,"1차")+COUNTIF(14구역!E4:E43,"1차")+COUNTIF(21구역!E4:E43,"1차")+COUNTIF(22구역!E4:E43,"1차")+COUNTIF(23구역!E4:E43,"1차")+COUNTIF(24구역!E4:E43,"1차")+COUNTIF(31구역!E4:E43,"1차")+COUNTIF(32구역!E4:E43,"1차")+COUNTIF(33구역!E4:E43,"1차")+COUNTIF(34구역!E4:E43,"1차"))</f>
        <v/>
      </c>
      <c r="C20">
        <f>IF(COUNTIF(11구역!E4:E43,"2차")+COUNTIF(12구역!E4:E43,"2차")+COUNTIF(13구역!E4:E43,"2차")+COUNTIF(14구역!E4:E43,"2차")+COUNTIF(21구역!E4:E43,"2차")+COUNTIF(22구역!E4:E43,"2차")+COUNTIF(23구역!E4:E43,"2차")+COUNTIF(24구역!E4:E43,"2차")+COUNTIF(31구역!E4:E43,"2차")+COUNTIF(32구역!E4:E43,"2차")+COUNTIF(33구역!E4:E43,"2차")+COUNTIF(34구역!E4:E43,"2차")=0,"",COUNTIF(11구역!E4:E43,"2차")+COUNTIF(12구역!E4:E43,"2차")+COUNTIF(13구역!E4:E43,"2차")+COUNTIF(14구역!E4:E43,"2차")+COUNTIF(21구역!E4:E43,"2차")+COUNTIF(22구역!E4:E43,"2차")+COUNTIF(23구역!E4:E43,"2차")+COUNTIF(24구역!E4:E43,"2차")+COUNTIF(31구역!E4:E43,"2차")+COUNTIF(32구역!E4:E43,"2차")+COUNTIF(33구역!E4:E43,"2차")+COUNTIF(34구역!E4:E43,"2차"))</f>
        <v/>
      </c>
      <c r="D20">
        <f>IF(COUNTIF(11구역!E4:E43,"3차")+COUNTIF(12구역!E4:E43,"3차")+COUNTIF(13구역!E4:E43,"3차")+COUNTIF(14구역!E4:E43,"3차")+COUNTIF(21구역!E4:E43,"3차")+COUNTIF(22구역!E4:E43,"3차")+COUNTIF(23구역!E4:E43,"3차")+COUNTIF(24구역!E4:E43,"3차")+COUNTIF(31구역!E4:E43,"3차")+COUNTIF(32구역!E4:E43,"3차")+COUNTIF(33구역!E4:E43,"3차")+COUNTIF(34구역!E4:E43,"3차")=0,"",COUNTIF(11구역!E4:E43,"3차")+COUNTIF(12구역!E4:E43,"3차")+COUNTIF(13구역!E4:E43,"3차")+COUNTIF(14구역!E4:E43,"3차")+COUNTIF(21구역!E4:E43,"3차")+COUNTIF(22구역!E4:E43,"3차")+COUNTIF(23구역!E4:E43,"3차")+COUNTIF(24구역!E4:E43,"3차")+COUNTIF(31구역!E4:E43,"3차")+COUNTIF(32구역!E4:E43,"3차")+COUNTIF(33구역!E4:E43,"3차")+COUNTIF(34구역!E4:E43,"3차"))</f>
        <v/>
      </c>
      <c r="E20">
        <f>IF(COUNTIF(11구역!E4:E43,"4차")+COUNTIF(12구역!E4:E43,"4차")+COUNTIF(13구역!E4:E43,"4차")+COUNTIF(14구역!E4:E43,"4차")+COUNTIF(21구역!E4:E43,"4차")+COUNTIF(22구역!E4:E43,"4차")+COUNTIF(23구역!E4:E43,"4차")+COUNTIF(24구역!E4:E43,"4차")+COUNTIF(31구역!E4:E43,"4차")+COUNTIF(32구역!E4:E43,"4차")+COUNTIF(33구역!E4:E43,"4차")+COUNTIF(34구역!E4:E43,"4차")=0,"",COUNTIF(11구역!E4:E43,"4차")+COUNTIF(12구역!E4:E43,"4차")+COUNTIF(13구역!E4:E43,"4차")+COUNTIF(14구역!E4:E43,"4차")+COUNTIF(21구역!E4:E43,"4차")+COUNTIF(22구역!E4:E43,"4차")+COUNTIF(23구역!E4:E43,"4차")+COUNTIF(24구역!E4:E43,"4차")+COUNTIF(31구역!E4:E43,"4차")+COUNTIF(32구역!E4:E43,"4차")+COUNTIF(33구역!E4:E43,"4차")+COUNTIF(34구역!E4:E43,"4차"))</f>
        <v/>
      </c>
      <c r="F20">
        <f>IF(COUNTIF(11구역!E4:E43,"5차")+COUNTIF(12구역!E4:E43,"5차")+COUNTIF(13구역!E4:E43,"5차")+COUNTIF(14구역!E4:E43,"5차")+COUNTIF(21구역!E4:E43,"5차")+COUNTIF(22구역!E4:E43,"5차")+COUNTIF(23구역!E4:E43,"5차")+COUNTIF(24구역!E4:E43,"5차")+COUNTIF(31구역!E4:E43,"5차")+COUNTIF(32구역!E4:E43,"5차")+COUNTIF(33구역!E4:E43,"5차")+COUNTIF(34구역!E4:E43,"5차")=0,"",COUNTIF(11구역!E4:E43,"5차")+COUNTIF(12구역!E4:E43,"5차")+COUNTIF(13구역!E4:E43,"5차")+COUNTIF(14구역!E4:E43,"5차")+COUNTIF(21구역!E4:E43,"5차")+COUNTIF(22구역!E4:E43,"5차")+COUNTIF(23구역!E4:E43,"5차")+COUNTIF(24구역!E4:E43,"5차")+COUNTIF(31구역!E4:E43,"5차")+COUNTIF(32구역!E4:E43,"5차")+COUNTIF(33구역!E4:E43,"5차")+COUNTIF(34구역!E4:E43,"5차"))</f>
        <v/>
      </c>
      <c r="G20">
        <f>IF(COUNTIF(11구역!E4:E43,"6차")+COUNTIF(12구역!E4:E43,"6차")+COUNTIF(13구역!E4:E43,"6차")+COUNTIF(14구역!E4:E43,"6차")+COUNTIF(21구역!E4:E43,"6차")+COUNTIF(22구역!E4:E43,"6차")+COUNTIF(23구역!E4:E43,"6차")+COUNTIF(24구역!E4:E43,"6차")+COUNTIF(31구역!E4:E43,"6차")+COUNTIF(32구역!E4:E43,"6차")+COUNTIF(33구역!E4:E43,"6차")+COUNTIF(34구역!E4:E43,"6차")=0,"",COUNTIF(11구역!E4:E43,"6차")+COUNTIF(12구역!E4:E43,"6차")+COUNTIF(13구역!E4:E43,"6차")+COUNTIF(14구역!E4:E43,"6차")+COUNTIF(21구역!E4:E43,"6차")+COUNTIF(22구역!E4:E43,"6차")+COUNTIF(23구역!E4:E43,"6차")+COUNTIF(24구역!E4:E43,"6차")+COUNTIF(31구역!E4:E43,"6차")+COUNTIF(32구역!E4:E43,"6차")+COUNTIF(33구역!E4:E43,"6차")+COUNTIF(34구역!E4:E43,"6차"))</f>
        <v/>
      </c>
      <c r="H20">
        <f>IF(COUNTIF(11구역!E4:E43,"7차")+COUNTIF(12구역!E4:E43,"7차")+COUNTIF(13구역!E4:E43,"7차")+COUNTIF(14구역!E4:E43,"7차")+COUNTIF(21구역!E4:E43,"7차")+COUNTIF(22구역!E4:E43,"7차")+COUNTIF(23구역!E4:E43,"7차")+COUNTIF(24구역!E4:E43,"7차")+COUNTIF(31구역!E4:E43,"7차")+COUNTIF(32구역!E4:E43,"7차")+COUNTIF(33구역!E4:E43,"7차")+COUNTIF(34구역!E4:E43,"7차")=0,"",COUNTIF(11구역!E4:E43,"7차")+COUNTIF(12구역!E4:E43,"7차")+COUNTIF(13구역!E4:E43,"7차")+COUNTIF(14구역!E4:E43,"7차")+COUNTIF(21구역!E4:E43,"7차")+COUNTIF(22구역!E4:E43,"7차")+COUNTIF(23구역!E4:E43,"7차")+COUNTIF(24구역!E4:E43,"7차")+COUNTIF(31구역!E4:E43,"7차")+COUNTIF(32구역!E4:E43,"7차")+COUNTIF(33구역!E4:E43,"7차")+COUNTIF(34구역!E4:E43,"7차"))</f>
        <v/>
      </c>
      <c r="I20">
        <f>IF(COUNTIF(11구역!E4:E43,"8차")+COUNTIF(12구역!E4:E43,"8차")+COUNTIF(13구역!E4:E43,"8차")+COUNTIF(14구역!E4:E43,"8차")+COUNTIF(21구역!E4:E43,"8차")+COUNTIF(22구역!E4:E43,"8차")+COUNTIF(23구역!E4:E43,"8차")+COUNTIF(24구역!E4:E43,"8차")+COUNTIF(31구역!E4:E43,"8차")+COUNTIF(32구역!E4:E43,"8차")+COUNTIF(33구역!E4:E43,"8차")+COUNTIF(34구역!E4:E43,"8차")=0,"",COUNTIF(11구역!E4:E43,"8차")+COUNTIF(12구역!E4:E43,"8차")+COUNTIF(13구역!E4:E43,"8차")+COUNTIF(14구역!E4:E43,"8차")+COUNTIF(21구역!E4:E43,"8차")+COUNTIF(22구역!E4:E43,"8차")+COUNTIF(23구역!E4:E43,"8차")+COUNTIF(24구역!E4:E43,"8차")+COUNTIF(31구역!E4:E43,"8차")+COUNTIF(32구역!E4:E43,"8차")+COUNTIF(33구역!E4:E43,"8차")+COUNTIF(34구역!E4:E43,"8차"))</f>
        <v/>
      </c>
      <c r="J20">
        <f>IF(SUM(B20:I20)=0,"",SUM(B20:I20))</f>
        <v/>
      </c>
    </row>
    <row r="23">
      <c r="A23" t="inlineStr">
        <is>
          <t>적용 차수</t>
        </is>
      </c>
      <c r="B23" t="inlineStr"/>
    </row>
  </sheetData>
  <mergeCells count="10">
    <mergeCell ref="L2:M2"/>
    <mergeCell ref="F2:G2"/>
    <mergeCell ref="B2:C2"/>
    <mergeCell ref="H2:I2"/>
    <mergeCell ref="A1:M1"/>
    <mergeCell ref="J2:K2"/>
    <mergeCell ref="A18:M18"/>
    <mergeCell ref="A2:A3"/>
    <mergeCell ref="D2:D3"/>
    <mergeCell ref="E2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M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5.51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5.51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1호차</t>
        </is>
      </c>
      <c r="B1" s="35" t="n"/>
      <c r="C1" s="35" t="n"/>
      <c r="D1" s="35" t="n"/>
      <c r="E1" s="35" t="n"/>
      <c r="F1" s="35" t="n"/>
      <c r="H1" s="47" t="inlineStr">
        <is>
          <t>하행  1호차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H2" s="63" t="inlineStr">
        <is>
          <t>선탑자:</t>
        </is>
      </c>
      <c r="I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>
        <f t="array" ref="B4:B4">IFERROR(INDEX(통합!$A$1:$A$400,SMALL(IF(통합!$E$1:$E$400="1호차",ROW(통합!$E$1:$E$400)),1)),"")</f>
        <v/>
      </c>
      <c r="C4" s="42">
        <f t="array" ref="C4:C4">IFERROR(INDEX(통합!$B$1:$B$400,SMALL(IF(통합!$E$1:$E$400="1호차",ROW(통합!$E$1:$E$400)),1)),"")</f>
        <v/>
      </c>
      <c r="D4" s="42">
        <f t="array" ref="D4:D4">IFERROR(INDEX(통합!$C$1:$C$400,SMALL(IF(통합!$E$1:$E$400="1호차",ROW(통합!$E$1:$E$400)),1)),"")</f>
        <v/>
      </c>
      <c r="E4" s="42" t="n"/>
      <c r="F4" s="42" t="n"/>
      <c r="H4" s="41" t="n">
        <v>1</v>
      </c>
      <c r="I4" s="42">
        <f t="array" ref="I4:I4">IFERROR(INDEX(통합!$A$1:$A$400,SMALL(IF(통합!$F$1:$F$400="1호차",ROW(통합!$F$1:$F$400)),1)),"")</f>
        <v/>
      </c>
      <c r="J4" s="42">
        <f t="array" ref="J4:J4">IFERROR(INDEX(통합!$B$1:$B$400,SMALL(IF(통합!$F$1:$F$400="1호차",ROW(통합!$F$1:$F$400)),1)),"")</f>
        <v/>
      </c>
      <c r="K4" s="42">
        <f t="array" ref="K4:K4">IFERROR(INDEX(통합!$C$1:$C$400,SMALL(IF(통합!$F$1:$F$400="1호차",ROW(통합!$F$1:$F$400)),1)),"")</f>
        <v/>
      </c>
      <c r="L4" s="42" t="n"/>
      <c r="M4" s="42" t="n"/>
    </row>
    <row r="5" ht="21.75" customHeight="1" s="33">
      <c r="A5" s="43" t="n">
        <v>2</v>
      </c>
      <c r="B5" s="44">
        <f t="array" ref="B5:B5">IFERROR(INDEX(통합!$A$1:$A$400,SMALL(IF(통합!$E$1:$E$400="1호차",ROW(통합!$E$1:$E$400)),2)),"")</f>
        <v/>
      </c>
      <c r="C5" s="44">
        <f t="array" ref="C5:C5">IFERROR(INDEX(통합!$B$1:$B$400,SMALL(IF(통합!$E$1:$E$400="1호차",ROW(통합!$E$1:$E$400)),2)),"")</f>
        <v/>
      </c>
      <c r="D5" s="44">
        <f t="array" ref="D5:D5">IFERROR(INDEX(통합!$C$1:$C$400,SMALL(IF(통합!$E$1:$E$400="1호차",ROW(통합!$E$1:$E$400)),2)),"")</f>
        <v/>
      </c>
      <c r="E5" s="44" t="n"/>
      <c r="F5" s="44" t="n"/>
      <c r="H5" s="43" t="n">
        <v>2</v>
      </c>
      <c r="I5" s="44">
        <f t="array" ref="I5:I5">IFERROR(INDEX(통합!$A$1:$A$400,SMALL(IF(통합!$F$1:$F$400="1호차",ROW(통합!$F$1:$F$400)),2)),"")</f>
        <v/>
      </c>
      <c r="J5" s="44">
        <f t="array" ref="J5:J5">IFERROR(INDEX(통합!$B$1:$B$400,SMALL(IF(통합!$F$1:$F$400="1호차",ROW(통합!$F$1:$F$400)),2)),"")</f>
        <v/>
      </c>
      <c r="K5" s="44">
        <f t="array" ref="K5:K5">IFERROR(INDEX(통합!$C$1:$C$400,SMALL(IF(통합!$F$1:$F$400="1호차",ROW(통합!$F$1:$F$400)),2)),"")</f>
        <v/>
      </c>
      <c r="L5" s="44" t="n"/>
      <c r="M5" s="44" t="n"/>
    </row>
    <row r="6" ht="21.75" customHeight="1" s="33">
      <c r="A6" s="41" t="n">
        <v>3</v>
      </c>
      <c r="B6" s="42">
        <f t="array" ref="B6:B6">IFERROR(INDEX(통합!$A$1:$A$400,SMALL(IF(통합!$E$1:$E$400="1호차",ROW(통합!$E$1:$E$400)),3)),"")</f>
        <v/>
      </c>
      <c r="C6" s="42">
        <f t="array" ref="C6:C6">IFERROR(INDEX(통합!$B$1:$B$400,SMALL(IF(통합!$E$1:$E$400="1호차",ROW(통합!$E$1:$E$400)),3)),"")</f>
        <v/>
      </c>
      <c r="D6" s="42">
        <f t="array" ref="D6:D6">IFERROR(INDEX(통합!$C$1:$C$400,SMALL(IF(통합!$E$1:$E$400="1호차",ROW(통합!$E$1:$E$400)),3)),"")</f>
        <v/>
      </c>
      <c r="E6" s="42" t="n"/>
      <c r="F6" s="42" t="n"/>
      <c r="H6" s="41" t="n">
        <v>3</v>
      </c>
      <c r="I6" s="42">
        <f t="array" ref="I6:I6">IFERROR(INDEX(통합!$A$1:$A$400,SMALL(IF(통합!$F$1:$F$400="1호차",ROW(통합!$F$1:$F$400)),3)),"")</f>
        <v/>
      </c>
      <c r="J6" s="42">
        <f t="array" ref="J6:J6">IFERROR(INDEX(통합!$B$1:$B$400,SMALL(IF(통합!$F$1:$F$400="1호차",ROW(통합!$F$1:$F$400)),3)),"")</f>
        <v/>
      </c>
      <c r="K6" s="42">
        <f t="array" ref="K6:K6">IFERROR(INDEX(통합!$C$1:$C$400,SMALL(IF(통합!$F$1:$F$400="1호차",ROW(통합!$F$1:$F$400)),3)),"")</f>
        <v/>
      </c>
      <c r="L6" s="42" t="n"/>
      <c r="M6" s="42" t="n"/>
    </row>
    <row r="7" ht="21.75" customHeight="1" s="33">
      <c r="A7" s="43" t="n">
        <v>4</v>
      </c>
      <c r="B7" s="44">
        <f t="array" ref="B7:B7">IFERROR(INDEX(통합!$A$1:$A$400,SMALL(IF(통합!$E$1:$E$400="1호차",ROW(통합!$E$1:$E$400)),4)),"")</f>
        <v/>
      </c>
      <c r="C7" s="44">
        <f t="array" ref="C7:C7">IFERROR(INDEX(통합!$B$1:$B$400,SMALL(IF(통합!$E$1:$E$400="1호차",ROW(통합!$E$1:$E$400)),4)),"")</f>
        <v/>
      </c>
      <c r="D7" s="44">
        <f t="array" ref="D7:D7">IFERROR(INDEX(통합!$C$1:$C$400,SMALL(IF(통합!$E$1:$E$400="1호차",ROW(통합!$E$1:$E$400)),4)),"")</f>
        <v/>
      </c>
      <c r="E7" s="44" t="n"/>
      <c r="F7" s="44" t="n"/>
      <c r="H7" s="43" t="n">
        <v>4</v>
      </c>
      <c r="I7" s="44">
        <f t="array" ref="I7:I7">IFERROR(INDEX(통합!$A$1:$A$400,SMALL(IF(통합!$F$1:$F$400="1호차",ROW(통합!$F$1:$F$400)),4)),"")</f>
        <v/>
      </c>
      <c r="J7" s="44">
        <f t="array" ref="J7:J7">IFERROR(INDEX(통합!$B$1:$B$400,SMALL(IF(통합!$F$1:$F$400="1호차",ROW(통합!$F$1:$F$400)),4)),"")</f>
        <v/>
      </c>
      <c r="K7" s="44">
        <f t="array" ref="K7:K7">IFERROR(INDEX(통합!$C$1:$C$400,SMALL(IF(통합!$F$1:$F$400="1호차",ROW(통합!$F$1:$F$400)),4)),"")</f>
        <v/>
      </c>
      <c r="L7" s="44" t="n"/>
      <c r="M7" s="44" t="n"/>
    </row>
    <row r="8" ht="21.75" customHeight="1" s="33">
      <c r="A8" s="41" t="n">
        <v>5</v>
      </c>
      <c r="B8" s="42">
        <f t="array" ref="B8:B8">IFERROR(INDEX(통합!$A$1:$A$400,SMALL(IF(통합!$E$1:$E$400="1호차",ROW(통합!$E$1:$E$400)),5)),"")</f>
        <v/>
      </c>
      <c r="C8" s="42">
        <f t="array" ref="C8:C8">IFERROR(INDEX(통합!$B$1:$B$400,SMALL(IF(통합!$E$1:$E$400="1호차",ROW(통합!$E$1:$E$400)),5)),"")</f>
        <v/>
      </c>
      <c r="D8" s="42">
        <f t="array" ref="D8:D8">IFERROR(INDEX(통합!$C$1:$C$400,SMALL(IF(통합!$E$1:$E$400="1호차",ROW(통합!$E$1:$E$400)),5)),"")</f>
        <v/>
      </c>
      <c r="E8" s="42" t="n"/>
      <c r="F8" s="42" t="n"/>
      <c r="H8" s="41" t="n">
        <v>5</v>
      </c>
      <c r="I8" s="42">
        <f t="array" ref="I8:I8">IFERROR(INDEX(통합!$A$1:$A$400,SMALL(IF(통합!$F$1:$F$400="1호차",ROW(통합!$F$1:$F$400)),5)),"")</f>
        <v/>
      </c>
      <c r="J8" s="42">
        <f t="array" ref="J8:J8">IFERROR(INDEX(통합!$B$1:$B$400,SMALL(IF(통합!$F$1:$F$400="1호차",ROW(통합!$F$1:$F$400)),5)),"")</f>
        <v/>
      </c>
      <c r="K8" s="42">
        <f t="array" ref="K8:K8">IFERROR(INDEX(통합!$C$1:$C$400,SMALL(IF(통합!$F$1:$F$400="1호차",ROW(통합!$F$1:$F$400)),5)),"")</f>
        <v/>
      </c>
      <c r="L8" s="42" t="n"/>
      <c r="M8" s="42" t="n"/>
    </row>
    <row r="9" ht="21.75" customHeight="1" s="33">
      <c r="A9" s="43" t="n">
        <v>6</v>
      </c>
      <c r="B9" s="44">
        <f t="array" ref="B9:B9">IFERROR(INDEX(통합!$A$1:$A$400,SMALL(IF(통합!$E$1:$E$400="1호차",ROW(통합!$E$1:$E$400)),6)),"")</f>
        <v/>
      </c>
      <c r="C9" s="44">
        <f t="array" ref="C9:C9">IFERROR(INDEX(통합!$B$1:$B$400,SMALL(IF(통합!$E$1:$E$400="1호차",ROW(통합!$E$1:$E$400)),6)),"")</f>
        <v/>
      </c>
      <c r="D9" s="44">
        <f t="array" ref="D9:D9">IFERROR(INDEX(통합!$C$1:$C$400,SMALL(IF(통합!$E$1:$E$400="1호차",ROW(통합!$E$1:$E$400)),6)),"")</f>
        <v/>
      </c>
      <c r="E9" s="44" t="n"/>
      <c r="F9" s="44" t="n"/>
      <c r="H9" s="43" t="n">
        <v>6</v>
      </c>
      <c r="I9" s="44">
        <f t="array" ref="I9:I9">IFERROR(INDEX(통합!$A$1:$A$400,SMALL(IF(통합!$F$1:$F$400="1호차",ROW(통합!$F$1:$F$400)),6)),"")</f>
        <v/>
      </c>
      <c r="J9" s="44">
        <f t="array" ref="J9:J9">IFERROR(INDEX(통합!$B$1:$B$400,SMALL(IF(통합!$F$1:$F$400="1호차",ROW(통합!$F$1:$F$400)),6)),"")</f>
        <v/>
      </c>
      <c r="K9" s="44">
        <f t="array" ref="K9:K9">IFERROR(INDEX(통합!$C$1:$C$400,SMALL(IF(통합!$F$1:$F$400="1호차",ROW(통합!$F$1:$F$400)),6)),"")</f>
        <v/>
      </c>
      <c r="L9" s="44" t="n"/>
      <c r="M9" s="44" t="n"/>
    </row>
    <row r="10" ht="21.75" customHeight="1" s="33">
      <c r="A10" s="41" t="n">
        <v>7</v>
      </c>
      <c r="B10" s="42">
        <f t="array" ref="B10:B10">IFERROR(INDEX(통합!$A$1:$A$400,SMALL(IF(통합!$E$1:$E$400="1호차",ROW(통합!$E$1:$E$400)),7)),"")</f>
        <v/>
      </c>
      <c r="C10" s="42">
        <f t="array" ref="C10:C10">IFERROR(INDEX(통합!$B$1:$B$400,SMALL(IF(통합!$E$1:$E$400="1호차",ROW(통합!$E$1:$E$400)),7)),"")</f>
        <v/>
      </c>
      <c r="D10" s="42">
        <f t="array" ref="D10:D10">IFERROR(INDEX(통합!$C$1:$C$400,SMALL(IF(통합!$E$1:$E$400="1호차",ROW(통합!$E$1:$E$400)),7)),"")</f>
        <v/>
      </c>
      <c r="E10" s="42" t="n"/>
      <c r="F10" s="42" t="n"/>
      <c r="H10" s="41" t="n">
        <v>7</v>
      </c>
      <c r="I10" s="42">
        <f t="array" ref="I10:I10">IFERROR(INDEX(통합!$A$1:$A$400,SMALL(IF(통합!$F$1:$F$400="1호차",ROW(통합!$F$1:$F$400)),7)),"")</f>
        <v/>
      </c>
      <c r="J10" s="42">
        <f t="array" ref="J10:J10">IFERROR(INDEX(통합!$B$1:$B$400,SMALL(IF(통합!$F$1:$F$400="1호차",ROW(통합!$F$1:$F$400)),7)),"")</f>
        <v/>
      </c>
      <c r="K10" s="42">
        <f t="array" ref="K10:K10">IFERROR(INDEX(통합!$C$1:$C$400,SMALL(IF(통합!$F$1:$F$400="1호차",ROW(통합!$F$1:$F$400)),7)),"")</f>
        <v/>
      </c>
      <c r="L10" s="42" t="n"/>
      <c r="M10" s="42" t="n"/>
    </row>
    <row r="11" ht="21.75" customHeight="1" s="33">
      <c r="A11" s="43" t="n">
        <v>8</v>
      </c>
      <c r="B11" s="44">
        <f t="array" ref="B11:B11">IFERROR(INDEX(통합!$A$1:$A$400,SMALL(IF(통합!$E$1:$E$400="1호차",ROW(통합!$E$1:$E$400)),8)),"")</f>
        <v/>
      </c>
      <c r="C11" s="44">
        <f t="array" ref="C11:C11">IFERROR(INDEX(통합!$B$1:$B$400,SMALL(IF(통합!$E$1:$E$400="1호차",ROW(통합!$E$1:$E$400)),8)),"")</f>
        <v/>
      </c>
      <c r="D11" s="44">
        <f t="array" ref="D11:D11">IFERROR(INDEX(통합!$C$1:$C$400,SMALL(IF(통합!$E$1:$E$400="1호차",ROW(통합!$E$1:$E$400)),8)),"")</f>
        <v/>
      </c>
      <c r="E11" s="44" t="n"/>
      <c r="F11" s="44" t="n"/>
      <c r="H11" s="43" t="n">
        <v>8</v>
      </c>
      <c r="I11" s="44">
        <f t="array" ref="I11:I11">IFERROR(INDEX(통합!$A$1:$A$400,SMALL(IF(통합!$F$1:$F$400="1호차",ROW(통합!$F$1:$F$400)),8)),"")</f>
        <v/>
      </c>
      <c r="J11" s="44">
        <f t="array" ref="J11:J11">IFERROR(INDEX(통합!$B$1:$B$400,SMALL(IF(통합!$F$1:$F$400="1호차",ROW(통합!$F$1:$F$400)),8)),"")</f>
        <v/>
      </c>
      <c r="K11" s="44">
        <f t="array" ref="K11:K11">IFERROR(INDEX(통합!$C$1:$C$400,SMALL(IF(통합!$F$1:$F$400="1호차",ROW(통합!$F$1:$F$400)),8)),"")</f>
        <v/>
      </c>
      <c r="L11" s="44" t="n"/>
      <c r="M11" s="44" t="n"/>
    </row>
    <row r="12" ht="21.75" customHeight="1" s="33">
      <c r="A12" s="41" t="n">
        <v>9</v>
      </c>
      <c r="B12" s="42">
        <f t="array" ref="B12:B12">IFERROR(INDEX(통합!$A$1:$A$400,SMALL(IF(통합!$E$1:$E$400="1호차",ROW(통합!$E$1:$E$400)),9)),"")</f>
        <v/>
      </c>
      <c r="C12" s="42">
        <f t="array" ref="C12:C12">IFERROR(INDEX(통합!$B$1:$B$400,SMALL(IF(통합!$E$1:$E$400="1호차",ROW(통합!$E$1:$E$400)),9)),"")</f>
        <v/>
      </c>
      <c r="D12" s="42">
        <f t="array" ref="D12:D12">IFERROR(INDEX(통합!$C$1:$C$400,SMALL(IF(통합!$E$1:$E$400="1호차",ROW(통합!$E$1:$E$400)),9)),"")</f>
        <v/>
      </c>
      <c r="E12" s="42" t="n"/>
      <c r="F12" s="42" t="n"/>
      <c r="H12" s="41" t="n">
        <v>9</v>
      </c>
      <c r="I12" s="42">
        <f t="array" ref="I12:I12">IFERROR(INDEX(통합!$A$1:$A$400,SMALL(IF(통합!$F$1:$F$400="1호차",ROW(통합!$F$1:$F$400)),9)),"")</f>
        <v/>
      </c>
      <c r="J12" s="42">
        <f t="array" ref="J12:J12">IFERROR(INDEX(통합!$B$1:$B$400,SMALL(IF(통합!$F$1:$F$400="1호차",ROW(통합!$F$1:$F$400)),9)),"")</f>
        <v/>
      </c>
      <c r="K12" s="42">
        <f t="array" ref="K12:K12">IFERROR(INDEX(통합!$C$1:$C$400,SMALL(IF(통합!$F$1:$F$400="1호차",ROW(통합!$F$1:$F$400)),9)),"")</f>
        <v/>
      </c>
      <c r="L12" s="42" t="n"/>
      <c r="M12" s="42" t="n"/>
    </row>
    <row r="13" ht="21.75" customHeight="1" s="33">
      <c r="A13" s="43" t="n">
        <v>10</v>
      </c>
      <c r="B13" s="44">
        <f t="array" ref="B13:B13">IFERROR(INDEX(통합!$A$1:$A$400,SMALL(IF(통합!$E$1:$E$400="1호차",ROW(통합!$E$1:$E$400)),10)),"")</f>
        <v/>
      </c>
      <c r="C13" s="44">
        <f t="array" ref="C13:C13">IFERROR(INDEX(통합!$B$1:$B$400,SMALL(IF(통합!$E$1:$E$400="1호차",ROW(통합!$E$1:$E$400)),10)),"")</f>
        <v/>
      </c>
      <c r="D13" s="44">
        <f t="array" ref="D13:D13">IFERROR(INDEX(통합!$C$1:$C$400,SMALL(IF(통합!$E$1:$E$400="1호차",ROW(통합!$E$1:$E$400)),10)),"")</f>
        <v/>
      </c>
      <c r="E13" s="44" t="n"/>
      <c r="F13" s="44" t="n"/>
      <c r="H13" s="43" t="n">
        <v>10</v>
      </c>
      <c r="I13" s="44">
        <f t="array" ref="I13:I13">IFERROR(INDEX(통합!$A$1:$A$400,SMALL(IF(통합!$F$1:$F$400="1호차",ROW(통합!$F$1:$F$400)),10)),"")</f>
        <v/>
      </c>
      <c r="J13" s="44">
        <f t="array" ref="J13:J13">IFERROR(INDEX(통합!$B$1:$B$400,SMALL(IF(통합!$F$1:$F$400="1호차",ROW(통합!$F$1:$F$400)),10)),"")</f>
        <v/>
      </c>
      <c r="K13" s="44">
        <f t="array" ref="K13:K13">IFERROR(INDEX(통합!$C$1:$C$400,SMALL(IF(통합!$F$1:$F$400="1호차",ROW(통합!$F$1:$F$400)),10)),"")</f>
        <v/>
      </c>
      <c r="L13" s="44" t="n"/>
      <c r="M13" s="44" t="n"/>
    </row>
    <row r="14" ht="21.75" customHeight="1" s="33">
      <c r="A14" s="41" t="n">
        <v>11</v>
      </c>
      <c r="B14" s="42">
        <f t="array" ref="B14:B14">IFERROR(INDEX(통합!$A$1:$A$400,SMALL(IF(통합!$E$1:$E$400="1호차",ROW(통합!$E$1:$E$400)),11)),"")</f>
        <v/>
      </c>
      <c r="C14" s="42">
        <f t="array" ref="C14:C14">IFERROR(INDEX(통합!$B$1:$B$400,SMALL(IF(통합!$E$1:$E$400="1호차",ROW(통합!$E$1:$E$400)),11)),"")</f>
        <v/>
      </c>
      <c r="D14" s="42">
        <f t="array" ref="D14:D14">IFERROR(INDEX(통합!$C$1:$C$400,SMALL(IF(통합!$E$1:$E$400="1호차",ROW(통합!$E$1:$E$400)),11)),"")</f>
        <v/>
      </c>
      <c r="E14" s="42" t="n"/>
      <c r="F14" s="42" t="n"/>
      <c r="H14" s="41" t="n">
        <v>11</v>
      </c>
      <c r="I14" s="42">
        <f t="array" ref="I14:I14">IFERROR(INDEX(통합!$A$1:$A$400,SMALL(IF(통합!$F$1:$F$400="1호차",ROW(통합!$F$1:$F$400)),11)),"")</f>
        <v/>
      </c>
      <c r="J14" s="42">
        <f t="array" ref="J14:J14">IFERROR(INDEX(통합!$B$1:$B$400,SMALL(IF(통합!$F$1:$F$400="1호차",ROW(통합!$F$1:$F$400)),11)),"")</f>
        <v/>
      </c>
      <c r="K14" s="42">
        <f t="array" ref="K14:K14">IFERROR(INDEX(통합!$C$1:$C$400,SMALL(IF(통합!$F$1:$F$400="1호차",ROW(통합!$F$1:$F$400)),11)),"")</f>
        <v/>
      </c>
      <c r="L14" s="42" t="n"/>
      <c r="M14" s="42" t="n"/>
    </row>
    <row r="15" ht="21.75" customHeight="1" s="33">
      <c r="A15" s="43" t="n">
        <v>12</v>
      </c>
      <c r="B15" s="44">
        <f t="array" ref="B15:B15">IFERROR(INDEX(통합!$A$1:$A$400,SMALL(IF(통합!$E$1:$E$400="1호차",ROW(통합!$E$1:$E$400)),12)),"")</f>
        <v/>
      </c>
      <c r="C15" s="44">
        <f t="array" ref="C15:C15">IFERROR(INDEX(통합!$B$1:$B$400,SMALL(IF(통합!$E$1:$E$400="1호차",ROW(통합!$E$1:$E$400)),12)),"")</f>
        <v/>
      </c>
      <c r="D15" s="44">
        <f t="array" ref="D15:D15">IFERROR(INDEX(통합!$C$1:$C$400,SMALL(IF(통합!$E$1:$E$400="1호차",ROW(통합!$E$1:$E$400)),12)),"")</f>
        <v/>
      </c>
      <c r="E15" s="44" t="n"/>
      <c r="F15" s="44" t="n"/>
      <c r="H15" s="43" t="n">
        <v>12</v>
      </c>
      <c r="I15" s="44">
        <f t="array" ref="I15:I15">IFERROR(INDEX(통합!$A$1:$A$400,SMALL(IF(통합!$F$1:$F$400="1호차",ROW(통합!$F$1:$F$400)),12)),"")</f>
        <v/>
      </c>
      <c r="J15" s="44">
        <f t="array" ref="J15:J15">IFERROR(INDEX(통합!$B$1:$B$400,SMALL(IF(통합!$F$1:$F$400="1호차",ROW(통합!$F$1:$F$400)),12)),"")</f>
        <v/>
      </c>
      <c r="K15" s="44">
        <f t="array" ref="K15:K15">IFERROR(INDEX(통합!$C$1:$C$400,SMALL(IF(통합!$F$1:$F$400="1호차",ROW(통합!$F$1:$F$400)),12)),"")</f>
        <v/>
      </c>
      <c r="L15" s="44" t="n"/>
      <c r="M15" s="44" t="n"/>
    </row>
    <row r="16" ht="21.75" customHeight="1" s="33">
      <c r="A16" s="41" t="n">
        <v>13</v>
      </c>
      <c r="B16" s="42">
        <f t="array" ref="B16:B16">IFERROR(INDEX(통합!$A$1:$A$400,SMALL(IF(통합!$E$1:$E$400="1호차",ROW(통합!$E$1:$E$400)),13)),"")</f>
        <v/>
      </c>
      <c r="C16" s="42">
        <f t="array" ref="C16:C16">IFERROR(INDEX(통합!$B$1:$B$400,SMALL(IF(통합!$E$1:$E$400="1호차",ROW(통합!$E$1:$E$400)),13)),"")</f>
        <v/>
      </c>
      <c r="D16" s="42">
        <f t="array" ref="D16:D16">IFERROR(INDEX(통합!$C$1:$C$400,SMALL(IF(통합!$E$1:$E$400="1호차",ROW(통합!$E$1:$E$400)),13)),"")</f>
        <v/>
      </c>
      <c r="E16" s="42" t="n"/>
      <c r="F16" s="42" t="n"/>
      <c r="H16" s="41" t="n">
        <v>13</v>
      </c>
      <c r="I16" s="42">
        <f t="array" ref="I16:I16">IFERROR(INDEX(통합!$A$1:$A$400,SMALL(IF(통합!$F$1:$F$400="1호차",ROW(통합!$F$1:$F$400)),13)),"")</f>
        <v/>
      </c>
      <c r="J16" s="42">
        <f t="array" ref="J16:J16">IFERROR(INDEX(통합!$B$1:$B$400,SMALL(IF(통합!$F$1:$F$400="1호차",ROW(통합!$F$1:$F$400)),13)),"")</f>
        <v/>
      </c>
      <c r="K16" s="42">
        <f t="array" ref="K16:K16">IFERROR(INDEX(통합!$C$1:$C$400,SMALL(IF(통합!$F$1:$F$400="1호차",ROW(통합!$F$1:$F$400)),13)),"")</f>
        <v/>
      </c>
      <c r="L16" s="42" t="n"/>
      <c r="M16" s="42" t="n"/>
    </row>
    <row r="17" ht="21.75" customHeight="1" s="33">
      <c r="A17" s="43" t="n">
        <v>14</v>
      </c>
      <c r="B17" s="44">
        <f t="array" ref="B17:B17">IFERROR(INDEX(통합!$A$1:$A$400,SMALL(IF(통합!$E$1:$E$400="1호차",ROW(통합!$E$1:$E$400)),14)),"")</f>
        <v/>
      </c>
      <c r="C17" s="44">
        <f t="array" ref="C17:C17">IFERROR(INDEX(통합!$B$1:$B$400,SMALL(IF(통합!$E$1:$E$400="1호차",ROW(통합!$E$1:$E$400)),14)),"")</f>
        <v/>
      </c>
      <c r="D17" s="44">
        <f t="array" ref="D17:D17">IFERROR(INDEX(통합!$C$1:$C$400,SMALL(IF(통합!$E$1:$E$400="1호차",ROW(통합!$E$1:$E$400)),14)),"")</f>
        <v/>
      </c>
      <c r="E17" s="44" t="n"/>
      <c r="F17" s="44" t="n"/>
      <c r="H17" s="43" t="n">
        <v>14</v>
      </c>
      <c r="I17" s="44">
        <f t="array" ref="I17:I17">IFERROR(INDEX(통합!$A$1:$A$400,SMALL(IF(통합!$F$1:$F$400="1호차",ROW(통합!$F$1:$F$400)),14)),"")</f>
        <v/>
      </c>
      <c r="J17" s="44">
        <f t="array" ref="J17:J17">IFERROR(INDEX(통합!$B$1:$B$400,SMALL(IF(통합!$F$1:$F$400="1호차",ROW(통합!$F$1:$F$400)),14)),"")</f>
        <v/>
      </c>
      <c r="K17" s="44">
        <f t="array" ref="K17:K17">IFERROR(INDEX(통합!$C$1:$C$400,SMALL(IF(통합!$F$1:$F$400="1호차",ROW(통합!$F$1:$F$400)),14)),"")</f>
        <v/>
      </c>
      <c r="L17" s="44" t="n"/>
      <c r="M17" s="44" t="n"/>
    </row>
    <row r="18" ht="21.75" customHeight="1" s="33">
      <c r="A18" s="41" t="n">
        <v>15</v>
      </c>
      <c r="B18" s="42">
        <f t="array" ref="B18:B18">IFERROR(INDEX(통합!$A$1:$A$400,SMALL(IF(통합!$E$1:$E$400="1호차",ROW(통합!$E$1:$E$400)),15)),"")</f>
        <v/>
      </c>
      <c r="C18" s="42">
        <f t="array" ref="C18:C18">IFERROR(INDEX(통합!$B$1:$B$400,SMALL(IF(통합!$E$1:$E$400="1호차",ROW(통합!$E$1:$E$400)),15)),"")</f>
        <v/>
      </c>
      <c r="D18" s="42">
        <f t="array" ref="D18:D18">IFERROR(INDEX(통합!$C$1:$C$400,SMALL(IF(통합!$E$1:$E$400="1호차",ROW(통합!$E$1:$E$400)),15)),"")</f>
        <v/>
      </c>
      <c r="E18" s="42" t="n"/>
      <c r="F18" s="42" t="n"/>
      <c r="H18" s="41" t="n">
        <v>15</v>
      </c>
      <c r="I18" s="42">
        <f t="array" ref="I18:I18">IFERROR(INDEX(통합!$A$1:$A$400,SMALL(IF(통합!$F$1:$F$400="1호차",ROW(통합!$F$1:$F$400)),15)),"")</f>
        <v/>
      </c>
      <c r="J18" s="42">
        <f t="array" ref="J18:J18">IFERROR(INDEX(통합!$B$1:$B$400,SMALL(IF(통합!$F$1:$F$400="1호차",ROW(통합!$F$1:$F$400)),15)),"")</f>
        <v/>
      </c>
      <c r="K18" s="42">
        <f t="array" ref="K18:K18">IFERROR(INDEX(통합!$C$1:$C$400,SMALL(IF(통합!$F$1:$F$400="1호차",ROW(통합!$F$1:$F$400)),15)),"")</f>
        <v/>
      </c>
      <c r="L18" s="42" t="n"/>
      <c r="M18" s="42" t="n"/>
    </row>
    <row r="19" ht="21.75" customHeight="1" s="33">
      <c r="A19" s="43" t="n">
        <v>16</v>
      </c>
      <c r="B19" s="44">
        <f t="array" ref="B19:B19">IFERROR(INDEX(통합!$A$1:$A$400,SMALL(IF(통합!$E$1:$E$400="1호차",ROW(통합!$E$1:$E$400)),16)),"")</f>
        <v/>
      </c>
      <c r="C19" s="44">
        <f t="array" ref="C19:C19">IFERROR(INDEX(통합!$B$1:$B$400,SMALL(IF(통합!$E$1:$E$400="1호차",ROW(통합!$E$1:$E$400)),16)),"")</f>
        <v/>
      </c>
      <c r="D19" s="44">
        <f t="array" ref="D19:D19">IFERROR(INDEX(통합!$C$1:$C$400,SMALL(IF(통합!$E$1:$E$400="1호차",ROW(통합!$E$1:$E$400)),16)),"")</f>
        <v/>
      </c>
      <c r="E19" s="44" t="n"/>
      <c r="F19" s="44" t="n"/>
      <c r="H19" s="43" t="n">
        <v>16</v>
      </c>
      <c r="I19" s="44">
        <f t="array" ref="I19:I19">IFERROR(INDEX(통합!$A$1:$A$400,SMALL(IF(통합!$F$1:$F$400="1호차",ROW(통합!$F$1:$F$400)),16)),"")</f>
        <v/>
      </c>
      <c r="J19" s="44">
        <f t="array" ref="J19:J19">IFERROR(INDEX(통합!$B$1:$B$400,SMALL(IF(통합!$F$1:$F$400="1호차",ROW(통합!$F$1:$F$400)),16)),"")</f>
        <v/>
      </c>
      <c r="K19" s="44">
        <f t="array" ref="K19:K19">IFERROR(INDEX(통합!$C$1:$C$400,SMALL(IF(통합!$F$1:$F$400="1호차",ROW(통합!$F$1:$F$400)),16)),"")</f>
        <v/>
      </c>
      <c r="L19" s="44" t="n"/>
      <c r="M19" s="44" t="n"/>
    </row>
    <row r="20" ht="21.75" customHeight="1" s="33">
      <c r="A20" s="41" t="n">
        <v>17</v>
      </c>
      <c r="B20" s="42">
        <f t="array" ref="B20:B20">IFERROR(INDEX(통합!$A$1:$A$400,SMALL(IF(통합!$E$1:$E$400="1호차",ROW(통합!$E$1:$E$400)),17)),"")</f>
        <v/>
      </c>
      <c r="C20" s="42">
        <f t="array" ref="C20:C20">IFERROR(INDEX(통합!$B$1:$B$400,SMALL(IF(통합!$E$1:$E$400="1호차",ROW(통합!$E$1:$E$400)),17)),"")</f>
        <v/>
      </c>
      <c r="D20" s="42">
        <f t="array" ref="D20:D20">IFERROR(INDEX(통합!$C$1:$C$400,SMALL(IF(통합!$E$1:$E$400="1호차",ROW(통합!$E$1:$E$400)),17)),"")</f>
        <v/>
      </c>
      <c r="E20" s="42" t="n"/>
      <c r="F20" s="42" t="n"/>
      <c r="H20" s="41" t="n">
        <v>17</v>
      </c>
      <c r="I20" s="42">
        <f t="array" ref="I20:I20">IFERROR(INDEX(통합!$A$1:$A$400,SMALL(IF(통합!$F$1:$F$400="1호차",ROW(통합!$F$1:$F$400)),17)),"")</f>
        <v/>
      </c>
      <c r="J20" s="42">
        <f t="array" ref="J20:J20">IFERROR(INDEX(통합!$B$1:$B$400,SMALL(IF(통합!$F$1:$F$400="1호차",ROW(통합!$F$1:$F$400)),17)),"")</f>
        <v/>
      </c>
      <c r="K20" s="42">
        <f t="array" ref="K20:K20">IFERROR(INDEX(통합!$C$1:$C$400,SMALL(IF(통합!$F$1:$F$400="1호차",ROW(통합!$F$1:$F$400)),17)),"")</f>
        <v/>
      </c>
      <c r="L20" s="42" t="n"/>
      <c r="M20" s="42" t="n"/>
    </row>
    <row r="21" ht="21.75" customHeight="1" s="33">
      <c r="A21" s="43" t="n">
        <v>18</v>
      </c>
      <c r="B21" s="44">
        <f t="array" ref="B21:B21">IFERROR(INDEX(통합!$A$1:$A$400,SMALL(IF(통합!$E$1:$E$400="1호차",ROW(통합!$E$1:$E$400)),18)),"")</f>
        <v/>
      </c>
      <c r="C21" s="44">
        <f t="array" ref="C21:C21">IFERROR(INDEX(통합!$B$1:$B$400,SMALL(IF(통합!$E$1:$E$400="1호차",ROW(통합!$E$1:$E$400)),18)),"")</f>
        <v/>
      </c>
      <c r="D21" s="44">
        <f t="array" ref="D21:D21">IFERROR(INDEX(통합!$C$1:$C$400,SMALL(IF(통합!$E$1:$E$400="1호차",ROW(통합!$E$1:$E$400)),18)),"")</f>
        <v/>
      </c>
      <c r="E21" s="44" t="n"/>
      <c r="F21" s="44" t="n"/>
      <c r="H21" s="43" t="n">
        <v>18</v>
      </c>
      <c r="I21" s="44">
        <f t="array" ref="I21:I21">IFERROR(INDEX(통합!$A$1:$A$400,SMALL(IF(통합!$F$1:$F$400="1호차",ROW(통합!$F$1:$F$400)),18)),"")</f>
        <v/>
      </c>
      <c r="J21" s="44">
        <f t="array" ref="J21:J21">IFERROR(INDEX(통합!$B$1:$B$400,SMALL(IF(통합!$F$1:$F$400="1호차",ROW(통합!$F$1:$F$400)),18)),"")</f>
        <v/>
      </c>
      <c r="K21" s="44">
        <f t="array" ref="K21:K21">IFERROR(INDEX(통합!$C$1:$C$400,SMALL(IF(통합!$F$1:$F$400="1호차",ROW(통합!$F$1:$F$400)),18)),"")</f>
        <v/>
      </c>
      <c r="L21" s="44" t="n"/>
      <c r="M21" s="44" t="n"/>
    </row>
    <row r="22" ht="21.75" customHeight="1" s="33">
      <c r="A22" s="41" t="n">
        <v>19</v>
      </c>
      <c r="B22" s="42">
        <f t="array" ref="B22:B22">IFERROR(INDEX(통합!$A$1:$A$400,SMALL(IF(통합!$E$1:$E$400="1호차",ROW(통합!$E$1:$E$400)),19)),"")</f>
        <v/>
      </c>
      <c r="C22" s="42">
        <f t="array" ref="C22:C22">IFERROR(INDEX(통합!$B$1:$B$400,SMALL(IF(통합!$E$1:$E$400="1호차",ROW(통합!$E$1:$E$400)),19)),"")</f>
        <v/>
      </c>
      <c r="D22" s="42">
        <f t="array" ref="D22:D22">IFERROR(INDEX(통합!$C$1:$C$400,SMALL(IF(통합!$E$1:$E$400="1호차",ROW(통합!$E$1:$E$400)),19)),"")</f>
        <v/>
      </c>
      <c r="E22" s="42" t="n"/>
      <c r="F22" s="42" t="n"/>
      <c r="H22" s="41" t="n">
        <v>19</v>
      </c>
      <c r="I22" s="42">
        <f t="array" ref="I22:I22">IFERROR(INDEX(통합!$A$1:$A$400,SMALL(IF(통합!$F$1:$F$400="1호차",ROW(통합!$F$1:$F$400)),19)),"")</f>
        <v/>
      </c>
      <c r="J22" s="42">
        <f t="array" ref="J22:J22">IFERROR(INDEX(통합!$B$1:$B$400,SMALL(IF(통합!$F$1:$F$400="1호차",ROW(통합!$F$1:$F$400)),19)),"")</f>
        <v/>
      </c>
      <c r="K22" s="42">
        <f t="array" ref="K22:K22">IFERROR(INDEX(통합!$C$1:$C$400,SMALL(IF(통합!$F$1:$F$400="1호차",ROW(통합!$F$1:$F$400)),19)),"")</f>
        <v/>
      </c>
      <c r="L22" s="42" t="n"/>
      <c r="M22" s="42" t="n"/>
    </row>
    <row r="23" ht="21.75" customHeight="1" s="33">
      <c r="A23" s="43" t="n">
        <v>20</v>
      </c>
      <c r="B23" s="44">
        <f t="array" ref="B23:B23">IFERROR(INDEX(통합!$A$1:$A$400,SMALL(IF(통합!$E$1:$E$400="1호차",ROW(통합!$E$1:$E$400)),20)),"")</f>
        <v/>
      </c>
      <c r="C23" s="44">
        <f t="array" ref="C23:C23">IFERROR(INDEX(통합!$B$1:$B$400,SMALL(IF(통합!$E$1:$E$400="1호차",ROW(통합!$E$1:$E$400)),20)),"")</f>
        <v/>
      </c>
      <c r="D23" s="44">
        <f t="array" ref="D23:D23">IFERROR(INDEX(통합!$C$1:$C$400,SMALL(IF(통합!$E$1:$E$400="1호차",ROW(통합!$E$1:$E$400)),20)),"")</f>
        <v/>
      </c>
      <c r="E23" s="44" t="n"/>
      <c r="F23" s="44" t="n"/>
      <c r="H23" s="43" t="n">
        <v>20</v>
      </c>
      <c r="I23" s="44">
        <f t="array" ref="I23:I23">IFERROR(INDEX(통합!$A$1:$A$400,SMALL(IF(통합!$F$1:$F$400="1호차",ROW(통합!$F$1:$F$400)),20)),"")</f>
        <v/>
      </c>
      <c r="J23" s="44">
        <f t="array" ref="J23:J23">IFERROR(INDEX(통합!$B$1:$B$400,SMALL(IF(통합!$F$1:$F$400="1호차",ROW(통합!$F$1:$F$400)),20)),"")</f>
        <v/>
      </c>
      <c r="K23" s="44">
        <f t="array" ref="K23:K23">IFERROR(INDEX(통합!$C$1:$C$400,SMALL(IF(통합!$F$1:$F$400="1호차",ROW(통합!$F$1:$F$400)),20)),"")</f>
        <v/>
      </c>
      <c r="L23" s="44" t="n"/>
      <c r="M23" s="44" t="n"/>
    </row>
    <row r="24" ht="21.75" customHeight="1" s="33">
      <c r="A24" s="41" t="n">
        <v>21</v>
      </c>
      <c r="B24" s="42">
        <f t="array" ref="B24:B24">IFERROR(INDEX(통합!$A$1:$A$400,SMALL(IF(통합!$E$1:$E$400="1호차",ROW(통합!$E$1:$E$400)),21)),"")</f>
        <v/>
      </c>
      <c r="C24" s="42">
        <f t="array" ref="C24:C24">IFERROR(INDEX(통합!$B$1:$B$400,SMALL(IF(통합!$E$1:$E$400="1호차",ROW(통합!$E$1:$E$400)),21)),"")</f>
        <v/>
      </c>
      <c r="D24" s="42">
        <f t="array" ref="D24:D24">IFERROR(INDEX(통합!$C$1:$C$400,SMALL(IF(통합!$E$1:$E$400="1호차",ROW(통합!$E$1:$E$400)),21)),"")</f>
        <v/>
      </c>
      <c r="E24" s="42" t="n"/>
      <c r="F24" s="42" t="n"/>
      <c r="H24" s="41" t="n">
        <v>21</v>
      </c>
      <c r="I24" s="42">
        <f t="array" ref="I24:I24">IFERROR(INDEX(통합!$A$1:$A$400,SMALL(IF(통합!$F$1:$F$400="1호차",ROW(통합!$F$1:$F$400)),21)),"")</f>
        <v/>
      </c>
      <c r="J24" s="42">
        <f t="array" ref="J24:J24">IFERROR(INDEX(통합!$B$1:$B$400,SMALL(IF(통합!$F$1:$F$400="1호차",ROW(통합!$F$1:$F$400)),21)),"")</f>
        <v/>
      </c>
      <c r="K24" s="42">
        <f t="array" ref="K24:K24">IFERROR(INDEX(통합!$C$1:$C$400,SMALL(IF(통합!$F$1:$F$400="1호차",ROW(통합!$F$1:$F$400)),21)),"")</f>
        <v/>
      </c>
      <c r="L24" s="42" t="n"/>
      <c r="M24" s="42" t="n"/>
    </row>
    <row r="25" ht="21.75" customHeight="1" s="33">
      <c r="A25" s="43" t="n">
        <v>22</v>
      </c>
      <c r="B25" s="44">
        <f t="array" ref="B25:B25">IFERROR(INDEX(통합!$A$1:$A$400,SMALL(IF(통합!$E$1:$E$400="1호차",ROW(통합!$E$1:$E$400)),22)),"")</f>
        <v/>
      </c>
      <c r="C25" s="44">
        <f t="array" ref="C25:C25">IFERROR(INDEX(통합!$B$1:$B$400,SMALL(IF(통합!$E$1:$E$400="1호차",ROW(통합!$E$1:$E$400)),22)),"")</f>
        <v/>
      </c>
      <c r="D25" s="44">
        <f t="array" ref="D25:D25">IFERROR(INDEX(통합!$C$1:$C$400,SMALL(IF(통합!$E$1:$E$400="1호차",ROW(통합!$E$1:$E$400)),22)),"")</f>
        <v/>
      </c>
      <c r="E25" s="44" t="n"/>
      <c r="F25" s="44" t="n"/>
      <c r="H25" s="43" t="n">
        <v>22</v>
      </c>
      <c r="I25" s="44">
        <f t="array" ref="I25:I25">IFERROR(INDEX(통합!$A$1:$A$400,SMALL(IF(통합!$F$1:$F$400="1호차",ROW(통합!$F$1:$F$400)),22)),"")</f>
        <v/>
      </c>
      <c r="J25" s="44">
        <f t="array" ref="J25:J25">IFERROR(INDEX(통합!$B$1:$B$400,SMALL(IF(통합!$F$1:$F$400="1호차",ROW(통합!$F$1:$F$400)),22)),"")</f>
        <v/>
      </c>
      <c r="K25" s="44">
        <f t="array" ref="K25:K25">IFERROR(INDEX(통합!$C$1:$C$400,SMALL(IF(통합!$F$1:$F$400="1호차",ROW(통합!$F$1:$F$400)),22)),"")</f>
        <v/>
      </c>
      <c r="L25" s="44" t="n"/>
      <c r="M25" s="44" t="n"/>
    </row>
    <row r="26" ht="21.75" customHeight="1" s="33">
      <c r="A26" s="41" t="n">
        <v>23</v>
      </c>
      <c r="B26" s="42">
        <f t="array" ref="B26:B26">IFERROR(INDEX(통합!$A$1:$A$400,SMALL(IF(통합!$E$1:$E$400="1호차",ROW(통합!$E$1:$E$400)),23)),"")</f>
        <v/>
      </c>
      <c r="C26" s="42">
        <f t="array" ref="C26:C26">IFERROR(INDEX(통합!$B$1:$B$400,SMALL(IF(통합!$E$1:$E$400="1호차",ROW(통합!$E$1:$E$400)),23)),"")</f>
        <v/>
      </c>
      <c r="D26" s="42">
        <f t="array" ref="D26:D26">IFERROR(INDEX(통합!$C$1:$C$400,SMALL(IF(통합!$E$1:$E$400="1호차",ROW(통합!$E$1:$E$400)),23)),"")</f>
        <v/>
      </c>
      <c r="E26" s="42" t="n"/>
      <c r="F26" s="42" t="n"/>
      <c r="H26" s="41" t="n">
        <v>23</v>
      </c>
      <c r="I26" s="42">
        <f t="array" ref="I26:I26">IFERROR(INDEX(통합!$A$1:$A$400,SMALL(IF(통합!$F$1:$F$400="1호차",ROW(통합!$F$1:$F$400)),23)),"")</f>
        <v/>
      </c>
      <c r="J26" s="42">
        <f t="array" ref="J26:J26">IFERROR(INDEX(통합!$B$1:$B$400,SMALL(IF(통합!$F$1:$F$400="1호차",ROW(통합!$F$1:$F$400)),23)),"")</f>
        <v/>
      </c>
      <c r="K26" s="42">
        <f t="array" ref="K26:K26">IFERROR(INDEX(통합!$C$1:$C$400,SMALL(IF(통합!$F$1:$F$400="1호차",ROW(통합!$F$1:$F$400)),23)),"")</f>
        <v/>
      </c>
      <c r="L26" s="42" t="n"/>
      <c r="M26" s="42" t="n"/>
    </row>
    <row r="27" ht="21.75" customHeight="1" s="33">
      <c r="A27" s="43" t="n">
        <v>24</v>
      </c>
      <c r="B27" s="44">
        <f t="array" ref="B27:B27">IFERROR(INDEX(통합!$A$1:$A$400,SMALL(IF(통합!$E$1:$E$400="1호차",ROW(통합!$E$1:$E$400)),24)),"")</f>
        <v/>
      </c>
      <c r="C27" s="44">
        <f t="array" ref="C27:C27">IFERROR(INDEX(통합!$B$1:$B$400,SMALL(IF(통합!$E$1:$E$400="1호차",ROW(통합!$E$1:$E$400)),24)),"")</f>
        <v/>
      </c>
      <c r="D27" s="44">
        <f t="array" ref="D27:D27">IFERROR(INDEX(통합!$C$1:$C$400,SMALL(IF(통합!$E$1:$E$400="1호차",ROW(통합!$E$1:$E$400)),24)),"")</f>
        <v/>
      </c>
      <c r="E27" s="44" t="n"/>
      <c r="F27" s="44" t="n"/>
      <c r="H27" s="43" t="n">
        <v>24</v>
      </c>
      <c r="I27" s="44">
        <f t="array" ref="I27:I27">IFERROR(INDEX(통합!$A$1:$A$400,SMALL(IF(통합!$F$1:$F$400="1호차",ROW(통합!$F$1:$F$400)),24)),"")</f>
        <v/>
      </c>
      <c r="J27" s="44">
        <f t="array" ref="J27:J27">IFERROR(INDEX(통합!$B$1:$B$400,SMALL(IF(통합!$F$1:$F$400="1호차",ROW(통합!$F$1:$F$400)),24)),"")</f>
        <v/>
      </c>
      <c r="K27" s="44">
        <f t="array" ref="K27:K27">IFERROR(INDEX(통합!$C$1:$C$400,SMALL(IF(통합!$F$1:$F$400="1호차",ROW(통합!$F$1:$F$400)),24)),"")</f>
        <v/>
      </c>
      <c r="L27" s="44" t="n"/>
      <c r="M27" s="44" t="n"/>
    </row>
    <row r="28" ht="21.75" customHeight="1" s="33">
      <c r="A28" s="41" t="n">
        <v>25</v>
      </c>
      <c r="B28" s="42">
        <f t="array" ref="B28:B28">IFERROR(INDEX(통합!$A$1:$A$400,SMALL(IF(통합!$E$1:$E$400="1호차",ROW(통합!$E$1:$E$400)),25)),"")</f>
        <v/>
      </c>
      <c r="C28" s="42">
        <f t="array" ref="C28:C28">IFERROR(INDEX(통합!$B$1:$B$400,SMALL(IF(통합!$E$1:$E$400="1호차",ROW(통합!$E$1:$E$400)),25)),"")</f>
        <v/>
      </c>
      <c r="D28" s="42">
        <f t="array" ref="D28:D28">IFERROR(INDEX(통합!$C$1:$C$400,SMALL(IF(통합!$E$1:$E$400="1호차",ROW(통합!$E$1:$E$400)),25)),"")</f>
        <v/>
      </c>
      <c r="E28" s="42" t="n"/>
      <c r="F28" s="42" t="n"/>
      <c r="H28" s="41" t="n">
        <v>25</v>
      </c>
      <c r="I28" s="42">
        <f t="array" ref="I28:I28">IFERROR(INDEX(통합!$A$1:$A$400,SMALL(IF(통합!$F$1:$F$400="1호차",ROW(통합!$F$1:$F$400)),25)),"")</f>
        <v/>
      </c>
      <c r="J28" s="42">
        <f t="array" ref="J28:J28">IFERROR(INDEX(통합!$B$1:$B$400,SMALL(IF(통합!$F$1:$F$400="1호차",ROW(통합!$F$1:$F$400)),25)),"")</f>
        <v/>
      </c>
      <c r="K28" s="42">
        <f t="array" ref="K28:K28">IFERROR(INDEX(통합!$C$1:$C$400,SMALL(IF(통합!$F$1:$F$400="1호차",ROW(통합!$F$1:$F$400)),25)),"")</f>
        <v/>
      </c>
      <c r="L28" s="42" t="n"/>
      <c r="M28" s="42" t="n"/>
    </row>
    <row r="29" ht="21.75" customHeight="1" s="33">
      <c r="A29" s="43" t="n">
        <v>26</v>
      </c>
      <c r="B29" s="44">
        <f t="array" ref="B29:B29">IFERROR(INDEX(통합!$A$1:$A$400,SMALL(IF(통합!$E$1:$E$400="1호차",ROW(통합!$E$1:$E$400)),26)),"")</f>
        <v/>
      </c>
      <c r="C29" s="44">
        <f t="array" ref="C29:C29">IFERROR(INDEX(통합!$B$1:$B$400,SMALL(IF(통합!$E$1:$E$400="1호차",ROW(통합!$E$1:$E$400)),26)),"")</f>
        <v/>
      </c>
      <c r="D29" s="44">
        <f t="array" ref="D29:D29">IFERROR(INDEX(통합!$C$1:$C$400,SMALL(IF(통합!$E$1:$E$400="1호차",ROW(통합!$E$1:$E$400)),26)),"")</f>
        <v/>
      </c>
      <c r="E29" s="44" t="n"/>
      <c r="F29" s="44" t="n"/>
      <c r="H29" s="43" t="n">
        <v>26</v>
      </c>
      <c r="I29" s="44">
        <f t="array" ref="I29:I29">IFERROR(INDEX(통합!$A$1:$A$400,SMALL(IF(통합!$F$1:$F$400="1호차",ROW(통합!$F$1:$F$400)),26)),"")</f>
        <v/>
      </c>
      <c r="J29" s="44">
        <f t="array" ref="J29:J29">IFERROR(INDEX(통합!$B$1:$B$400,SMALL(IF(통합!$F$1:$F$400="1호차",ROW(통합!$F$1:$F$400)),26)),"")</f>
        <v/>
      </c>
      <c r="K29" s="44">
        <f t="array" ref="K29:K29">IFERROR(INDEX(통합!$C$1:$C$400,SMALL(IF(통합!$F$1:$F$400="1호차",ROW(통합!$F$1:$F$400)),26)),"")</f>
        <v/>
      </c>
      <c r="L29" s="44" t="n"/>
      <c r="M29" s="44" t="n"/>
    </row>
    <row r="30" ht="21.75" customHeight="1" s="33">
      <c r="A30" s="41" t="n">
        <v>27</v>
      </c>
      <c r="B30" s="42">
        <f t="array" ref="B30:B30">IFERROR(INDEX(통합!$A$1:$A$400,SMALL(IF(통합!$E$1:$E$400="1호차",ROW(통합!$E$1:$E$400)),27)),"")</f>
        <v/>
      </c>
      <c r="C30" s="42">
        <f t="array" ref="C30:C30">IFERROR(INDEX(통합!$B$1:$B$400,SMALL(IF(통합!$E$1:$E$400="1호차",ROW(통합!$E$1:$E$400)),27)),"")</f>
        <v/>
      </c>
      <c r="D30" s="42">
        <f t="array" ref="D30:D30">IFERROR(INDEX(통합!$C$1:$C$400,SMALL(IF(통합!$E$1:$E$400="1호차",ROW(통합!$E$1:$E$400)),27)),"")</f>
        <v/>
      </c>
      <c r="E30" s="42" t="n"/>
      <c r="F30" s="42" t="n"/>
      <c r="H30" s="41" t="n">
        <v>27</v>
      </c>
      <c r="I30" s="42">
        <f t="array" ref="I30:I30">IFERROR(INDEX(통합!$A$1:$A$400,SMALL(IF(통합!$F$1:$F$400="1호차",ROW(통합!$F$1:$F$400)),27)),"")</f>
        <v/>
      </c>
      <c r="J30" s="42">
        <f t="array" ref="J30:J30">IFERROR(INDEX(통합!$B$1:$B$400,SMALL(IF(통합!$F$1:$F$400="1호차",ROW(통합!$F$1:$F$400)),27)),"")</f>
        <v/>
      </c>
      <c r="K30" s="42">
        <f t="array" ref="K30:K30">IFERROR(INDEX(통합!$C$1:$C$400,SMALL(IF(통합!$F$1:$F$400="1호차",ROW(통합!$F$1:$F$400)),27)),"")</f>
        <v/>
      </c>
      <c r="L30" s="42" t="n"/>
      <c r="M30" s="42" t="n"/>
    </row>
    <row r="31" ht="21.75" customHeight="1" s="33">
      <c r="A31" s="43" t="n">
        <v>28</v>
      </c>
      <c r="B31" s="44">
        <f t="array" ref="B31:B31">IFERROR(INDEX(통합!$A$1:$A$400,SMALL(IF(통합!$E$1:$E$400="1호차",ROW(통합!$E$1:$E$400)),28)),"")</f>
        <v/>
      </c>
      <c r="C31" s="44">
        <f t="array" ref="C31:C31">IFERROR(INDEX(통합!$B$1:$B$400,SMALL(IF(통합!$E$1:$E$400="1호차",ROW(통합!$E$1:$E$400)),28)),"")</f>
        <v/>
      </c>
      <c r="D31" s="44">
        <f t="array" ref="D31:D31">IFERROR(INDEX(통합!$C$1:$C$400,SMALL(IF(통합!$E$1:$E$400="1호차",ROW(통합!$E$1:$E$400)),28)),"")</f>
        <v/>
      </c>
      <c r="E31" s="44" t="n"/>
      <c r="F31" s="44" t="n"/>
      <c r="H31" s="43" t="n">
        <v>28</v>
      </c>
      <c r="I31" s="44">
        <f t="array" ref="I31:I31">IFERROR(INDEX(통합!$A$1:$A$400,SMALL(IF(통합!$F$1:$F$400="1호차",ROW(통합!$F$1:$F$400)),28)),"")</f>
        <v/>
      </c>
      <c r="J31" s="44">
        <f t="array" ref="J31:J31">IFERROR(INDEX(통합!$B$1:$B$400,SMALL(IF(통합!$F$1:$F$400="1호차",ROW(통합!$F$1:$F$400)),28)),"")</f>
        <v/>
      </c>
      <c r="K31" s="44">
        <f t="array" ref="K31:K31">IFERROR(INDEX(통합!$C$1:$C$400,SMALL(IF(통합!$F$1:$F$400="1호차",ROW(통합!$F$1:$F$400)),28)),"")</f>
        <v/>
      </c>
      <c r="L31" s="44" t="n"/>
      <c r="M31" s="44" t="n"/>
    </row>
    <row r="32" ht="21.75" customHeight="1" s="33">
      <c r="A32" s="41" t="n">
        <v>29</v>
      </c>
      <c r="B32" s="42">
        <f t="array" ref="B32:B32">IFERROR(INDEX(통합!$A$1:$A$400,SMALL(IF(통합!$E$1:$E$400="1호차",ROW(통합!$E$1:$E$400)),29)),"")</f>
        <v/>
      </c>
      <c r="C32" s="42">
        <f t="array" ref="C32:C32">IFERROR(INDEX(통합!$B$1:$B$400,SMALL(IF(통합!$E$1:$E$400="1호차",ROW(통합!$E$1:$E$400)),29)),"")</f>
        <v/>
      </c>
      <c r="D32" s="42">
        <f t="array" ref="D32:D32">IFERROR(INDEX(통합!$C$1:$C$400,SMALL(IF(통합!$E$1:$E$400="1호차",ROW(통합!$E$1:$E$400)),29)),"")</f>
        <v/>
      </c>
      <c r="E32" s="42" t="n"/>
      <c r="F32" s="42" t="n"/>
      <c r="H32" s="41" t="n">
        <v>29</v>
      </c>
      <c r="I32" s="42">
        <f t="array" ref="I32:I32">IFERROR(INDEX(통합!$A$1:$A$400,SMALL(IF(통합!$F$1:$F$400="1호차",ROW(통합!$F$1:$F$400)),29)),"")</f>
        <v/>
      </c>
      <c r="J32" s="42">
        <f t="array" ref="J32:J32">IFERROR(INDEX(통합!$B$1:$B$400,SMALL(IF(통합!$F$1:$F$400="1호차",ROW(통합!$F$1:$F$400)),29)),"")</f>
        <v/>
      </c>
      <c r="K32" s="42">
        <f t="array" ref="K32:K32">IFERROR(INDEX(통합!$C$1:$C$400,SMALL(IF(통합!$F$1:$F$400="1호차",ROW(통합!$F$1:$F$400)),29)),"")</f>
        <v/>
      </c>
      <c r="L32" s="42" t="n"/>
      <c r="M32" s="42" t="n"/>
    </row>
    <row r="33" ht="21.75" customHeight="1" s="33">
      <c r="A33" s="43" t="n">
        <v>30</v>
      </c>
      <c r="B33" s="44">
        <f t="array" ref="B33:B33">IFERROR(INDEX(통합!$A$1:$A$400,SMALL(IF(통합!$E$1:$E$400="1호차",ROW(통합!$E$1:$E$400)),30)),"")</f>
        <v/>
      </c>
      <c r="C33" s="44">
        <f t="array" ref="C33:C33">IFERROR(INDEX(통합!$B$1:$B$400,SMALL(IF(통합!$E$1:$E$400="1호차",ROW(통합!$E$1:$E$400)),30)),"")</f>
        <v/>
      </c>
      <c r="D33" s="44">
        <f t="array" ref="D33:D33">IFERROR(INDEX(통합!$C$1:$C$400,SMALL(IF(통합!$E$1:$E$400="1호차",ROW(통합!$E$1:$E$400)),30)),"")</f>
        <v/>
      </c>
      <c r="E33" s="44" t="n"/>
      <c r="F33" s="44" t="n"/>
      <c r="H33" s="43" t="n">
        <v>30</v>
      </c>
      <c r="I33" s="44">
        <f t="array" ref="I33:I33">IFERROR(INDEX(통합!$A$1:$A$400,SMALL(IF(통합!$F$1:$F$400="1호차",ROW(통합!$F$1:$F$400)),30)),"")</f>
        <v/>
      </c>
      <c r="J33" s="44">
        <f t="array" ref="J33:J33">IFERROR(INDEX(통합!$B$1:$B$400,SMALL(IF(통합!$F$1:$F$400="1호차",ROW(통합!$F$1:$F$400)),30)),"")</f>
        <v/>
      </c>
      <c r="K33" s="44">
        <f t="array" ref="K33:K33">IFERROR(INDEX(통합!$C$1:$C$400,SMALL(IF(통합!$F$1:$F$400="1호차",ROW(통합!$F$1:$F$400)),30)),"")</f>
        <v/>
      </c>
      <c r="L33" s="44" t="n"/>
      <c r="M33" s="44" t="n"/>
    </row>
    <row r="34" ht="21.75" customHeight="1" s="33">
      <c r="A34" s="41" t="n">
        <v>31</v>
      </c>
      <c r="B34" s="42">
        <f t="array" ref="B34:B34">IFERROR(INDEX(통합!$A$1:$A$400,SMALL(IF(통합!$E$1:$E$400="1호차",ROW(통합!$E$1:$E$400)),31)),"")</f>
        <v/>
      </c>
      <c r="C34" s="42">
        <f t="array" ref="C34:C34">IFERROR(INDEX(통합!$B$1:$B$400,SMALL(IF(통합!$E$1:$E$400="1호차",ROW(통합!$E$1:$E$400)),31)),"")</f>
        <v/>
      </c>
      <c r="D34" s="42">
        <f t="array" ref="D34:D34">IFERROR(INDEX(통합!$C$1:$C$400,SMALL(IF(통합!$E$1:$E$400="1호차",ROW(통합!$E$1:$E$400)),31)),"")</f>
        <v/>
      </c>
      <c r="E34" s="42" t="n"/>
      <c r="F34" s="42" t="n"/>
      <c r="H34" s="41" t="n">
        <v>31</v>
      </c>
      <c r="I34" s="42">
        <f t="array" ref="I34:I34">IFERROR(INDEX(통합!$A$1:$A$400,SMALL(IF(통합!$F$1:$F$400="1호차",ROW(통합!$F$1:$F$400)),31)),"")</f>
        <v/>
      </c>
      <c r="J34" s="42">
        <f t="array" ref="J34:J34">IFERROR(INDEX(통합!$B$1:$B$400,SMALL(IF(통합!$F$1:$F$400="1호차",ROW(통합!$F$1:$F$400)),31)),"")</f>
        <v/>
      </c>
      <c r="K34" s="42">
        <f t="array" ref="K34:K34">IFERROR(INDEX(통합!$C$1:$C$400,SMALL(IF(통합!$F$1:$F$400="1호차",ROW(통합!$F$1:$F$400)),31)),"")</f>
        <v/>
      </c>
      <c r="L34" s="42" t="n"/>
      <c r="M34" s="42" t="n"/>
    </row>
    <row r="35" ht="21.75" customHeight="1" s="33">
      <c r="A35" s="43" t="n">
        <v>32</v>
      </c>
      <c r="B35" s="44">
        <f t="array" ref="B35:B35">IFERROR(INDEX(통합!$A$1:$A$400,SMALL(IF(통합!$E$1:$E$400="1호차",ROW(통합!$E$1:$E$400)),32)),"")</f>
        <v/>
      </c>
      <c r="C35" s="44">
        <f t="array" ref="C35:C35">IFERROR(INDEX(통합!$B$1:$B$400,SMALL(IF(통합!$E$1:$E$400="1호차",ROW(통합!$E$1:$E$400)),32)),"")</f>
        <v/>
      </c>
      <c r="D35" s="44">
        <f t="array" ref="D35:D35">IFERROR(INDEX(통합!$C$1:$C$400,SMALL(IF(통합!$E$1:$E$400="1호차",ROW(통합!$E$1:$E$400)),32)),"")</f>
        <v/>
      </c>
      <c r="E35" s="44" t="n"/>
      <c r="F35" s="44" t="n"/>
      <c r="H35" s="43" t="n">
        <v>32</v>
      </c>
      <c r="I35" s="44">
        <f t="array" ref="I35:I35">IFERROR(INDEX(통합!$A$1:$A$400,SMALL(IF(통합!$F$1:$F$400="1호차",ROW(통합!$F$1:$F$400)),32)),"")</f>
        <v/>
      </c>
      <c r="J35" s="44">
        <f t="array" ref="J35:J35">IFERROR(INDEX(통합!$B$1:$B$400,SMALL(IF(통합!$F$1:$F$400="1호차",ROW(통합!$F$1:$F$400)),32)),"")</f>
        <v/>
      </c>
      <c r="K35" s="44">
        <f t="array" ref="K35:K35">IFERROR(INDEX(통합!$C$1:$C$400,SMALL(IF(통합!$F$1:$F$400="1호차",ROW(통합!$F$1:$F$400)),32)),"")</f>
        <v/>
      </c>
      <c r="L35" s="44" t="n"/>
      <c r="M35" s="44" t="n"/>
    </row>
    <row r="36" ht="21.75" customHeight="1" s="33">
      <c r="A36" s="41" t="n">
        <v>33</v>
      </c>
      <c r="B36" s="42">
        <f t="array" ref="B36:B36">IFERROR(INDEX(통합!$A$1:$A$400,SMALL(IF(통합!$E$1:$E$400="1호차",ROW(통합!$E$1:$E$400)),33)),"")</f>
        <v/>
      </c>
      <c r="C36" s="42">
        <f t="array" ref="C36:C36">IFERROR(INDEX(통합!$B$1:$B$400,SMALL(IF(통합!$E$1:$E$400="1호차",ROW(통합!$E$1:$E$400)),33)),"")</f>
        <v/>
      </c>
      <c r="D36" s="42">
        <f t="array" ref="D36:D36">IFERROR(INDEX(통합!$C$1:$C$400,SMALL(IF(통합!$E$1:$E$400="1호차",ROW(통합!$E$1:$E$400)),33)),"")</f>
        <v/>
      </c>
      <c r="E36" s="42" t="n"/>
      <c r="F36" s="42" t="n"/>
      <c r="H36" s="41" t="n">
        <v>33</v>
      </c>
      <c r="I36" s="42">
        <f t="array" ref="I36:I36">IFERROR(INDEX(통합!$A$1:$A$400,SMALL(IF(통합!$F$1:$F$400="1호차",ROW(통합!$F$1:$F$400)),33)),"")</f>
        <v/>
      </c>
      <c r="J36" s="42">
        <f t="array" ref="J36:J36">IFERROR(INDEX(통합!$B$1:$B$400,SMALL(IF(통합!$F$1:$F$400="1호차",ROW(통합!$F$1:$F$400)),33)),"")</f>
        <v/>
      </c>
      <c r="K36" s="42">
        <f t="array" ref="K36:K36">IFERROR(INDEX(통합!$C$1:$C$400,SMALL(IF(통합!$F$1:$F$400="1호차",ROW(통합!$F$1:$F$400)),33)),"")</f>
        <v/>
      </c>
      <c r="L36" s="42" t="n"/>
      <c r="M36" s="42" t="n"/>
    </row>
    <row r="37" ht="21.75" customHeight="1" s="33">
      <c r="A37" s="43" t="n">
        <v>34</v>
      </c>
      <c r="B37" s="44">
        <f t="array" ref="B37:B37">IFERROR(INDEX(통합!$A$1:$A$400,SMALL(IF(통합!$E$1:$E$400="1호차",ROW(통합!$E$1:$E$400)),34)),"")</f>
        <v/>
      </c>
      <c r="C37" s="44">
        <f t="array" ref="C37:C37">IFERROR(INDEX(통합!$B$1:$B$400,SMALL(IF(통합!$E$1:$E$400="1호차",ROW(통합!$E$1:$E$400)),34)),"")</f>
        <v/>
      </c>
      <c r="D37" s="44">
        <f t="array" ref="D37:D37">IFERROR(INDEX(통합!$C$1:$C$400,SMALL(IF(통합!$E$1:$E$400="1호차",ROW(통합!$E$1:$E$400)),34)),"")</f>
        <v/>
      </c>
      <c r="E37" s="44" t="n"/>
      <c r="F37" s="44" t="n"/>
      <c r="H37" s="43" t="n">
        <v>34</v>
      </c>
      <c r="I37" s="44">
        <f t="array" ref="I37:I37">IFERROR(INDEX(통합!$A$1:$A$400,SMALL(IF(통합!$F$1:$F$400="1호차",ROW(통합!$F$1:$F$400)),34)),"")</f>
        <v/>
      </c>
      <c r="J37" s="44">
        <f t="array" ref="J37:J37">IFERROR(INDEX(통합!$B$1:$B$400,SMALL(IF(통합!$F$1:$F$400="1호차",ROW(통합!$F$1:$F$400)),34)),"")</f>
        <v/>
      </c>
      <c r="K37" s="44">
        <f t="array" ref="K37:K37">IFERROR(INDEX(통합!$C$1:$C$400,SMALL(IF(통합!$F$1:$F$400="1호차",ROW(통합!$F$1:$F$400)),34)),"")</f>
        <v/>
      </c>
      <c r="L37" s="44" t="n"/>
      <c r="M37" s="44" t="n"/>
    </row>
    <row r="38" ht="21.75" customHeight="1" s="33">
      <c r="A38" s="41" t="n">
        <v>35</v>
      </c>
      <c r="B38" s="42">
        <f t="array" ref="B38:B38">IFERROR(INDEX(통합!$A$1:$A$400,SMALL(IF(통합!$E$1:$E$400="1호차",ROW(통합!$E$1:$E$400)),35)),"")</f>
        <v/>
      </c>
      <c r="C38" s="42">
        <f t="array" ref="C38:C38">IFERROR(INDEX(통합!$B$1:$B$400,SMALL(IF(통합!$E$1:$E$400="1호차",ROW(통합!$E$1:$E$400)),35)),"")</f>
        <v/>
      </c>
      <c r="D38" s="42">
        <f t="array" ref="D38:D38">IFERROR(INDEX(통합!$C$1:$C$400,SMALL(IF(통합!$E$1:$E$400="1호차",ROW(통합!$E$1:$E$400)),35)),"")</f>
        <v/>
      </c>
      <c r="E38" s="42" t="n"/>
      <c r="F38" s="42" t="n"/>
      <c r="H38" s="41" t="n">
        <v>35</v>
      </c>
      <c r="I38" s="42">
        <f t="array" ref="I38:I38">IFERROR(INDEX(통합!$A$1:$A$400,SMALL(IF(통합!$F$1:$F$400="1호차",ROW(통합!$F$1:$F$400)),35)),"")</f>
        <v/>
      </c>
      <c r="J38" s="42">
        <f t="array" ref="J38:J38">IFERROR(INDEX(통합!$B$1:$B$400,SMALL(IF(통합!$F$1:$F$400="1호차",ROW(통합!$F$1:$F$400)),35)),"")</f>
        <v/>
      </c>
      <c r="K38" s="42">
        <f t="array" ref="K38:K38">IFERROR(INDEX(통합!$C$1:$C$400,SMALL(IF(통합!$F$1:$F$400="1호차",ROW(통합!$F$1:$F$400)),35)),"")</f>
        <v/>
      </c>
      <c r="L38" s="42" t="n"/>
      <c r="M38" s="42" t="n"/>
    </row>
    <row r="39" ht="21.75" customHeight="1" s="33">
      <c r="A39" s="43" t="n">
        <v>36</v>
      </c>
      <c r="B39" s="44">
        <f t="array" ref="B39:B39">IFERROR(INDEX(통합!$A$1:$A$400,SMALL(IF(통합!$E$1:$E$400="1호차",ROW(통합!$E$1:$E$400)),36)),"")</f>
        <v/>
      </c>
      <c r="C39" s="44">
        <f t="array" ref="C39:C39">IFERROR(INDEX(통합!$B$1:$B$400,SMALL(IF(통합!$E$1:$E$400="1호차",ROW(통합!$E$1:$E$400)),36)),"")</f>
        <v/>
      </c>
      <c r="D39" s="44">
        <f t="array" ref="D39:D39">IFERROR(INDEX(통합!$C$1:$C$400,SMALL(IF(통합!$E$1:$E$400="1호차",ROW(통합!$E$1:$E$400)),36)),"")</f>
        <v/>
      </c>
      <c r="E39" s="44" t="n"/>
      <c r="F39" s="44" t="n"/>
      <c r="H39" s="43" t="n">
        <v>36</v>
      </c>
      <c r="I39" s="44">
        <f t="array" ref="I39:I39">IFERROR(INDEX(통합!$A$1:$A$400,SMALL(IF(통합!$F$1:$F$400="1호차",ROW(통합!$F$1:$F$400)),36)),"")</f>
        <v/>
      </c>
      <c r="J39" s="44">
        <f t="array" ref="J39:J39">IFERROR(INDEX(통합!$B$1:$B$400,SMALL(IF(통합!$F$1:$F$400="1호차",ROW(통합!$F$1:$F$400)),36)),"")</f>
        <v/>
      </c>
      <c r="K39" s="44">
        <f t="array" ref="K39:K39">IFERROR(INDEX(통합!$C$1:$C$400,SMALL(IF(통합!$F$1:$F$400="1호차",ROW(통합!$F$1:$F$400)),36)),"")</f>
        <v/>
      </c>
      <c r="L39" s="44" t="n"/>
      <c r="M39" s="44" t="n"/>
    </row>
    <row r="40" ht="21.75" customHeight="1" s="33">
      <c r="A40" s="41" t="n">
        <v>37</v>
      </c>
      <c r="B40" s="42">
        <f t="array" ref="B40:B40">IFERROR(INDEX(통합!$A$1:$A$400,SMALL(IF(통합!$E$1:$E$400="1호차",ROW(통합!$E$1:$E$400)),37)),"")</f>
        <v/>
      </c>
      <c r="C40" s="42">
        <f t="array" ref="C40:C40">IFERROR(INDEX(통합!$B$1:$B$400,SMALL(IF(통합!$E$1:$E$400="1호차",ROW(통합!$E$1:$E$400)),37)),"")</f>
        <v/>
      </c>
      <c r="D40" s="42">
        <f t="array" ref="D40:D40">IFERROR(INDEX(통합!$C$1:$C$400,SMALL(IF(통합!$E$1:$E$400="1호차",ROW(통합!$E$1:$E$400)),37)),"")</f>
        <v/>
      </c>
      <c r="E40" s="42" t="n"/>
      <c r="F40" s="42" t="n"/>
      <c r="H40" s="41" t="n">
        <v>37</v>
      </c>
      <c r="I40" s="42">
        <f t="array" ref="I40:I40">IFERROR(INDEX(통합!$A$1:$A$400,SMALL(IF(통합!$F$1:$F$400="1호차",ROW(통합!$F$1:$F$400)),37)),"")</f>
        <v/>
      </c>
      <c r="J40" s="42">
        <f t="array" ref="J40:J40">IFERROR(INDEX(통합!$B$1:$B$400,SMALL(IF(통합!$F$1:$F$400="1호차",ROW(통합!$F$1:$F$400)),37)),"")</f>
        <v/>
      </c>
      <c r="K40" s="42">
        <f t="array" ref="K40:K40">IFERROR(INDEX(통합!$C$1:$C$400,SMALL(IF(통합!$F$1:$F$400="1호차",ROW(통합!$F$1:$F$400)),37)),"")</f>
        <v/>
      </c>
      <c r="L40" s="42" t="n"/>
      <c r="M40" s="42" t="n"/>
    </row>
    <row r="41" ht="21.75" customHeight="1" s="33">
      <c r="A41" s="43" t="n">
        <v>38</v>
      </c>
      <c r="B41" s="44">
        <f t="array" ref="B41:B41">IFERROR(INDEX(통합!$A$1:$A$400,SMALL(IF(통합!$E$1:$E$400="1호차",ROW(통합!$E$1:$E$400)),38)),"")</f>
        <v/>
      </c>
      <c r="C41" s="44">
        <f t="array" ref="C41:C41">IFERROR(INDEX(통합!$B$1:$B$400,SMALL(IF(통합!$E$1:$E$400="1호차",ROW(통합!$E$1:$E$400)),38)),"")</f>
        <v/>
      </c>
      <c r="D41" s="44">
        <f t="array" ref="D41:D41">IFERROR(INDEX(통합!$C$1:$C$400,SMALL(IF(통합!$E$1:$E$400="1호차",ROW(통합!$E$1:$E$400)),38)),"")</f>
        <v/>
      </c>
      <c r="E41" s="44" t="n"/>
      <c r="F41" s="44" t="n"/>
      <c r="H41" s="43" t="n">
        <v>38</v>
      </c>
      <c r="I41" s="44">
        <f t="array" ref="I41:I41">IFERROR(INDEX(통합!$A$1:$A$400,SMALL(IF(통합!$F$1:$F$400="1호차",ROW(통합!$F$1:$F$400)),38)),"")</f>
        <v/>
      </c>
      <c r="J41" s="44">
        <f t="array" ref="J41:J41">IFERROR(INDEX(통합!$B$1:$B$400,SMALL(IF(통합!$F$1:$F$400="1호차",ROW(통합!$F$1:$F$400)),38)),"")</f>
        <v/>
      </c>
      <c r="K41" s="44">
        <f t="array" ref="K41:K41">IFERROR(INDEX(통합!$C$1:$C$400,SMALL(IF(통합!$F$1:$F$400="1호차",ROW(통합!$F$1:$F$400)),38)),"")</f>
        <v/>
      </c>
      <c r="L41" s="44" t="n"/>
      <c r="M41" s="44" t="n"/>
    </row>
    <row r="42" ht="21.75" customHeight="1" s="33">
      <c r="A42" s="41" t="n">
        <v>39</v>
      </c>
      <c r="B42" s="42">
        <f t="array" ref="B42:B42">IFERROR(INDEX(통합!$A$1:$A$400,SMALL(IF(통합!$E$1:$E$400="1호차",ROW(통합!$E$1:$E$400)),39)),"")</f>
        <v/>
      </c>
      <c r="C42" s="42">
        <f t="array" ref="C42:C42">IFERROR(INDEX(통합!$B$1:$B$400,SMALL(IF(통합!$E$1:$E$400="1호차",ROW(통합!$E$1:$E$400)),39)),"")</f>
        <v/>
      </c>
      <c r="D42" s="42">
        <f t="array" ref="D42:D42">IFERROR(INDEX(통합!$C$1:$C$400,SMALL(IF(통합!$E$1:$E$400="1호차",ROW(통합!$E$1:$E$400)),39)),"")</f>
        <v/>
      </c>
      <c r="E42" s="42" t="n"/>
      <c r="F42" s="42" t="n"/>
      <c r="H42" s="41" t="n">
        <v>39</v>
      </c>
      <c r="I42" s="42">
        <f t="array" ref="I42:I42">IFERROR(INDEX(통합!$A$1:$A$400,SMALL(IF(통합!$F$1:$F$400="1호차",ROW(통합!$F$1:$F$400)),39)),"")</f>
        <v/>
      </c>
      <c r="J42" s="42">
        <f t="array" ref="J42:J42">IFERROR(INDEX(통합!$B$1:$B$400,SMALL(IF(통합!$F$1:$F$400="1호차",ROW(통합!$F$1:$F$400)),39)),"")</f>
        <v/>
      </c>
      <c r="K42" s="42">
        <f t="array" ref="K42:K42">IFERROR(INDEX(통합!$C$1:$C$400,SMALL(IF(통합!$F$1:$F$400="1호차",ROW(통합!$F$1:$F$400)),39)),"")</f>
        <v/>
      </c>
      <c r="L42" s="42" t="n"/>
      <c r="M42" s="42" t="n"/>
    </row>
    <row r="43" ht="21.75" customHeight="1" s="33">
      <c r="A43" s="43" t="n">
        <v>40</v>
      </c>
      <c r="B43" s="44">
        <f t="array" ref="B43:B43">IFERROR(INDEX(통합!$A$1:$A$400,SMALL(IF(통합!$E$1:$E$400="1호차",ROW(통합!$E$1:$E$400)),40)),"")</f>
        <v/>
      </c>
      <c r="C43" s="44">
        <f t="array" ref="C43:C43">IFERROR(INDEX(통합!$B$1:$B$400,SMALL(IF(통합!$E$1:$E$400="1호차",ROW(통합!$E$1:$E$400)),40)),"")</f>
        <v/>
      </c>
      <c r="D43" s="44">
        <f t="array" ref="D43:D43">IFERROR(INDEX(통합!$C$1:$C$400,SMALL(IF(통합!$E$1:$E$400="1호차",ROW(통합!$E$1:$E$400)),40)),"")</f>
        <v/>
      </c>
      <c r="E43" s="44" t="n"/>
      <c r="F43" s="44" t="n"/>
      <c r="H43" s="43" t="n">
        <v>40</v>
      </c>
      <c r="I43" s="44">
        <f t="array" ref="I43:I43">IFERROR(INDEX(통합!$A$1:$A$400,SMALL(IF(통합!$F$1:$F$400="1호차",ROW(통합!$F$1:$F$400)),40)),"")</f>
        <v/>
      </c>
      <c r="J43" s="44">
        <f t="array" ref="J43:J43">IFERROR(INDEX(통합!$B$1:$B$400,SMALL(IF(통합!$F$1:$F$400="1호차",ROW(통합!$F$1:$F$400)),40)),"")</f>
        <v/>
      </c>
      <c r="K43" s="44">
        <f t="array" ref="K43:K43">IFERROR(INDEX(통합!$C$1:$C$400,SMALL(IF(통합!$F$1:$F$400="1호차",ROW(통합!$F$1:$F$400)),40)),"")</f>
        <v/>
      </c>
      <c r="L43" s="44" t="n"/>
      <c r="M43" s="44" t="n"/>
    </row>
    <row r="44" ht="21.75" customHeight="1" s="33">
      <c r="A44" s="41" t="n">
        <v>41</v>
      </c>
      <c r="B44" s="42">
        <f t="array" ref="B44:B44">IFERROR(INDEX(통합!$A$1:$A$400,SMALL(IF(통합!$E$1:$E$400="1호차",ROW(통합!$E$1:$E$400)),41)),"")</f>
        <v/>
      </c>
      <c r="C44" s="42">
        <f t="array" ref="C44:C44">IFERROR(INDEX(통합!$B$1:$B$400,SMALL(IF(통합!$E$1:$E$400="1호차",ROW(통합!$E$1:$E$400)),41)),"")</f>
        <v/>
      </c>
      <c r="D44" s="42">
        <f t="array" ref="D44:D44">IFERROR(INDEX(통합!$C$1:$C$400,SMALL(IF(통합!$E$1:$E$400="1호차",ROW(통합!$E$1:$E$400)),41)),"")</f>
        <v/>
      </c>
      <c r="E44" s="42" t="n"/>
      <c r="F44" s="42" t="n"/>
      <c r="H44" s="41" t="n">
        <v>41</v>
      </c>
      <c r="I44" s="42">
        <f t="array" ref="I44:I44">IFERROR(INDEX(통합!$A$1:$A$400,SMALL(IF(통합!$F$1:$F$400="1호차",ROW(통합!$F$1:$F$400)),41)),"")</f>
        <v/>
      </c>
      <c r="J44" s="42">
        <f t="array" ref="J44:J44">IFERROR(INDEX(통합!$B$1:$B$400,SMALL(IF(통합!$F$1:$F$400="1호차",ROW(통합!$F$1:$F$400)),41)),"")</f>
        <v/>
      </c>
      <c r="K44" s="42">
        <f t="array" ref="K44:K44">IFERROR(INDEX(통합!$C$1:$C$400,SMALL(IF(통합!$F$1:$F$400="1호차",ROW(통합!$F$1:$F$400)),41)),"")</f>
        <v/>
      </c>
      <c r="L44" s="42" t="n"/>
      <c r="M44" s="42" t="n"/>
    </row>
    <row r="45" ht="21.75" customHeight="1" s="33">
      <c r="A45" s="43" t="n">
        <v>42</v>
      </c>
      <c r="B45" s="44">
        <f t="array" ref="B45:B45">IFERROR(INDEX(통합!$A$1:$A$400,SMALL(IF(통합!$E$1:$E$400="1호차",ROW(통합!$E$1:$E$400)),42)),"")</f>
        <v/>
      </c>
      <c r="C45" s="44">
        <f t="array" ref="C45:C45">IFERROR(INDEX(통합!$B$1:$B$400,SMALL(IF(통합!$E$1:$E$400="1호차",ROW(통합!$E$1:$E$400)),42)),"")</f>
        <v/>
      </c>
      <c r="D45" s="44">
        <f t="array" ref="D45:D45">IFERROR(INDEX(통합!$C$1:$C$400,SMALL(IF(통합!$E$1:$E$400="1호차",ROW(통합!$E$1:$E$400)),42)),"")</f>
        <v/>
      </c>
      <c r="E45" s="44" t="n"/>
      <c r="F45" s="44" t="n"/>
      <c r="H45" s="43" t="n">
        <v>42</v>
      </c>
      <c r="I45" s="44">
        <f t="array" ref="I45:I45">IFERROR(INDEX(통합!$A$1:$A$400,SMALL(IF(통합!$F$1:$F$400="1호차",ROW(통합!$F$1:$F$400)),42)),"")</f>
        <v/>
      </c>
      <c r="J45" s="44">
        <f t="array" ref="J45:J45">IFERROR(INDEX(통합!$B$1:$B$400,SMALL(IF(통합!$F$1:$F$400="1호차",ROW(통합!$F$1:$F$400)),42)),"")</f>
        <v/>
      </c>
      <c r="K45" s="44">
        <f t="array" ref="K45:K45">IFERROR(INDEX(통합!$C$1:$C$400,SMALL(IF(통합!$F$1:$F$400="1호차",ROW(통합!$F$1:$F$400)),42)),"")</f>
        <v/>
      </c>
      <c r="L45" s="44" t="n"/>
      <c r="M45" s="44" t="n"/>
    </row>
    <row r="46" ht="21.75" customHeight="1" s="33">
      <c r="A46" s="41" t="n">
        <v>43</v>
      </c>
      <c r="B46" s="42">
        <f t="array" ref="B46:B46">IFERROR(INDEX(통합!$A$1:$A$400,SMALL(IF(통합!$E$1:$E$400="1호차",ROW(통합!$E$1:$E$400)),43)),"")</f>
        <v/>
      </c>
      <c r="C46" s="42">
        <f t="array" ref="C46:C46">IFERROR(INDEX(통합!$B$1:$B$400,SMALL(IF(통합!$E$1:$E$400="1호차",ROW(통합!$E$1:$E$400)),43)),"")</f>
        <v/>
      </c>
      <c r="D46" s="42">
        <f t="array" ref="D46:D46">IFERROR(INDEX(통합!$C$1:$C$400,SMALL(IF(통합!$E$1:$E$400="1호차",ROW(통합!$E$1:$E$400)),43)),"")</f>
        <v/>
      </c>
      <c r="E46" s="42" t="n"/>
      <c r="F46" s="42" t="n"/>
      <c r="H46" s="41" t="n">
        <v>43</v>
      </c>
      <c r="I46" s="42">
        <f t="array" ref="I46:I46">IFERROR(INDEX(통합!$A$1:$A$400,SMALL(IF(통합!$F$1:$F$400="1호차",ROW(통합!$F$1:$F$400)),43)),"")</f>
        <v/>
      </c>
      <c r="J46" s="42">
        <f t="array" ref="J46:J46">IFERROR(INDEX(통합!$B$1:$B$400,SMALL(IF(통합!$F$1:$F$400="1호차",ROW(통합!$F$1:$F$400)),43)),"")</f>
        <v/>
      </c>
      <c r="K46" s="42">
        <f t="array" ref="K46:K46">IFERROR(INDEX(통합!$C$1:$C$400,SMALL(IF(통합!$F$1:$F$400="1호차",ROW(통합!$F$1:$F$400)),43)),"")</f>
        <v/>
      </c>
      <c r="L46" s="42" t="n"/>
      <c r="M46" s="42" t="n"/>
    </row>
    <row r="47" ht="15" customHeight="1" s="33">
      <c r="A47" s="45" t="inlineStr">
        <is>
          <t>합  계</t>
        </is>
      </c>
      <c r="B47" s="35" t="n"/>
      <c r="C47" s="35" t="n"/>
      <c r="D47" s="61">
        <f t="array" ref="D47:D47">IF(SUMPRODUCT((D4:D46&lt;&gt;"")*1)=0,"",SUMPRODUCT((D4:D46&lt;&gt;"")*1))</f>
        <v/>
      </c>
      <c r="E47" s="61" t="n"/>
      <c r="F47" s="61" t="n"/>
      <c r="H47" s="45" t="inlineStr">
        <is>
          <t>합  계</t>
        </is>
      </c>
      <c r="I47" s="35" t="n"/>
      <c r="J47" s="35" t="n"/>
      <c r="K47" s="61">
        <f t="array" ref="K47:K47">IF(SUMPRODUCT((K4:K46&lt;&gt;"")*1)=0,"",SUMPRODUCT((K4:K46&lt;&gt;"")*1))</f>
        <v/>
      </c>
      <c r="L47" s="61" t="n"/>
      <c r="M47" s="61" t="n"/>
    </row>
  </sheetData>
  <mergeCells count="6">
    <mergeCell ref="A2:B2"/>
    <mergeCell ref="H1:M1"/>
    <mergeCell ref="H2:I2"/>
    <mergeCell ref="A47:C47"/>
    <mergeCell ref="A1:F1"/>
    <mergeCell ref="H47:J4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M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5.51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5.51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2호차</t>
        </is>
      </c>
      <c r="B1" s="35" t="n"/>
      <c r="C1" s="35" t="n"/>
      <c r="D1" s="35" t="n"/>
      <c r="E1" s="35" t="n"/>
      <c r="F1" s="35" t="n"/>
      <c r="H1" s="47" t="inlineStr">
        <is>
          <t>하행  2호차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H2" s="63" t="inlineStr">
        <is>
          <t>선탑자:</t>
        </is>
      </c>
      <c r="I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>
        <f t="array" ref="B4:B4">IFERROR(INDEX(통합!$A$1:$A$400,SMALL(IF(통합!$E$1:$E$400="2호차",ROW(통합!$E$1:$E$400)),1)),"")</f>
        <v/>
      </c>
      <c r="C4" s="42">
        <f t="array" ref="C4:C4">IFERROR(INDEX(통합!$B$1:$B$400,SMALL(IF(통합!$E$1:$E$400="2호차",ROW(통합!$E$1:$E$400)),1)),"")</f>
        <v/>
      </c>
      <c r="D4" s="42">
        <f t="array" ref="D4:D4">IFERROR(INDEX(통합!$C$1:$C$400,SMALL(IF(통합!$E$1:$E$400="2호차",ROW(통합!$E$1:$E$400)),1)),"")</f>
        <v/>
      </c>
      <c r="E4" s="42" t="n"/>
      <c r="F4" s="42" t="n"/>
      <c r="H4" s="41" t="n">
        <v>1</v>
      </c>
      <c r="I4" s="42">
        <f t="array" ref="I4:I4">IFERROR(INDEX(통합!$A$1:$A$400,SMALL(IF(통합!$F$1:$F$400="2호차",ROW(통합!$F$1:$F$400)),1)),"")</f>
        <v/>
      </c>
      <c r="J4" s="42">
        <f t="array" ref="J4:J4">IFERROR(INDEX(통합!$B$1:$B$400,SMALL(IF(통합!$F$1:$F$400="2호차",ROW(통합!$F$1:$F$400)),1)),"")</f>
        <v/>
      </c>
      <c r="K4" s="42">
        <f t="array" ref="K4:K4">IFERROR(INDEX(통합!$C$1:$C$400,SMALL(IF(통합!$F$1:$F$400="2호차",ROW(통합!$F$1:$F$400)),1)),"")</f>
        <v/>
      </c>
      <c r="L4" s="42" t="n"/>
      <c r="M4" s="42" t="n"/>
    </row>
    <row r="5" ht="21.75" customHeight="1" s="33">
      <c r="A5" s="43" t="n">
        <v>2</v>
      </c>
      <c r="B5" s="44">
        <f t="array" ref="B5:B5">IFERROR(INDEX(통합!$A$1:$A$400,SMALL(IF(통합!$E$1:$E$400="2호차",ROW(통합!$E$1:$E$400)),2)),"")</f>
        <v/>
      </c>
      <c r="C5" s="44">
        <f t="array" ref="C5:C5">IFERROR(INDEX(통합!$B$1:$B$400,SMALL(IF(통합!$E$1:$E$400="2호차",ROW(통합!$E$1:$E$400)),2)),"")</f>
        <v/>
      </c>
      <c r="D5" s="44">
        <f t="array" ref="D5:D5">IFERROR(INDEX(통합!$C$1:$C$400,SMALL(IF(통합!$E$1:$E$400="2호차",ROW(통합!$E$1:$E$400)),2)),"")</f>
        <v/>
      </c>
      <c r="E5" s="44" t="n"/>
      <c r="F5" s="44" t="n"/>
      <c r="H5" s="43" t="n">
        <v>2</v>
      </c>
      <c r="I5" s="44">
        <f t="array" ref="I5:I5">IFERROR(INDEX(통합!$A$1:$A$400,SMALL(IF(통합!$F$1:$F$400="2호차",ROW(통합!$F$1:$F$400)),2)),"")</f>
        <v/>
      </c>
      <c r="J5" s="44">
        <f t="array" ref="J5:J5">IFERROR(INDEX(통합!$B$1:$B$400,SMALL(IF(통합!$F$1:$F$400="2호차",ROW(통합!$F$1:$F$400)),2)),"")</f>
        <v/>
      </c>
      <c r="K5" s="44">
        <f t="array" ref="K5:K5">IFERROR(INDEX(통합!$C$1:$C$400,SMALL(IF(통합!$F$1:$F$400="2호차",ROW(통합!$F$1:$F$400)),2)),"")</f>
        <v/>
      </c>
      <c r="L5" s="44" t="n"/>
      <c r="M5" s="44" t="n"/>
    </row>
    <row r="6" ht="21.75" customHeight="1" s="33">
      <c r="A6" s="41" t="n">
        <v>3</v>
      </c>
      <c r="B6" s="42">
        <f t="array" ref="B6:B6">IFERROR(INDEX(통합!$A$1:$A$400,SMALL(IF(통합!$E$1:$E$400="2호차",ROW(통합!$E$1:$E$400)),3)),"")</f>
        <v/>
      </c>
      <c r="C6" s="42">
        <f t="array" ref="C6:C6">IFERROR(INDEX(통합!$B$1:$B$400,SMALL(IF(통합!$E$1:$E$400="2호차",ROW(통합!$E$1:$E$400)),3)),"")</f>
        <v/>
      </c>
      <c r="D6" s="42">
        <f t="array" ref="D6:D6">IFERROR(INDEX(통합!$C$1:$C$400,SMALL(IF(통합!$E$1:$E$400="2호차",ROW(통합!$E$1:$E$400)),3)),"")</f>
        <v/>
      </c>
      <c r="E6" s="42" t="n"/>
      <c r="F6" s="42" t="n"/>
      <c r="H6" s="41" t="n">
        <v>3</v>
      </c>
      <c r="I6" s="42">
        <f t="array" ref="I6:I6">IFERROR(INDEX(통합!$A$1:$A$400,SMALL(IF(통합!$F$1:$F$400="2호차",ROW(통합!$F$1:$F$400)),3)),"")</f>
        <v/>
      </c>
      <c r="J6" s="42">
        <f t="array" ref="J6:J6">IFERROR(INDEX(통합!$B$1:$B$400,SMALL(IF(통합!$F$1:$F$400="2호차",ROW(통합!$F$1:$F$400)),3)),"")</f>
        <v/>
      </c>
      <c r="K6" s="42">
        <f t="array" ref="K6:K6">IFERROR(INDEX(통합!$C$1:$C$400,SMALL(IF(통합!$F$1:$F$400="2호차",ROW(통합!$F$1:$F$400)),3)),"")</f>
        <v/>
      </c>
      <c r="L6" s="42" t="n"/>
      <c r="M6" s="42" t="n"/>
    </row>
    <row r="7" ht="21.75" customHeight="1" s="33">
      <c r="A7" s="43" t="n">
        <v>4</v>
      </c>
      <c r="B7" s="44">
        <f t="array" ref="B7:B7">IFERROR(INDEX(통합!$A$1:$A$400,SMALL(IF(통합!$E$1:$E$400="2호차",ROW(통합!$E$1:$E$400)),4)),"")</f>
        <v/>
      </c>
      <c r="C7" s="44">
        <f t="array" ref="C7:C7">IFERROR(INDEX(통합!$B$1:$B$400,SMALL(IF(통합!$E$1:$E$400="2호차",ROW(통합!$E$1:$E$400)),4)),"")</f>
        <v/>
      </c>
      <c r="D7" s="44">
        <f t="array" ref="D7:D7">IFERROR(INDEX(통합!$C$1:$C$400,SMALL(IF(통합!$E$1:$E$400="2호차",ROW(통합!$E$1:$E$400)),4)),"")</f>
        <v/>
      </c>
      <c r="E7" s="44" t="n"/>
      <c r="F7" s="44" t="n"/>
      <c r="H7" s="43" t="n">
        <v>4</v>
      </c>
      <c r="I7" s="44">
        <f t="array" ref="I7:I7">IFERROR(INDEX(통합!$A$1:$A$400,SMALL(IF(통합!$F$1:$F$400="2호차",ROW(통합!$F$1:$F$400)),4)),"")</f>
        <v/>
      </c>
      <c r="J7" s="44">
        <f t="array" ref="J7:J7">IFERROR(INDEX(통합!$B$1:$B$400,SMALL(IF(통합!$F$1:$F$400="2호차",ROW(통합!$F$1:$F$400)),4)),"")</f>
        <v/>
      </c>
      <c r="K7" s="44">
        <f t="array" ref="K7:K7">IFERROR(INDEX(통합!$C$1:$C$400,SMALL(IF(통합!$F$1:$F$400="2호차",ROW(통합!$F$1:$F$400)),4)),"")</f>
        <v/>
      </c>
      <c r="L7" s="44" t="n"/>
      <c r="M7" s="44" t="n"/>
    </row>
    <row r="8" ht="21.75" customHeight="1" s="33">
      <c r="A8" s="41" t="n">
        <v>5</v>
      </c>
      <c r="B8" s="42">
        <f t="array" ref="B8:B8">IFERROR(INDEX(통합!$A$1:$A$400,SMALL(IF(통합!$E$1:$E$400="2호차",ROW(통합!$E$1:$E$400)),5)),"")</f>
        <v/>
      </c>
      <c r="C8" s="42">
        <f t="array" ref="C8:C8">IFERROR(INDEX(통합!$B$1:$B$400,SMALL(IF(통합!$E$1:$E$400="2호차",ROW(통합!$E$1:$E$400)),5)),"")</f>
        <v/>
      </c>
      <c r="D8" s="42">
        <f t="array" ref="D8:D8">IFERROR(INDEX(통합!$C$1:$C$400,SMALL(IF(통합!$E$1:$E$400="2호차",ROW(통합!$E$1:$E$400)),5)),"")</f>
        <v/>
      </c>
      <c r="E8" s="42" t="n"/>
      <c r="F8" s="42" t="n"/>
      <c r="H8" s="41" t="n">
        <v>5</v>
      </c>
      <c r="I8" s="42">
        <f t="array" ref="I8:I8">IFERROR(INDEX(통합!$A$1:$A$400,SMALL(IF(통합!$F$1:$F$400="2호차",ROW(통합!$F$1:$F$400)),5)),"")</f>
        <v/>
      </c>
      <c r="J8" s="42">
        <f t="array" ref="J8:J8">IFERROR(INDEX(통합!$B$1:$B$400,SMALL(IF(통합!$F$1:$F$400="2호차",ROW(통합!$F$1:$F$400)),5)),"")</f>
        <v/>
      </c>
      <c r="K8" s="42">
        <f t="array" ref="K8:K8">IFERROR(INDEX(통합!$C$1:$C$400,SMALL(IF(통합!$F$1:$F$400="2호차",ROW(통합!$F$1:$F$400)),5)),"")</f>
        <v/>
      </c>
      <c r="L8" s="42" t="n"/>
      <c r="M8" s="42" t="n"/>
    </row>
    <row r="9" ht="21.75" customHeight="1" s="33">
      <c r="A9" s="43" t="n">
        <v>6</v>
      </c>
      <c r="B9" s="44">
        <f t="array" ref="B9:B9">IFERROR(INDEX(통합!$A$1:$A$400,SMALL(IF(통합!$E$1:$E$400="2호차",ROW(통합!$E$1:$E$400)),6)),"")</f>
        <v/>
      </c>
      <c r="C9" s="44">
        <f t="array" ref="C9:C9">IFERROR(INDEX(통합!$B$1:$B$400,SMALL(IF(통합!$E$1:$E$400="2호차",ROW(통합!$E$1:$E$400)),6)),"")</f>
        <v/>
      </c>
      <c r="D9" s="44">
        <f t="array" ref="D9:D9">IFERROR(INDEX(통합!$C$1:$C$400,SMALL(IF(통합!$E$1:$E$400="2호차",ROW(통합!$E$1:$E$400)),6)),"")</f>
        <v/>
      </c>
      <c r="E9" s="44" t="n"/>
      <c r="F9" s="44" t="n"/>
      <c r="H9" s="43" t="n">
        <v>6</v>
      </c>
      <c r="I9" s="44">
        <f t="array" ref="I9:I9">IFERROR(INDEX(통합!$A$1:$A$400,SMALL(IF(통합!$F$1:$F$400="2호차",ROW(통합!$F$1:$F$400)),6)),"")</f>
        <v/>
      </c>
      <c r="J9" s="44">
        <f t="array" ref="J9:J9">IFERROR(INDEX(통합!$B$1:$B$400,SMALL(IF(통합!$F$1:$F$400="2호차",ROW(통합!$F$1:$F$400)),6)),"")</f>
        <v/>
      </c>
      <c r="K9" s="44">
        <f t="array" ref="K9:K9">IFERROR(INDEX(통합!$C$1:$C$400,SMALL(IF(통합!$F$1:$F$400="2호차",ROW(통합!$F$1:$F$400)),6)),"")</f>
        <v/>
      </c>
      <c r="L9" s="44" t="n"/>
      <c r="M9" s="44" t="n"/>
    </row>
    <row r="10" ht="21.75" customHeight="1" s="33">
      <c r="A10" s="41" t="n">
        <v>7</v>
      </c>
      <c r="B10" s="42">
        <f t="array" ref="B10:B10">IFERROR(INDEX(통합!$A$1:$A$400,SMALL(IF(통합!$E$1:$E$400="2호차",ROW(통합!$E$1:$E$400)),7)),"")</f>
        <v/>
      </c>
      <c r="C10" s="42">
        <f t="array" ref="C10:C10">IFERROR(INDEX(통합!$B$1:$B$400,SMALL(IF(통합!$E$1:$E$400="2호차",ROW(통합!$E$1:$E$400)),7)),"")</f>
        <v/>
      </c>
      <c r="D10" s="42">
        <f t="array" ref="D10:D10">IFERROR(INDEX(통합!$C$1:$C$400,SMALL(IF(통합!$E$1:$E$400="2호차",ROW(통합!$E$1:$E$400)),7)),"")</f>
        <v/>
      </c>
      <c r="E10" s="42" t="n"/>
      <c r="F10" s="42" t="n"/>
      <c r="H10" s="41" t="n">
        <v>7</v>
      </c>
      <c r="I10" s="42">
        <f t="array" ref="I10:I10">IFERROR(INDEX(통합!$A$1:$A$400,SMALL(IF(통합!$F$1:$F$400="2호차",ROW(통합!$F$1:$F$400)),7)),"")</f>
        <v/>
      </c>
      <c r="J10" s="42">
        <f t="array" ref="J10:J10">IFERROR(INDEX(통합!$B$1:$B$400,SMALL(IF(통합!$F$1:$F$400="2호차",ROW(통합!$F$1:$F$400)),7)),"")</f>
        <v/>
      </c>
      <c r="K10" s="42">
        <f t="array" ref="K10:K10">IFERROR(INDEX(통합!$C$1:$C$400,SMALL(IF(통합!$F$1:$F$400="2호차",ROW(통합!$F$1:$F$400)),7)),"")</f>
        <v/>
      </c>
      <c r="L10" s="42" t="n"/>
      <c r="M10" s="42" t="n"/>
    </row>
    <row r="11" ht="21.75" customHeight="1" s="33">
      <c r="A11" s="43" t="n">
        <v>8</v>
      </c>
      <c r="B11" s="44">
        <f t="array" ref="B11:B11">IFERROR(INDEX(통합!$A$1:$A$400,SMALL(IF(통합!$E$1:$E$400="2호차",ROW(통합!$E$1:$E$400)),8)),"")</f>
        <v/>
      </c>
      <c r="C11" s="44">
        <f t="array" ref="C11:C11">IFERROR(INDEX(통합!$B$1:$B$400,SMALL(IF(통합!$E$1:$E$400="2호차",ROW(통합!$E$1:$E$400)),8)),"")</f>
        <v/>
      </c>
      <c r="D11" s="44">
        <f t="array" ref="D11:D11">IFERROR(INDEX(통합!$C$1:$C$400,SMALL(IF(통합!$E$1:$E$400="2호차",ROW(통합!$E$1:$E$400)),8)),"")</f>
        <v/>
      </c>
      <c r="E11" s="44" t="n"/>
      <c r="F11" s="44" t="n"/>
      <c r="H11" s="43" t="n">
        <v>8</v>
      </c>
      <c r="I11" s="44">
        <f t="array" ref="I11:I11">IFERROR(INDEX(통합!$A$1:$A$400,SMALL(IF(통합!$F$1:$F$400="2호차",ROW(통합!$F$1:$F$400)),8)),"")</f>
        <v/>
      </c>
      <c r="J11" s="44">
        <f t="array" ref="J11:J11">IFERROR(INDEX(통합!$B$1:$B$400,SMALL(IF(통합!$F$1:$F$400="2호차",ROW(통합!$F$1:$F$400)),8)),"")</f>
        <v/>
      </c>
      <c r="K11" s="44">
        <f t="array" ref="K11:K11">IFERROR(INDEX(통합!$C$1:$C$400,SMALL(IF(통합!$F$1:$F$400="2호차",ROW(통합!$F$1:$F$400)),8)),"")</f>
        <v/>
      </c>
      <c r="L11" s="44" t="n"/>
      <c r="M11" s="44" t="n"/>
    </row>
    <row r="12" ht="21.75" customHeight="1" s="33">
      <c r="A12" s="41" t="n">
        <v>9</v>
      </c>
      <c r="B12" s="42">
        <f t="array" ref="B12:B12">IFERROR(INDEX(통합!$A$1:$A$400,SMALL(IF(통합!$E$1:$E$400="2호차",ROW(통합!$E$1:$E$400)),9)),"")</f>
        <v/>
      </c>
      <c r="C12" s="42">
        <f t="array" ref="C12:C12">IFERROR(INDEX(통합!$B$1:$B$400,SMALL(IF(통합!$E$1:$E$400="2호차",ROW(통합!$E$1:$E$400)),9)),"")</f>
        <v/>
      </c>
      <c r="D12" s="42">
        <f t="array" ref="D12:D12">IFERROR(INDEX(통합!$C$1:$C$400,SMALL(IF(통합!$E$1:$E$400="2호차",ROW(통합!$E$1:$E$400)),9)),"")</f>
        <v/>
      </c>
      <c r="E12" s="42" t="n"/>
      <c r="F12" s="42" t="n"/>
      <c r="H12" s="41" t="n">
        <v>9</v>
      </c>
      <c r="I12" s="42">
        <f t="array" ref="I12:I12">IFERROR(INDEX(통합!$A$1:$A$400,SMALL(IF(통합!$F$1:$F$400="2호차",ROW(통합!$F$1:$F$400)),9)),"")</f>
        <v/>
      </c>
      <c r="J12" s="42">
        <f t="array" ref="J12:J12">IFERROR(INDEX(통합!$B$1:$B$400,SMALL(IF(통합!$F$1:$F$400="2호차",ROW(통합!$F$1:$F$400)),9)),"")</f>
        <v/>
      </c>
      <c r="K12" s="42">
        <f t="array" ref="K12:K12">IFERROR(INDEX(통합!$C$1:$C$400,SMALL(IF(통합!$F$1:$F$400="2호차",ROW(통합!$F$1:$F$400)),9)),"")</f>
        <v/>
      </c>
      <c r="L12" s="42" t="n"/>
      <c r="M12" s="42" t="n"/>
    </row>
    <row r="13" ht="21.75" customHeight="1" s="33">
      <c r="A13" s="43" t="n">
        <v>10</v>
      </c>
      <c r="B13" s="44">
        <f t="array" ref="B13:B13">IFERROR(INDEX(통합!$A$1:$A$400,SMALL(IF(통합!$E$1:$E$400="2호차",ROW(통합!$E$1:$E$400)),10)),"")</f>
        <v/>
      </c>
      <c r="C13" s="44">
        <f t="array" ref="C13:C13">IFERROR(INDEX(통합!$B$1:$B$400,SMALL(IF(통합!$E$1:$E$400="2호차",ROW(통합!$E$1:$E$400)),10)),"")</f>
        <v/>
      </c>
      <c r="D13" s="44">
        <f t="array" ref="D13:D13">IFERROR(INDEX(통합!$C$1:$C$400,SMALL(IF(통합!$E$1:$E$400="2호차",ROW(통합!$E$1:$E$400)),10)),"")</f>
        <v/>
      </c>
      <c r="E13" s="44" t="n"/>
      <c r="F13" s="44" t="n"/>
      <c r="H13" s="43" t="n">
        <v>10</v>
      </c>
      <c r="I13" s="44">
        <f t="array" ref="I13:I13">IFERROR(INDEX(통합!$A$1:$A$400,SMALL(IF(통합!$F$1:$F$400="2호차",ROW(통합!$F$1:$F$400)),10)),"")</f>
        <v/>
      </c>
      <c r="J13" s="44">
        <f t="array" ref="J13:J13">IFERROR(INDEX(통합!$B$1:$B$400,SMALL(IF(통합!$F$1:$F$400="2호차",ROW(통합!$F$1:$F$400)),10)),"")</f>
        <v/>
      </c>
      <c r="K13" s="44">
        <f t="array" ref="K13:K13">IFERROR(INDEX(통합!$C$1:$C$400,SMALL(IF(통합!$F$1:$F$400="2호차",ROW(통합!$F$1:$F$400)),10)),"")</f>
        <v/>
      </c>
      <c r="L13" s="44" t="n"/>
      <c r="M13" s="44" t="n"/>
    </row>
    <row r="14" ht="21.75" customHeight="1" s="33">
      <c r="A14" s="41" t="n">
        <v>11</v>
      </c>
      <c r="B14" s="42">
        <f t="array" ref="B14:B14">IFERROR(INDEX(통합!$A$1:$A$400,SMALL(IF(통합!$E$1:$E$400="2호차",ROW(통합!$E$1:$E$400)),11)),"")</f>
        <v/>
      </c>
      <c r="C14" s="42">
        <f t="array" ref="C14:C14">IFERROR(INDEX(통합!$B$1:$B$400,SMALL(IF(통합!$E$1:$E$400="2호차",ROW(통합!$E$1:$E$400)),11)),"")</f>
        <v/>
      </c>
      <c r="D14" s="42">
        <f t="array" ref="D14:D14">IFERROR(INDEX(통합!$C$1:$C$400,SMALL(IF(통합!$E$1:$E$400="2호차",ROW(통합!$E$1:$E$400)),11)),"")</f>
        <v/>
      </c>
      <c r="E14" s="42" t="n"/>
      <c r="F14" s="42" t="n"/>
      <c r="H14" s="41" t="n">
        <v>11</v>
      </c>
      <c r="I14" s="42">
        <f t="array" ref="I14:I14">IFERROR(INDEX(통합!$A$1:$A$400,SMALL(IF(통합!$F$1:$F$400="2호차",ROW(통합!$F$1:$F$400)),11)),"")</f>
        <v/>
      </c>
      <c r="J14" s="42">
        <f t="array" ref="J14:J14">IFERROR(INDEX(통합!$B$1:$B$400,SMALL(IF(통합!$F$1:$F$400="2호차",ROW(통합!$F$1:$F$400)),11)),"")</f>
        <v/>
      </c>
      <c r="K14" s="42">
        <f t="array" ref="K14:K14">IFERROR(INDEX(통합!$C$1:$C$400,SMALL(IF(통합!$F$1:$F$400="2호차",ROW(통합!$F$1:$F$400)),11)),"")</f>
        <v/>
      </c>
      <c r="L14" s="42" t="n"/>
      <c r="M14" s="42" t="n"/>
    </row>
    <row r="15" ht="21.75" customHeight="1" s="33">
      <c r="A15" s="43" t="n">
        <v>12</v>
      </c>
      <c r="B15" s="44">
        <f t="array" ref="B15:B15">IFERROR(INDEX(통합!$A$1:$A$400,SMALL(IF(통합!$E$1:$E$400="2호차",ROW(통합!$E$1:$E$400)),12)),"")</f>
        <v/>
      </c>
      <c r="C15" s="44">
        <f t="array" ref="C15:C15">IFERROR(INDEX(통합!$B$1:$B$400,SMALL(IF(통합!$E$1:$E$400="2호차",ROW(통합!$E$1:$E$400)),12)),"")</f>
        <v/>
      </c>
      <c r="D15" s="44">
        <f t="array" ref="D15:D15">IFERROR(INDEX(통합!$C$1:$C$400,SMALL(IF(통합!$E$1:$E$400="2호차",ROW(통합!$E$1:$E$400)),12)),"")</f>
        <v/>
      </c>
      <c r="E15" s="44" t="n"/>
      <c r="F15" s="44" t="n"/>
      <c r="H15" s="43" t="n">
        <v>12</v>
      </c>
      <c r="I15" s="44">
        <f t="array" ref="I15:I15">IFERROR(INDEX(통합!$A$1:$A$400,SMALL(IF(통합!$F$1:$F$400="2호차",ROW(통합!$F$1:$F$400)),12)),"")</f>
        <v/>
      </c>
      <c r="J15" s="44">
        <f t="array" ref="J15:J15">IFERROR(INDEX(통합!$B$1:$B$400,SMALL(IF(통합!$F$1:$F$400="2호차",ROW(통합!$F$1:$F$400)),12)),"")</f>
        <v/>
      </c>
      <c r="K15" s="44">
        <f t="array" ref="K15:K15">IFERROR(INDEX(통합!$C$1:$C$400,SMALL(IF(통합!$F$1:$F$400="2호차",ROW(통합!$F$1:$F$400)),12)),"")</f>
        <v/>
      </c>
      <c r="L15" s="44" t="n"/>
      <c r="M15" s="44" t="n"/>
    </row>
    <row r="16" ht="21.75" customHeight="1" s="33">
      <c r="A16" s="41" t="n">
        <v>13</v>
      </c>
      <c r="B16" s="42">
        <f t="array" ref="B16:B16">IFERROR(INDEX(통합!$A$1:$A$400,SMALL(IF(통합!$E$1:$E$400="2호차",ROW(통합!$E$1:$E$400)),13)),"")</f>
        <v/>
      </c>
      <c r="C16" s="42">
        <f t="array" ref="C16:C16">IFERROR(INDEX(통합!$B$1:$B$400,SMALL(IF(통합!$E$1:$E$400="2호차",ROW(통합!$E$1:$E$400)),13)),"")</f>
        <v/>
      </c>
      <c r="D16" s="42">
        <f t="array" ref="D16:D16">IFERROR(INDEX(통합!$C$1:$C$400,SMALL(IF(통합!$E$1:$E$400="2호차",ROW(통합!$E$1:$E$400)),13)),"")</f>
        <v/>
      </c>
      <c r="E16" s="42" t="n"/>
      <c r="F16" s="42" t="n"/>
      <c r="H16" s="41" t="n">
        <v>13</v>
      </c>
      <c r="I16" s="42">
        <f t="array" ref="I16:I16">IFERROR(INDEX(통합!$A$1:$A$400,SMALL(IF(통합!$F$1:$F$400="2호차",ROW(통합!$F$1:$F$400)),13)),"")</f>
        <v/>
      </c>
      <c r="J16" s="42">
        <f t="array" ref="J16:J16">IFERROR(INDEX(통합!$B$1:$B$400,SMALL(IF(통합!$F$1:$F$400="2호차",ROW(통합!$F$1:$F$400)),13)),"")</f>
        <v/>
      </c>
      <c r="K16" s="42">
        <f t="array" ref="K16:K16">IFERROR(INDEX(통합!$C$1:$C$400,SMALL(IF(통합!$F$1:$F$400="2호차",ROW(통합!$F$1:$F$400)),13)),"")</f>
        <v/>
      </c>
      <c r="L16" s="42" t="n"/>
      <c r="M16" s="42" t="n"/>
    </row>
    <row r="17" ht="21.75" customHeight="1" s="33">
      <c r="A17" s="43" t="n">
        <v>14</v>
      </c>
      <c r="B17" s="44">
        <f t="array" ref="B17:B17">IFERROR(INDEX(통합!$A$1:$A$400,SMALL(IF(통합!$E$1:$E$400="2호차",ROW(통합!$E$1:$E$400)),14)),"")</f>
        <v/>
      </c>
      <c r="C17" s="44">
        <f t="array" ref="C17:C17">IFERROR(INDEX(통합!$B$1:$B$400,SMALL(IF(통합!$E$1:$E$400="2호차",ROW(통합!$E$1:$E$400)),14)),"")</f>
        <v/>
      </c>
      <c r="D17" s="44">
        <f t="array" ref="D17:D17">IFERROR(INDEX(통합!$C$1:$C$400,SMALL(IF(통합!$E$1:$E$400="2호차",ROW(통합!$E$1:$E$400)),14)),"")</f>
        <v/>
      </c>
      <c r="E17" s="44" t="n"/>
      <c r="F17" s="44" t="n"/>
      <c r="H17" s="43" t="n">
        <v>14</v>
      </c>
      <c r="I17" s="44">
        <f t="array" ref="I17:I17">IFERROR(INDEX(통합!$A$1:$A$400,SMALL(IF(통합!$F$1:$F$400="2호차",ROW(통합!$F$1:$F$400)),14)),"")</f>
        <v/>
      </c>
      <c r="J17" s="44">
        <f t="array" ref="J17:J17">IFERROR(INDEX(통합!$B$1:$B$400,SMALL(IF(통합!$F$1:$F$400="2호차",ROW(통합!$F$1:$F$400)),14)),"")</f>
        <v/>
      </c>
      <c r="K17" s="44">
        <f t="array" ref="K17:K17">IFERROR(INDEX(통합!$C$1:$C$400,SMALL(IF(통합!$F$1:$F$400="2호차",ROW(통합!$F$1:$F$400)),14)),"")</f>
        <v/>
      </c>
      <c r="L17" s="44" t="n"/>
      <c r="M17" s="44" t="n"/>
    </row>
    <row r="18" ht="21.75" customHeight="1" s="33">
      <c r="A18" s="41" t="n">
        <v>15</v>
      </c>
      <c r="B18" s="42">
        <f t="array" ref="B18:B18">IFERROR(INDEX(통합!$A$1:$A$400,SMALL(IF(통합!$E$1:$E$400="2호차",ROW(통합!$E$1:$E$400)),15)),"")</f>
        <v/>
      </c>
      <c r="C18" s="42">
        <f t="array" ref="C18:C18">IFERROR(INDEX(통합!$B$1:$B$400,SMALL(IF(통합!$E$1:$E$400="2호차",ROW(통합!$E$1:$E$400)),15)),"")</f>
        <v/>
      </c>
      <c r="D18" s="42">
        <f t="array" ref="D18:D18">IFERROR(INDEX(통합!$C$1:$C$400,SMALL(IF(통합!$E$1:$E$400="2호차",ROW(통합!$E$1:$E$400)),15)),"")</f>
        <v/>
      </c>
      <c r="E18" s="42" t="n"/>
      <c r="F18" s="42" t="n"/>
      <c r="H18" s="41" t="n">
        <v>15</v>
      </c>
      <c r="I18" s="42">
        <f t="array" ref="I18:I18">IFERROR(INDEX(통합!$A$1:$A$400,SMALL(IF(통합!$F$1:$F$400="2호차",ROW(통합!$F$1:$F$400)),15)),"")</f>
        <v/>
      </c>
      <c r="J18" s="42">
        <f t="array" ref="J18:J18">IFERROR(INDEX(통합!$B$1:$B$400,SMALL(IF(통합!$F$1:$F$400="2호차",ROW(통합!$F$1:$F$400)),15)),"")</f>
        <v/>
      </c>
      <c r="K18" s="42">
        <f t="array" ref="K18:K18">IFERROR(INDEX(통합!$C$1:$C$400,SMALL(IF(통합!$F$1:$F$400="2호차",ROW(통합!$F$1:$F$400)),15)),"")</f>
        <v/>
      </c>
      <c r="L18" s="42" t="n"/>
      <c r="M18" s="42" t="n"/>
    </row>
    <row r="19" ht="21.75" customHeight="1" s="33">
      <c r="A19" s="43" t="n">
        <v>16</v>
      </c>
      <c r="B19" s="44">
        <f t="array" ref="B19:B19">IFERROR(INDEX(통합!$A$1:$A$400,SMALL(IF(통합!$E$1:$E$400="2호차",ROW(통합!$E$1:$E$400)),16)),"")</f>
        <v/>
      </c>
      <c r="C19" s="44">
        <f t="array" ref="C19:C19">IFERROR(INDEX(통합!$B$1:$B$400,SMALL(IF(통합!$E$1:$E$400="2호차",ROW(통합!$E$1:$E$400)),16)),"")</f>
        <v/>
      </c>
      <c r="D19" s="44">
        <f t="array" ref="D19:D19">IFERROR(INDEX(통합!$C$1:$C$400,SMALL(IF(통합!$E$1:$E$400="2호차",ROW(통합!$E$1:$E$400)),16)),"")</f>
        <v/>
      </c>
      <c r="E19" s="44" t="n"/>
      <c r="F19" s="44" t="n"/>
      <c r="H19" s="43" t="n">
        <v>16</v>
      </c>
      <c r="I19" s="44">
        <f t="array" ref="I19:I19">IFERROR(INDEX(통합!$A$1:$A$400,SMALL(IF(통합!$F$1:$F$400="2호차",ROW(통합!$F$1:$F$400)),16)),"")</f>
        <v/>
      </c>
      <c r="J19" s="44">
        <f t="array" ref="J19:J19">IFERROR(INDEX(통합!$B$1:$B$400,SMALL(IF(통합!$F$1:$F$400="2호차",ROW(통합!$F$1:$F$400)),16)),"")</f>
        <v/>
      </c>
      <c r="K19" s="44">
        <f t="array" ref="K19:K19">IFERROR(INDEX(통합!$C$1:$C$400,SMALL(IF(통합!$F$1:$F$400="2호차",ROW(통합!$F$1:$F$400)),16)),"")</f>
        <v/>
      </c>
      <c r="L19" s="44" t="n"/>
      <c r="M19" s="44" t="n"/>
    </row>
    <row r="20" ht="21.75" customHeight="1" s="33">
      <c r="A20" s="41" t="n">
        <v>17</v>
      </c>
      <c r="B20" s="42">
        <f t="array" ref="B20:B20">IFERROR(INDEX(통합!$A$1:$A$400,SMALL(IF(통합!$E$1:$E$400="2호차",ROW(통합!$E$1:$E$400)),17)),"")</f>
        <v/>
      </c>
      <c r="C20" s="42">
        <f t="array" ref="C20:C20">IFERROR(INDEX(통합!$B$1:$B$400,SMALL(IF(통합!$E$1:$E$400="2호차",ROW(통합!$E$1:$E$400)),17)),"")</f>
        <v/>
      </c>
      <c r="D20" s="42">
        <f t="array" ref="D20:D20">IFERROR(INDEX(통합!$C$1:$C$400,SMALL(IF(통합!$E$1:$E$400="2호차",ROW(통합!$E$1:$E$400)),17)),"")</f>
        <v/>
      </c>
      <c r="E20" s="42" t="n"/>
      <c r="F20" s="42" t="n"/>
      <c r="H20" s="41" t="n">
        <v>17</v>
      </c>
      <c r="I20" s="42">
        <f t="array" ref="I20:I20">IFERROR(INDEX(통합!$A$1:$A$400,SMALL(IF(통합!$F$1:$F$400="2호차",ROW(통합!$F$1:$F$400)),17)),"")</f>
        <v/>
      </c>
      <c r="J20" s="42">
        <f t="array" ref="J20:J20">IFERROR(INDEX(통합!$B$1:$B$400,SMALL(IF(통합!$F$1:$F$400="2호차",ROW(통합!$F$1:$F$400)),17)),"")</f>
        <v/>
      </c>
      <c r="K20" s="42">
        <f t="array" ref="K20:K20">IFERROR(INDEX(통합!$C$1:$C$400,SMALL(IF(통합!$F$1:$F$400="2호차",ROW(통합!$F$1:$F$400)),17)),"")</f>
        <v/>
      </c>
      <c r="L20" s="42" t="n"/>
      <c r="M20" s="42" t="n"/>
    </row>
    <row r="21" ht="21.75" customHeight="1" s="33">
      <c r="A21" s="43" t="n">
        <v>18</v>
      </c>
      <c r="B21" s="44">
        <f t="array" ref="B21:B21">IFERROR(INDEX(통합!$A$1:$A$400,SMALL(IF(통합!$E$1:$E$400="2호차",ROW(통합!$E$1:$E$400)),18)),"")</f>
        <v/>
      </c>
      <c r="C21" s="44">
        <f t="array" ref="C21:C21">IFERROR(INDEX(통합!$B$1:$B$400,SMALL(IF(통합!$E$1:$E$400="2호차",ROW(통합!$E$1:$E$400)),18)),"")</f>
        <v/>
      </c>
      <c r="D21" s="44">
        <f t="array" ref="D21:D21">IFERROR(INDEX(통합!$C$1:$C$400,SMALL(IF(통합!$E$1:$E$400="2호차",ROW(통합!$E$1:$E$400)),18)),"")</f>
        <v/>
      </c>
      <c r="E21" s="44" t="n"/>
      <c r="F21" s="44" t="n"/>
      <c r="H21" s="43" t="n">
        <v>18</v>
      </c>
      <c r="I21" s="44">
        <f t="array" ref="I21:I21">IFERROR(INDEX(통합!$A$1:$A$400,SMALL(IF(통합!$F$1:$F$400="2호차",ROW(통합!$F$1:$F$400)),18)),"")</f>
        <v/>
      </c>
      <c r="J21" s="44">
        <f t="array" ref="J21:J21">IFERROR(INDEX(통합!$B$1:$B$400,SMALL(IF(통합!$F$1:$F$400="2호차",ROW(통합!$F$1:$F$400)),18)),"")</f>
        <v/>
      </c>
      <c r="K21" s="44">
        <f t="array" ref="K21:K21">IFERROR(INDEX(통합!$C$1:$C$400,SMALL(IF(통합!$F$1:$F$400="2호차",ROW(통합!$F$1:$F$400)),18)),"")</f>
        <v/>
      </c>
      <c r="L21" s="44" t="n"/>
      <c r="M21" s="44" t="n"/>
    </row>
    <row r="22" ht="21.75" customHeight="1" s="33">
      <c r="A22" s="41" t="n">
        <v>19</v>
      </c>
      <c r="B22" s="42">
        <f t="array" ref="B22:B22">IFERROR(INDEX(통합!$A$1:$A$400,SMALL(IF(통합!$E$1:$E$400="2호차",ROW(통합!$E$1:$E$400)),19)),"")</f>
        <v/>
      </c>
      <c r="C22" s="42">
        <f t="array" ref="C22:C22">IFERROR(INDEX(통합!$B$1:$B$400,SMALL(IF(통합!$E$1:$E$400="2호차",ROW(통합!$E$1:$E$400)),19)),"")</f>
        <v/>
      </c>
      <c r="D22" s="42">
        <f t="array" ref="D22:D22">IFERROR(INDEX(통합!$C$1:$C$400,SMALL(IF(통합!$E$1:$E$400="2호차",ROW(통합!$E$1:$E$400)),19)),"")</f>
        <v/>
      </c>
      <c r="E22" s="42" t="n"/>
      <c r="F22" s="42" t="n"/>
      <c r="H22" s="41" t="n">
        <v>19</v>
      </c>
      <c r="I22" s="42">
        <f t="array" ref="I22:I22">IFERROR(INDEX(통합!$A$1:$A$400,SMALL(IF(통합!$F$1:$F$400="2호차",ROW(통합!$F$1:$F$400)),19)),"")</f>
        <v/>
      </c>
      <c r="J22" s="42">
        <f t="array" ref="J22:J22">IFERROR(INDEX(통합!$B$1:$B$400,SMALL(IF(통합!$F$1:$F$400="2호차",ROW(통합!$F$1:$F$400)),19)),"")</f>
        <v/>
      </c>
      <c r="K22" s="42">
        <f t="array" ref="K22:K22">IFERROR(INDEX(통합!$C$1:$C$400,SMALL(IF(통합!$F$1:$F$400="2호차",ROW(통합!$F$1:$F$400)),19)),"")</f>
        <v/>
      </c>
      <c r="L22" s="42" t="n"/>
      <c r="M22" s="42" t="n"/>
    </row>
    <row r="23" ht="21.75" customHeight="1" s="33">
      <c r="A23" s="43" t="n">
        <v>20</v>
      </c>
      <c r="B23" s="44">
        <f t="array" ref="B23:B23">IFERROR(INDEX(통합!$A$1:$A$400,SMALL(IF(통합!$E$1:$E$400="2호차",ROW(통합!$E$1:$E$400)),20)),"")</f>
        <v/>
      </c>
      <c r="C23" s="44">
        <f t="array" ref="C23:C23">IFERROR(INDEX(통합!$B$1:$B$400,SMALL(IF(통합!$E$1:$E$400="2호차",ROW(통합!$E$1:$E$400)),20)),"")</f>
        <v/>
      </c>
      <c r="D23" s="44">
        <f t="array" ref="D23:D23">IFERROR(INDEX(통합!$C$1:$C$400,SMALL(IF(통합!$E$1:$E$400="2호차",ROW(통합!$E$1:$E$400)),20)),"")</f>
        <v/>
      </c>
      <c r="E23" s="44" t="n"/>
      <c r="F23" s="44" t="n"/>
      <c r="H23" s="43" t="n">
        <v>20</v>
      </c>
      <c r="I23" s="44">
        <f t="array" ref="I23:I23">IFERROR(INDEX(통합!$A$1:$A$400,SMALL(IF(통합!$F$1:$F$400="2호차",ROW(통합!$F$1:$F$400)),20)),"")</f>
        <v/>
      </c>
      <c r="J23" s="44">
        <f t="array" ref="J23:J23">IFERROR(INDEX(통합!$B$1:$B$400,SMALL(IF(통합!$F$1:$F$400="2호차",ROW(통합!$F$1:$F$400)),20)),"")</f>
        <v/>
      </c>
      <c r="K23" s="44">
        <f t="array" ref="K23:K23">IFERROR(INDEX(통합!$C$1:$C$400,SMALL(IF(통합!$F$1:$F$400="2호차",ROW(통합!$F$1:$F$400)),20)),"")</f>
        <v/>
      </c>
      <c r="L23" s="44" t="n"/>
      <c r="M23" s="44" t="n"/>
    </row>
    <row r="24" ht="21.75" customHeight="1" s="33">
      <c r="A24" s="41" t="n">
        <v>21</v>
      </c>
      <c r="B24" s="42">
        <f t="array" ref="B24:B24">IFERROR(INDEX(통합!$A$1:$A$400,SMALL(IF(통합!$E$1:$E$400="2호차",ROW(통합!$E$1:$E$400)),21)),"")</f>
        <v/>
      </c>
      <c r="C24" s="42">
        <f t="array" ref="C24:C24">IFERROR(INDEX(통합!$B$1:$B$400,SMALL(IF(통합!$E$1:$E$400="2호차",ROW(통합!$E$1:$E$400)),21)),"")</f>
        <v/>
      </c>
      <c r="D24" s="42">
        <f t="array" ref="D24:D24">IFERROR(INDEX(통합!$C$1:$C$400,SMALL(IF(통합!$E$1:$E$400="2호차",ROW(통합!$E$1:$E$400)),21)),"")</f>
        <v/>
      </c>
      <c r="E24" s="42" t="n"/>
      <c r="F24" s="42" t="n"/>
      <c r="H24" s="41" t="n">
        <v>21</v>
      </c>
      <c r="I24" s="42">
        <f t="array" ref="I24:I24">IFERROR(INDEX(통합!$A$1:$A$400,SMALL(IF(통합!$F$1:$F$400="2호차",ROW(통합!$F$1:$F$400)),21)),"")</f>
        <v/>
      </c>
      <c r="J24" s="42">
        <f t="array" ref="J24:J24">IFERROR(INDEX(통합!$B$1:$B$400,SMALL(IF(통합!$F$1:$F$400="2호차",ROW(통합!$F$1:$F$400)),21)),"")</f>
        <v/>
      </c>
      <c r="K24" s="42">
        <f t="array" ref="K24:K24">IFERROR(INDEX(통합!$C$1:$C$400,SMALL(IF(통합!$F$1:$F$400="2호차",ROW(통합!$F$1:$F$400)),21)),"")</f>
        <v/>
      </c>
      <c r="L24" s="42" t="n"/>
      <c r="M24" s="42" t="n"/>
    </row>
    <row r="25" ht="21.75" customHeight="1" s="33">
      <c r="A25" s="43" t="n">
        <v>22</v>
      </c>
      <c r="B25" s="44">
        <f t="array" ref="B25:B25">IFERROR(INDEX(통합!$A$1:$A$400,SMALL(IF(통합!$E$1:$E$400="2호차",ROW(통합!$E$1:$E$400)),22)),"")</f>
        <v/>
      </c>
      <c r="C25" s="44">
        <f t="array" ref="C25:C25">IFERROR(INDEX(통합!$B$1:$B$400,SMALL(IF(통합!$E$1:$E$400="2호차",ROW(통합!$E$1:$E$400)),22)),"")</f>
        <v/>
      </c>
      <c r="D25" s="44">
        <f t="array" ref="D25:D25">IFERROR(INDEX(통합!$C$1:$C$400,SMALL(IF(통합!$E$1:$E$400="2호차",ROW(통합!$E$1:$E$400)),22)),"")</f>
        <v/>
      </c>
      <c r="E25" s="44" t="n"/>
      <c r="F25" s="44" t="n"/>
      <c r="H25" s="43" t="n">
        <v>22</v>
      </c>
      <c r="I25" s="44">
        <f t="array" ref="I25:I25">IFERROR(INDEX(통합!$A$1:$A$400,SMALL(IF(통합!$F$1:$F$400="2호차",ROW(통합!$F$1:$F$400)),22)),"")</f>
        <v/>
      </c>
      <c r="J25" s="44">
        <f t="array" ref="J25:J25">IFERROR(INDEX(통합!$B$1:$B$400,SMALL(IF(통합!$F$1:$F$400="2호차",ROW(통합!$F$1:$F$400)),22)),"")</f>
        <v/>
      </c>
      <c r="K25" s="44">
        <f t="array" ref="K25:K25">IFERROR(INDEX(통합!$C$1:$C$400,SMALL(IF(통합!$F$1:$F$400="2호차",ROW(통합!$F$1:$F$400)),22)),"")</f>
        <v/>
      </c>
      <c r="L25" s="44" t="n"/>
      <c r="M25" s="44" t="n"/>
    </row>
    <row r="26" ht="21.75" customHeight="1" s="33">
      <c r="A26" s="41" t="n">
        <v>23</v>
      </c>
      <c r="B26" s="42">
        <f t="array" ref="B26:B26">IFERROR(INDEX(통합!$A$1:$A$400,SMALL(IF(통합!$E$1:$E$400="2호차",ROW(통합!$E$1:$E$400)),23)),"")</f>
        <v/>
      </c>
      <c r="C26" s="42">
        <f t="array" ref="C26:C26">IFERROR(INDEX(통합!$B$1:$B$400,SMALL(IF(통합!$E$1:$E$400="2호차",ROW(통합!$E$1:$E$400)),23)),"")</f>
        <v/>
      </c>
      <c r="D26" s="42">
        <f t="array" ref="D26:D26">IFERROR(INDEX(통합!$C$1:$C$400,SMALL(IF(통합!$E$1:$E$400="2호차",ROW(통합!$E$1:$E$400)),23)),"")</f>
        <v/>
      </c>
      <c r="E26" s="42" t="n"/>
      <c r="F26" s="42" t="n"/>
      <c r="H26" s="41" t="n">
        <v>23</v>
      </c>
      <c r="I26" s="42">
        <f t="array" ref="I26:I26">IFERROR(INDEX(통합!$A$1:$A$400,SMALL(IF(통합!$F$1:$F$400="2호차",ROW(통합!$F$1:$F$400)),23)),"")</f>
        <v/>
      </c>
      <c r="J26" s="42">
        <f t="array" ref="J26:J26">IFERROR(INDEX(통합!$B$1:$B$400,SMALL(IF(통합!$F$1:$F$400="2호차",ROW(통합!$F$1:$F$400)),23)),"")</f>
        <v/>
      </c>
      <c r="K26" s="42">
        <f t="array" ref="K26:K26">IFERROR(INDEX(통합!$C$1:$C$400,SMALL(IF(통합!$F$1:$F$400="2호차",ROW(통합!$F$1:$F$400)),23)),"")</f>
        <v/>
      </c>
      <c r="L26" s="42" t="n"/>
      <c r="M26" s="42" t="n"/>
    </row>
    <row r="27" ht="21.75" customHeight="1" s="33">
      <c r="A27" s="43" t="n">
        <v>24</v>
      </c>
      <c r="B27" s="44">
        <f t="array" ref="B27:B27">IFERROR(INDEX(통합!$A$1:$A$400,SMALL(IF(통합!$E$1:$E$400="2호차",ROW(통합!$E$1:$E$400)),24)),"")</f>
        <v/>
      </c>
      <c r="C27" s="44">
        <f t="array" ref="C27:C27">IFERROR(INDEX(통합!$B$1:$B$400,SMALL(IF(통합!$E$1:$E$400="2호차",ROW(통합!$E$1:$E$400)),24)),"")</f>
        <v/>
      </c>
      <c r="D27" s="44">
        <f t="array" ref="D27:D27">IFERROR(INDEX(통합!$C$1:$C$400,SMALL(IF(통합!$E$1:$E$400="2호차",ROW(통합!$E$1:$E$400)),24)),"")</f>
        <v/>
      </c>
      <c r="E27" s="44" t="n"/>
      <c r="F27" s="44" t="n"/>
      <c r="H27" s="43" t="n">
        <v>24</v>
      </c>
      <c r="I27" s="44">
        <f t="array" ref="I27:I27">IFERROR(INDEX(통합!$A$1:$A$400,SMALL(IF(통합!$F$1:$F$400="2호차",ROW(통합!$F$1:$F$400)),24)),"")</f>
        <v/>
      </c>
      <c r="J27" s="44">
        <f t="array" ref="J27:J27">IFERROR(INDEX(통합!$B$1:$B$400,SMALL(IF(통합!$F$1:$F$400="2호차",ROW(통합!$F$1:$F$400)),24)),"")</f>
        <v/>
      </c>
      <c r="K27" s="44">
        <f t="array" ref="K27:K27">IFERROR(INDEX(통합!$C$1:$C$400,SMALL(IF(통합!$F$1:$F$400="2호차",ROW(통합!$F$1:$F$400)),24)),"")</f>
        <v/>
      </c>
      <c r="L27" s="44" t="n"/>
      <c r="M27" s="44" t="n"/>
    </row>
    <row r="28" ht="21.75" customHeight="1" s="33">
      <c r="A28" s="41" t="n">
        <v>25</v>
      </c>
      <c r="B28" s="42">
        <f t="array" ref="B28:B28">IFERROR(INDEX(통합!$A$1:$A$400,SMALL(IF(통합!$E$1:$E$400="2호차",ROW(통합!$E$1:$E$400)),25)),"")</f>
        <v/>
      </c>
      <c r="C28" s="42">
        <f t="array" ref="C28:C28">IFERROR(INDEX(통합!$B$1:$B$400,SMALL(IF(통합!$E$1:$E$400="2호차",ROW(통합!$E$1:$E$400)),25)),"")</f>
        <v/>
      </c>
      <c r="D28" s="42">
        <f t="array" ref="D28:D28">IFERROR(INDEX(통합!$C$1:$C$400,SMALL(IF(통합!$E$1:$E$400="2호차",ROW(통합!$E$1:$E$400)),25)),"")</f>
        <v/>
      </c>
      <c r="E28" s="42" t="n"/>
      <c r="F28" s="42" t="n"/>
      <c r="H28" s="41" t="n">
        <v>25</v>
      </c>
      <c r="I28" s="42">
        <f t="array" ref="I28:I28">IFERROR(INDEX(통합!$A$1:$A$400,SMALL(IF(통합!$F$1:$F$400="2호차",ROW(통합!$F$1:$F$400)),25)),"")</f>
        <v/>
      </c>
      <c r="J28" s="42">
        <f t="array" ref="J28:J28">IFERROR(INDEX(통합!$B$1:$B$400,SMALL(IF(통합!$F$1:$F$400="2호차",ROW(통합!$F$1:$F$400)),25)),"")</f>
        <v/>
      </c>
      <c r="K28" s="42">
        <f t="array" ref="K28:K28">IFERROR(INDEX(통합!$C$1:$C$400,SMALL(IF(통합!$F$1:$F$400="2호차",ROW(통합!$F$1:$F$400)),25)),"")</f>
        <v/>
      </c>
      <c r="L28" s="42" t="n"/>
      <c r="M28" s="42" t="n"/>
    </row>
    <row r="29" ht="21.75" customHeight="1" s="33">
      <c r="A29" s="43" t="n">
        <v>26</v>
      </c>
      <c r="B29" s="44">
        <f t="array" ref="B29:B29">IFERROR(INDEX(통합!$A$1:$A$400,SMALL(IF(통합!$E$1:$E$400="2호차",ROW(통합!$E$1:$E$400)),26)),"")</f>
        <v/>
      </c>
      <c r="C29" s="44">
        <f t="array" ref="C29:C29">IFERROR(INDEX(통합!$B$1:$B$400,SMALL(IF(통합!$E$1:$E$400="2호차",ROW(통합!$E$1:$E$400)),26)),"")</f>
        <v/>
      </c>
      <c r="D29" s="44">
        <f t="array" ref="D29:D29">IFERROR(INDEX(통합!$C$1:$C$400,SMALL(IF(통합!$E$1:$E$400="2호차",ROW(통합!$E$1:$E$400)),26)),"")</f>
        <v/>
      </c>
      <c r="E29" s="44" t="n"/>
      <c r="F29" s="44" t="n"/>
      <c r="H29" s="43" t="n">
        <v>26</v>
      </c>
      <c r="I29" s="44">
        <f t="array" ref="I29:I29">IFERROR(INDEX(통합!$A$1:$A$400,SMALL(IF(통합!$F$1:$F$400="2호차",ROW(통합!$F$1:$F$400)),26)),"")</f>
        <v/>
      </c>
      <c r="J29" s="44">
        <f t="array" ref="J29:J29">IFERROR(INDEX(통합!$B$1:$B$400,SMALL(IF(통합!$F$1:$F$400="2호차",ROW(통합!$F$1:$F$400)),26)),"")</f>
        <v/>
      </c>
      <c r="K29" s="44">
        <f t="array" ref="K29:K29">IFERROR(INDEX(통합!$C$1:$C$400,SMALL(IF(통합!$F$1:$F$400="2호차",ROW(통합!$F$1:$F$400)),26)),"")</f>
        <v/>
      </c>
      <c r="L29" s="44" t="n"/>
      <c r="M29" s="44" t="n"/>
    </row>
    <row r="30" ht="21.75" customHeight="1" s="33">
      <c r="A30" s="41" t="n">
        <v>27</v>
      </c>
      <c r="B30" s="42">
        <f t="array" ref="B30:B30">IFERROR(INDEX(통합!$A$1:$A$400,SMALL(IF(통합!$E$1:$E$400="2호차",ROW(통합!$E$1:$E$400)),27)),"")</f>
        <v/>
      </c>
      <c r="C30" s="42">
        <f t="array" ref="C30:C30">IFERROR(INDEX(통합!$B$1:$B$400,SMALL(IF(통합!$E$1:$E$400="2호차",ROW(통합!$E$1:$E$400)),27)),"")</f>
        <v/>
      </c>
      <c r="D30" s="42">
        <f t="array" ref="D30:D30">IFERROR(INDEX(통합!$C$1:$C$400,SMALL(IF(통합!$E$1:$E$400="2호차",ROW(통합!$E$1:$E$400)),27)),"")</f>
        <v/>
      </c>
      <c r="E30" s="42" t="n"/>
      <c r="F30" s="42" t="n"/>
      <c r="H30" s="41" t="n">
        <v>27</v>
      </c>
      <c r="I30" s="42">
        <f t="array" ref="I30:I30">IFERROR(INDEX(통합!$A$1:$A$400,SMALL(IF(통합!$F$1:$F$400="2호차",ROW(통합!$F$1:$F$400)),27)),"")</f>
        <v/>
      </c>
      <c r="J30" s="42">
        <f t="array" ref="J30:J30">IFERROR(INDEX(통합!$B$1:$B$400,SMALL(IF(통합!$F$1:$F$400="2호차",ROW(통합!$F$1:$F$400)),27)),"")</f>
        <v/>
      </c>
      <c r="K30" s="42">
        <f t="array" ref="K30:K30">IFERROR(INDEX(통합!$C$1:$C$400,SMALL(IF(통합!$F$1:$F$400="2호차",ROW(통합!$F$1:$F$400)),27)),"")</f>
        <v/>
      </c>
      <c r="L30" s="42" t="n"/>
      <c r="M30" s="42" t="n"/>
    </row>
    <row r="31" ht="21.75" customHeight="1" s="33">
      <c r="A31" s="43" t="n">
        <v>28</v>
      </c>
      <c r="B31" s="44">
        <f t="array" ref="B31:B31">IFERROR(INDEX(통합!$A$1:$A$400,SMALL(IF(통합!$E$1:$E$400="2호차",ROW(통합!$E$1:$E$400)),28)),"")</f>
        <v/>
      </c>
      <c r="C31" s="44">
        <f t="array" ref="C31:C31">IFERROR(INDEX(통합!$B$1:$B$400,SMALL(IF(통합!$E$1:$E$400="2호차",ROW(통합!$E$1:$E$400)),28)),"")</f>
        <v/>
      </c>
      <c r="D31" s="44">
        <f t="array" ref="D31:D31">IFERROR(INDEX(통합!$C$1:$C$400,SMALL(IF(통합!$E$1:$E$400="2호차",ROW(통합!$E$1:$E$400)),28)),"")</f>
        <v/>
      </c>
      <c r="E31" s="44" t="n"/>
      <c r="F31" s="44" t="n"/>
      <c r="H31" s="43" t="n">
        <v>28</v>
      </c>
      <c r="I31" s="44">
        <f t="array" ref="I31:I31">IFERROR(INDEX(통합!$A$1:$A$400,SMALL(IF(통합!$F$1:$F$400="2호차",ROW(통합!$F$1:$F$400)),28)),"")</f>
        <v/>
      </c>
      <c r="J31" s="44">
        <f t="array" ref="J31:J31">IFERROR(INDEX(통합!$B$1:$B$400,SMALL(IF(통합!$F$1:$F$400="2호차",ROW(통합!$F$1:$F$400)),28)),"")</f>
        <v/>
      </c>
      <c r="K31" s="44">
        <f t="array" ref="K31:K31">IFERROR(INDEX(통합!$C$1:$C$400,SMALL(IF(통합!$F$1:$F$400="2호차",ROW(통합!$F$1:$F$400)),28)),"")</f>
        <v/>
      </c>
      <c r="L31" s="44" t="n"/>
      <c r="M31" s="44" t="n"/>
    </row>
    <row r="32" ht="21.75" customHeight="1" s="33">
      <c r="A32" s="41" t="n">
        <v>29</v>
      </c>
      <c r="B32" s="42">
        <f t="array" ref="B32:B32">IFERROR(INDEX(통합!$A$1:$A$400,SMALL(IF(통합!$E$1:$E$400="2호차",ROW(통합!$E$1:$E$400)),29)),"")</f>
        <v/>
      </c>
      <c r="C32" s="42">
        <f t="array" ref="C32:C32">IFERROR(INDEX(통합!$B$1:$B$400,SMALL(IF(통합!$E$1:$E$400="2호차",ROW(통합!$E$1:$E$400)),29)),"")</f>
        <v/>
      </c>
      <c r="D32" s="42">
        <f t="array" ref="D32:D32">IFERROR(INDEX(통합!$C$1:$C$400,SMALL(IF(통합!$E$1:$E$400="2호차",ROW(통합!$E$1:$E$400)),29)),"")</f>
        <v/>
      </c>
      <c r="E32" s="42" t="n"/>
      <c r="F32" s="42" t="n"/>
      <c r="H32" s="41" t="n">
        <v>29</v>
      </c>
      <c r="I32" s="42">
        <f t="array" ref="I32:I32">IFERROR(INDEX(통합!$A$1:$A$400,SMALL(IF(통합!$F$1:$F$400="2호차",ROW(통합!$F$1:$F$400)),29)),"")</f>
        <v/>
      </c>
      <c r="J32" s="42">
        <f t="array" ref="J32:J32">IFERROR(INDEX(통합!$B$1:$B$400,SMALL(IF(통합!$F$1:$F$400="2호차",ROW(통합!$F$1:$F$400)),29)),"")</f>
        <v/>
      </c>
      <c r="K32" s="42">
        <f t="array" ref="K32:K32">IFERROR(INDEX(통합!$C$1:$C$400,SMALL(IF(통합!$F$1:$F$400="2호차",ROW(통합!$F$1:$F$400)),29)),"")</f>
        <v/>
      </c>
      <c r="L32" s="42" t="n"/>
      <c r="M32" s="42" t="n"/>
    </row>
    <row r="33" ht="21.75" customHeight="1" s="33">
      <c r="A33" s="43" t="n">
        <v>30</v>
      </c>
      <c r="B33" s="44">
        <f t="array" ref="B33:B33">IFERROR(INDEX(통합!$A$1:$A$400,SMALL(IF(통합!$E$1:$E$400="2호차",ROW(통합!$E$1:$E$400)),30)),"")</f>
        <v/>
      </c>
      <c r="C33" s="44">
        <f t="array" ref="C33:C33">IFERROR(INDEX(통합!$B$1:$B$400,SMALL(IF(통합!$E$1:$E$400="2호차",ROW(통합!$E$1:$E$400)),30)),"")</f>
        <v/>
      </c>
      <c r="D33" s="44">
        <f t="array" ref="D33:D33">IFERROR(INDEX(통합!$C$1:$C$400,SMALL(IF(통합!$E$1:$E$400="2호차",ROW(통합!$E$1:$E$400)),30)),"")</f>
        <v/>
      </c>
      <c r="E33" s="44" t="n"/>
      <c r="F33" s="44" t="n"/>
      <c r="H33" s="43" t="n">
        <v>30</v>
      </c>
      <c r="I33" s="44">
        <f t="array" ref="I33:I33">IFERROR(INDEX(통합!$A$1:$A$400,SMALL(IF(통합!$F$1:$F$400="2호차",ROW(통합!$F$1:$F$400)),30)),"")</f>
        <v/>
      </c>
      <c r="J33" s="44">
        <f t="array" ref="J33:J33">IFERROR(INDEX(통합!$B$1:$B$400,SMALL(IF(통합!$F$1:$F$400="2호차",ROW(통합!$F$1:$F$400)),30)),"")</f>
        <v/>
      </c>
      <c r="K33" s="44">
        <f t="array" ref="K33:K33">IFERROR(INDEX(통합!$C$1:$C$400,SMALL(IF(통합!$F$1:$F$400="2호차",ROW(통합!$F$1:$F$400)),30)),"")</f>
        <v/>
      </c>
      <c r="L33" s="44" t="n"/>
      <c r="M33" s="44" t="n"/>
    </row>
    <row r="34" ht="21.75" customHeight="1" s="33">
      <c r="A34" s="41" t="n">
        <v>31</v>
      </c>
      <c r="B34" s="42">
        <f t="array" ref="B34:B34">IFERROR(INDEX(통합!$A$1:$A$400,SMALL(IF(통합!$E$1:$E$400="2호차",ROW(통합!$E$1:$E$400)),31)),"")</f>
        <v/>
      </c>
      <c r="C34" s="42">
        <f t="array" ref="C34:C34">IFERROR(INDEX(통합!$B$1:$B$400,SMALL(IF(통합!$E$1:$E$400="2호차",ROW(통합!$E$1:$E$400)),31)),"")</f>
        <v/>
      </c>
      <c r="D34" s="42">
        <f t="array" ref="D34:D34">IFERROR(INDEX(통합!$C$1:$C$400,SMALL(IF(통합!$E$1:$E$400="2호차",ROW(통합!$E$1:$E$400)),31)),"")</f>
        <v/>
      </c>
      <c r="E34" s="42" t="n"/>
      <c r="F34" s="42" t="n"/>
      <c r="H34" s="41" t="n">
        <v>31</v>
      </c>
      <c r="I34" s="42">
        <f t="array" ref="I34:I34">IFERROR(INDEX(통합!$A$1:$A$400,SMALL(IF(통합!$F$1:$F$400="2호차",ROW(통합!$F$1:$F$400)),31)),"")</f>
        <v/>
      </c>
      <c r="J34" s="42">
        <f t="array" ref="J34:J34">IFERROR(INDEX(통합!$B$1:$B$400,SMALL(IF(통합!$F$1:$F$400="2호차",ROW(통합!$F$1:$F$400)),31)),"")</f>
        <v/>
      </c>
      <c r="K34" s="42">
        <f t="array" ref="K34:K34">IFERROR(INDEX(통합!$C$1:$C$400,SMALL(IF(통합!$F$1:$F$400="2호차",ROW(통합!$F$1:$F$400)),31)),"")</f>
        <v/>
      </c>
      <c r="L34" s="42" t="n"/>
      <c r="M34" s="42" t="n"/>
    </row>
    <row r="35" ht="21.75" customHeight="1" s="33">
      <c r="A35" s="43" t="n">
        <v>32</v>
      </c>
      <c r="B35" s="44">
        <f t="array" ref="B35:B35">IFERROR(INDEX(통합!$A$1:$A$400,SMALL(IF(통합!$E$1:$E$400="2호차",ROW(통합!$E$1:$E$400)),32)),"")</f>
        <v/>
      </c>
      <c r="C35" s="44">
        <f t="array" ref="C35:C35">IFERROR(INDEX(통합!$B$1:$B$400,SMALL(IF(통합!$E$1:$E$400="2호차",ROW(통합!$E$1:$E$400)),32)),"")</f>
        <v/>
      </c>
      <c r="D35" s="44">
        <f t="array" ref="D35:D35">IFERROR(INDEX(통합!$C$1:$C$400,SMALL(IF(통합!$E$1:$E$400="2호차",ROW(통합!$E$1:$E$400)),32)),"")</f>
        <v/>
      </c>
      <c r="E35" s="44" t="n"/>
      <c r="F35" s="44" t="n"/>
      <c r="H35" s="43" t="n">
        <v>32</v>
      </c>
      <c r="I35" s="44">
        <f t="array" ref="I35:I35">IFERROR(INDEX(통합!$A$1:$A$400,SMALL(IF(통합!$F$1:$F$400="2호차",ROW(통합!$F$1:$F$400)),32)),"")</f>
        <v/>
      </c>
      <c r="J35" s="44">
        <f t="array" ref="J35:J35">IFERROR(INDEX(통합!$B$1:$B$400,SMALL(IF(통합!$F$1:$F$400="2호차",ROW(통합!$F$1:$F$400)),32)),"")</f>
        <v/>
      </c>
      <c r="K35" s="44">
        <f t="array" ref="K35:K35">IFERROR(INDEX(통합!$C$1:$C$400,SMALL(IF(통합!$F$1:$F$400="2호차",ROW(통합!$F$1:$F$400)),32)),"")</f>
        <v/>
      </c>
      <c r="L35" s="44" t="n"/>
      <c r="M35" s="44" t="n"/>
    </row>
    <row r="36" ht="21.75" customHeight="1" s="33">
      <c r="A36" s="41" t="n">
        <v>33</v>
      </c>
      <c r="B36" s="42">
        <f t="array" ref="B36:B36">IFERROR(INDEX(통합!$A$1:$A$400,SMALL(IF(통합!$E$1:$E$400="2호차",ROW(통합!$E$1:$E$400)),33)),"")</f>
        <v/>
      </c>
      <c r="C36" s="42">
        <f t="array" ref="C36:C36">IFERROR(INDEX(통합!$B$1:$B$400,SMALL(IF(통합!$E$1:$E$400="2호차",ROW(통합!$E$1:$E$400)),33)),"")</f>
        <v/>
      </c>
      <c r="D36" s="42">
        <f t="array" ref="D36:D36">IFERROR(INDEX(통합!$C$1:$C$400,SMALL(IF(통합!$E$1:$E$400="2호차",ROW(통합!$E$1:$E$400)),33)),"")</f>
        <v/>
      </c>
      <c r="E36" s="42" t="n"/>
      <c r="F36" s="42" t="n"/>
      <c r="H36" s="41" t="n">
        <v>33</v>
      </c>
      <c r="I36" s="42">
        <f t="array" ref="I36:I36">IFERROR(INDEX(통합!$A$1:$A$400,SMALL(IF(통합!$F$1:$F$400="2호차",ROW(통합!$F$1:$F$400)),33)),"")</f>
        <v/>
      </c>
      <c r="J36" s="42">
        <f t="array" ref="J36:J36">IFERROR(INDEX(통합!$B$1:$B$400,SMALL(IF(통합!$F$1:$F$400="2호차",ROW(통합!$F$1:$F$400)),33)),"")</f>
        <v/>
      </c>
      <c r="K36" s="42">
        <f t="array" ref="K36:K36">IFERROR(INDEX(통합!$C$1:$C$400,SMALL(IF(통합!$F$1:$F$400="2호차",ROW(통합!$F$1:$F$400)),33)),"")</f>
        <v/>
      </c>
      <c r="L36" s="42" t="n"/>
      <c r="M36" s="42" t="n"/>
    </row>
    <row r="37" ht="21.75" customHeight="1" s="33">
      <c r="A37" s="43" t="n">
        <v>34</v>
      </c>
      <c r="B37" s="44">
        <f t="array" ref="B37:B37">IFERROR(INDEX(통합!$A$1:$A$400,SMALL(IF(통합!$E$1:$E$400="2호차",ROW(통합!$E$1:$E$400)),34)),"")</f>
        <v/>
      </c>
      <c r="C37" s="44">
        <f t="array" ref="C37:C37">IFERROR(INDEX(통합!$B$1:$B$400,SMALL(IF(통합!$E$1:$E$400="2호차",ROW(통합!$E$1:$E$400)),34)),"")</f>
        <v/>
      </c>
      <c r="D37" s="44">
        <f t="array" ref="D37:D37">IFERROR(INDEX(통합!$C$1:$C$400,SMALL(IF(통합!$E$1:$E$400="2호차",ROW(통합!$E$1:$E$400)),34)),"")</f>
        <v/>
      </c>
      <c r="E37" s="44" t="n"/>
      <c r="F37" s="44" t="n"/>
      <c r="H37" s="43" t="n">
        <v>34</v>
      </c>
      <c r="I37" s="44">
        <f t="array" ref="I37:I37">IFERROR(INDEX(통합!$A$1:$A$400,SMALL(IF(통합!$F$1:$F$400="2호차",ROW(통합!$F$1:$F$400)),34)),"")</f>
        <v/>
      </c>
      <c r="J37" s="44">
        <f t="array" ref="J37:J37">IFERROR(INDEX(통합!$B$1:$B$400,SMALL(IF(통합!$F$1:$F$400="2호차",ROW(통합!$F$1:$F$400)),34)),"")</f>
        <v/>
      </c>
      <c r="K37" s="44">
        <f t="array" ref="K37:K37">IFERROR(INDEX(통합!$C$1:$C$400,SMALL(IF(통합!$F$1:$F$400="2호차",ROW(통합!$F$1:$F$400)),34)),"")</f>
        <v/>
      </c>
      <c r="L37" s="44" t="n"/>
      <c r="M37" s="44" t="n"/>
    </row>
    <row r="38" ht="21.75" customHeight="1" s="33">
      <c r="A38" s="41" t="n">
        <v>35</v>
      </c>
      <c r="B38" s="42">
        <f t="array" ref="B38:B38">IFERROR(INDEX(통합!$A$1:$A$400,SMALL(IF(통합!$E$1:$E$400="2호차",ROW(통합!$E$1:$E$400)),35)),"")</f>
        <v/>
      </c>
      <c r="C38" s="42">
        <f t="array" ref="C38:C38">IFERROR(INDEX(통합!$B$1:$B$400,SMALL(IF(통합!$E$1:$E$400="2호차",ROW(통합!$E$1:$E$400)),35)),"")</f>
        <v/>
      </c>
      <c r="D38" s="42">
        <f t="array" ref="D38:D38">IFERROR(INDEX(통합!$C$1:$C$400,SMALL(IF(통합!$E$1:$E$400="2호차",ROW(통합!$E$1:$E$400)),35)),"")</f>
        <v/>
      </c>
      <c r="E38" s="42" t="n"/>
      <c r="F38" s="42" t="n"/>
      <c r="H38" s="41" t="n">
        <v>35</v>
      </c>
      <c r="I38" s="42">
        <f t="array" ref="I38:I38">IFERROR(INDEX(통합!$A$1:$A$400,SMALL(IF(통합!$F$1:$F$400="2호차",ROW(통합!$F$1:$F$400)),35)),"")</f>
        <v/>
      </c>
      <c r="J38" s="42">
        <f t="array" ref="J38:J38">IFERROR(INDEX(통합!$B$1:$B$400,SMALL(IF(통합!$F$1:$F$400="2호차",ROW(통합!$F$1:$F$400)),35)),"")</f>
        <v/>
      </c>
      <c r="K38" s="42">
        <f t="array" ref="K38:K38">IFERROR(INDEX(통합!$C$1:$C$400,SMALL(IF(통합!$F$1:$F$400="2호차",ROW(통합!$F$1:$F$400)),35)),"")</f>
        <v/>
      </c>
      <c r="L38" s="42" t="n"/>
      <c r="M38" s="42" t="n"/>
    </row>
    <row r="39" ht="21.75" customHeight="1" s="33">
      <c r="A39" s="43" t="n">
        <v>36</v>
      </c>
      <c r="B39" s="44">
        <f t="array" ref="B39:B39">IFERROR(INDEX(통합!$A$1:$A$400,SMALL(IF(통합!$E$1:$E$400="2호차",ROW(통합!$E$1:$E$400)),36)),"")</f>
        <v/>
      </c>
      <c r="C39" s="44">
        <f t="array" ref="C39:C39">IFERROR(INDEX(통합!$B$1:$B$400,SMALL(IF(통합!$E$1:$E$400="2호차",ROW(통합!$E$1:$E$400)),36)),"")</f>
        <v/>
      </c>
      <c r="D39" s="44">
        <f t="array" ref="D39:D39">IFERROR(INDEX(통합!$C$1:$C$400,SMALL(IF(통합!$E$1:$E$400="2호차",ROW(통합!$E$1:$E$400)),36)),"")</f>
        <v/>
      </c>
      <c r="E39" s="44" t="n"/>
      <c r="F39" s="44" t="n"/>
      <c r="H39" s="43" t="n">
        <v>36</v>
      </c>
      <c r="I39" s="44">
        <f t="array" ref="I39:I39">IFERROR(INDEX(통합!$A$1:$A$400,SMALL(IF(통합!$F$1:$F$400="2호차",ROW(통합!$F$1:$F$400)),36)),"")</f>
        <v/>
      </c>
      <c r="J39" s="44">
        <f t="array" ref="J39:J39">IFERROR(INDEX(통합!$B$1:$B$400,SMALL(IF(통합!$F$1:$F$400="2호차",ROW(통합!$F$1:$F$400)),36)),"")</f>
        <v/>
      </c>
      <c r="K39" s="44">
        <f t="array" ref="K39:K39">IFERROR(INDEX(통합!$C$1:$C$400,SMALL(IF(통합!$F$1:$F$400="2호차",ROW(통합!$F$1:$F$400)),36)),"")</f>
        <v/>
      </c>
      <c r="L39" s="44" t="n"/>
      <c r="M39" s="44" t="n"/>
    </row>
    <row r="40" ht="21.75" customHeight="1" s="33">
      <c r="A40" s="41" t="n">
        <v>37</v>
      </c>
      <c r="B40" s="42">
        <f t="array" ref="B40:B40">IFERROR(INDEX(통합!$A$1:$A$400,SMALL(IF(통합!$E$1:$E$400="2호차",ROW(통합!$E$1:$E$400)),37)),"")</f>
        <v/>
      </c>
      <c r="C40" s="42">
        <f t="array" ref="C40:C40">IFERROR(INDEX(통합!$B$1:$B$400,SMALL(IF(통합!$E$1:$E$400="2호차",ROW(통합!$E$1:$E$400)),37)),"")</f>
        <v/>
      </c>
      <c r="D40" s="42">
        <f t="array" ref="D40:D40">IFERROR(INDEX(통합!$C$1:$C$400,SMALL(IF(통합!$E$1:$E$400="2호차",ROW(통합!$E$1:$E$400)),37)),"")</f>
        <v/>
      </c>
      <c r="E40" s="42" t="n"/>
      <c r="F40" s="42" t="n"/>
      <c r="H40" s="41" t="n">
        <v>37</v>
      </c>
      <c r="I40" s="42">
        <f t="array" ref="I40:I40">IFERROR(INDEX(통합!$A$1:$A$400,SMALL(IF(통합!$F$1:$F$400="2호차",ROW(통합!$F$1:$F$400)),37)),"")</f>
        <v/>
      </c>
      <c r="J40" s="42">
        <f t="array" ref="J40:J40">IFERROR(INDEX(통합!$B$1:$B$400,SMALL(IF(통합!$F$1:$F$400="2호차",ROW(통합!$F$1:$F$400)),37)),"")</f>
        <v/>
      </c>
      <c r="K40" s="42">
        <f t="array" ref="K40:K40">IFERROR(INDEX(통합!$C$1:$C$400,SMALL(IF(통합!$F$1:$F$400="2호차",ROW(통합!$F$1:$F$400)),37)),"")</f>
        <v/>
      </c>
      <c r="L40" s="42" t="n"/>
      <c r="M40" s="42" t="n"/>
    </row>
    <row r="41" ht="21.75" customHeight="1" s="33">
      <c r="A41" s="43" t="n">
        <v>38</v>
      </c>
      <c r="B41" s="44">
        <f t="array" ref="B41:B41">IFERROR(INDEX(통합!$A$1:$A$400,SMALL(IF(통합!$E$1:$E$400="2호차",ROW(통합!$E$1:$E$400)),38)),"")</f>
        <v/>
      </c>
      <c r="C41" s="44">
        <f t="array" ref="C41:C41">IFERROR(INDEX(통합!$B$1:$B$400,SMALL(IF(통합!$E$1:$E$400="2호차",ROW(통합!$E$1:$E$400)),38)),"")</f>
        <v/>
      </c>
      <c r="D41" s="44">
        <f t="array" ref="D41:D41">IFERROR(INDEX(통합!$C$1:$C$400,SMALL(IF(통합!$E$1:$E$400="2호차",ROW(통합!$E$1:$E$400)),38)),"")</f>
        <v/>
      </c>
      <c r="E41" s="44" t="n"/>
      <c r="F41" s="44" t="n"/>
      <c r="H41" s="43" t="n">
        <v>38</v>
      </c>
      <c r="I41" s="44">
        <f t="array" ref="I41:I41">IFERROR(INDEX(통합!$A$1:$A$400,SMALL(IF(통합!$F$1:$F$400="2호차",ROW(통합!$F$1:$F$400)),38)),"")</f>
        <v/>
      </c>
      <c r="J41" s="44">
        <f t="array" ref="J41:J41">IFERROR(INDEX(통합!$B$1:$B$400,SMALL(IF(통합!$F$1:$F$400="2호차",ROW(통합!$F$1:$F$400)),38)),"")</f>
        <v/>
      </c>
      <c r="K41" s="44">
        <f t="array" ref="K41:K41">IFERROR(INDEX(통합!$C$1:$C$400,SMALL(IF(통합!$F$1:$F$400="2호차",ROW(통합!$F$1:$F$400)),38)),"")</f>
        <v/>
      </c>
      <c r="L41" s="44" t="n"/>
      <c r="M41" s="44" t="n"/>
    </row>
    <row r="42" ht="21.75" customHeight="1" s="33">
      <c r="A42" s="41" t="n">
        <v>39</v>
      </c>
      <c r="B42" s="42">
        <f t="array" ref="B42:B42">IFERROR(INDEX(통합!$A$1:$A$400,SMALL(IF(통합!$E$1:$E$400="2호차",ROW(통합!$E$1:$E$400)),39)),"")</f>
        <v/>
      </c>
      <c r="C42" s="42">
        <f t="array" ref="C42:C42">IFERROR(INDEX(통합!$B$1:$B$400,SMALL(IF(통합!$E$1:$E$400="2호차",ROW(통합!$E$1:$E$400)),39)),"")</f>
        <v/>
      </c>
      <c r="D42" s="42">
        <f t="array" ref="D42:D42">IFERROR(INDEX(통합!$C$1:$C$400,SMALL(IF(통합!$E$1:$E$400="2호차",ROW(통합!$E$1:$E$400)),39)),"")</f>
        <v/>
      </c>
      <c r="E42" s="42" t="n"/>
      <c r="F42" s="42" t="n"/>
      <c r="H42" s="41" t="n">
        <v>39</v>
      </c>
      <c r="I42" s="42">
        <f t="array" ref="I42:I42">IFERROR(INDEX(통합!$A$1:$A$400,SMALL(IF(통합!$F$1:$F$400="2호차",ROW(통합!$F$1:$F$400)),39)),"")</f>
        <v/>
      </c>
      <c r="J42" s="42">
        <f t="array" ref="J42:J42">IFERROR(INDEX(통합!$B$1:$B$400,SMALL(IF(통합!$F$1:$F$400="2호차",ROW(통합!$F$1:$F$400)),39)),"")</f>
        <v/>
      </c>
      <c r="K42" s="42">
        <f t="array" ref="K42:K42">IFERROR(INDEX(통합!$C$1:$C$400,SMALL(IF(통합!$F$1:$F$400="2호차",ROW(통합!$F$1:$F$400)),39)),"")</f>
        <v/>
      </c>
      <c r="L42" s="42" t="n"/>
      <c r="M42" s="42" t="n"/>
    </row>
    <row r="43" ht="21.75" customHeight="1" s="33">
      <c r="A43" s="43" t="n">
        <v>40</v>
      </c>
      <c r="B43" s="44">
        <f t="array" ref="B43:B43">IFERROR(INDEX(통합!$A$1:$A$400,SMALL(IF(통합!$E$1:$E$400="2호차",ROW(통합!$E$1:$E$400)),40)),"")</f>
        <v/>
      </c>
      <c r="C43" s="44">
        <f t="array" ref="C43:C43">IFERROR(INDEX(통합!$B$1:$B$400,SMALL(IF(통합!$E$1:$E$400="2호차",ROW(통합!$E$1:$E$400)),40)),"")</f>
        <v/>
      </c>
      <c r="D43" s="44">
        <f t="array" ref="D43:D43">IFERROR(INDEX(통합!$C$1:$C$400,SMALL(IF(통합!$E$1:$E$400="2호차",ROW(통합!$E$1:$E$400)),40)),"")</f>
        <v/>
      </c>
      <c r="E43" s="44" t="n"/>
      <c r="F43" s="44" t="n"/>
      <c r="H43" s="43" t="n">
        <v>40</v>
      </c>
      <c r="I43" s="44">
        <f t="array" ref="I43:I43">IFERROR(INDEX(통합!$A$1:$A$400,SMALL(IF(통합!$F$1:$F$400="2호차",ROW(통합!$F$1:$F$400)),40)),"")</f>
        <v/>
      </c>
      <c r="J43" s="44">
        <f t="array" ref="J43:J43">IFERROR(INDEX(통합!$B$1:$B$400,SMALL(IF(통합!$F$1:$F$400="2호차",ROW(통합!$F$1:$F$400)),40)),"")</f>
        <v/>
      </c>
      <c r="K43" s="44">
        <f t="array" ref="K43:K43">IFERROR(INDEX(통합!$C$1:$C$400,SMALL(IF(통합!$F$1:$F$400="2호차",ROW(통합!$F$1:$F$400)),40)),"")</f>
        <v/>
      </c>
      <c r="L43" s="44" t="n"/>
      <c r="M43" s="44" t="n"/>
    </row>
    <row r="44" ht="21.75" customHeight="1" s="33">
      <c r="A44" s="41" t="n">
        <v>41</v>
      </c>
      <c r="B44" s="42">
        <f t="array" ref="B44:B44">IFERROR(INDEX(통합!$A$1:$A$400,SMALL(IF(통합!$E$1:$E$400="2호차",ROW(통합!$E$1:$E$400)),41)),"")</f>
        <v/>
      </c>
      <c r="C44" s="42">
        <f t="array" ref="C44:C44">IFERROR(INDEX(통합!$B$1:$B$400,SMALL(IF(통합!$E$1:$E$400="2호차",ROW(통합!$E$1:$E$400)),41)),"")</f>
        <v/>
      </c>
      <c r="D44" s="42">
        <f t="array" ref="D44:D44">IFERROR(INDEX(통합!$C$1:$C$400,SMALL(IF(통합!$E$1:$E$400="2호차",ROW(통합!$E$1:$E$400)),41)),"")</f>
        <v/>
      </c>
      <c r="E44" s="42" t="n"/>
      <c r="F44" s="42" t="n"/>
      <c r="H44" s="41" t="n">
        <v>41</v>
      </c>
      <c r="I44" s="42">
        <f t="array" ref="I44:I44">IFERROR(INDEX(통합!$A$1:$A$400,SMALL(IF(통합!$F$1:$F$400="2호차",ROW(통합!$F$1:$F$400)),41)),"")</f>
        <v/>
      </c>
      <c r="J44" s="42">
        <f t="array" ref="J44:J44">IFERROR(INDEX(통합!$B$1:$B$400,SMALL(IF(통합!$F$1:$F$400="2호차",ROW(통합!$F$1:$F$400)),41)),"")</f>
        <v/>
      </c>
      <c r="K44" s="42">
        <f t="array" ref="K44:K44">IFERROR(INDEX(통합!$C$1:$C$400,SMALL(IF(통합!$F$1:$F$400="2호차",ROW(통합!$F$1:$F$400)),41)),"")</f>
        <v/>
      </c>
      <c r="L44" s="42" t="n"/>
      <c r="M44" s="42" t="n"/>
    </row>
    <row r="45" ht="21.75" customHeight="1" s="33">
      <c r="A45" s="43" t="n">
        <v>42</v>
      </c>
      <c r="B45" s="44">
        <f t="array" ref="B45:B45">IFERROR(INDEX(통합!$A$1:$A$400,SMALL(IF(통합!$E$1:$E$400="2호차",ROW(통합!$E$1:$E$400)),42)),"")</f>
        <v/>
      </c>
      <c r="C45" s="44">
        <f t="array" ref="C45:C45">IFERROR(INDEX(통합!$B$1:$B$400,SMALL(IF(통합!$E$1:$E$400="2호차",ROW(통합!$E$1:$E$400)),42)),"")</f>
        <v/>
      </c>
      <c r="D45" s="44">
        <f t="array" ref="D45:D45">IFERROR(INDEX(통합!$C$1:$C$400,SMALL(IF(통합!$E$1:$E$400="2호차",ROW(통합!$E$1:$E$400)),42)),"")</f>
        <v/>
      </c>
      <c r="E45" s="44" t="n"/>
      <c r="F45" s="44" t="n"/>
      <c r="H45" s="43" t="n">
        <v>42</v>
      </c>
      <c r="I45" s="44">
        <f t="array" ref="I45:I45">IFERROR(INDEX(통합!$A$1:$A$400,SMALL(IF(통합!$F$1:$F$400="2호차",ROW(통합!$F$1:$F$400)),42)),"")</f>
        <v/>
      </c>
      <c r="J45" s="44">
        <f t="array" ref="J45:J45">IFERROR(INDEX(통합!$B$1:$B$400,SMALL(IF(통합!$F$1:$F$400="2호차",ROW(통합!$F$1:$F$400)),42)),"")</f>
        <v/>
      </c>
      <c r="K45" s="44">
        <f t="array" ref="K45:K45">IFERROR(INDEX(통합!$C$1:$C$400,SMALL(IF(통합!$F$1:$F$400="2호차",ROW(통합!$F$1:$F$400)),42)),"")</f>
        <v/>
      </c>
      <c r="L45" s="44" t="n"/>
      <c r="M45" s="44" t="n"/>
    </row>
    <row r="46" ht="21.75" customHeight="1" s="33">
      <c r="A46" s="41" t="n">
        <v>43</v>
      </c>
      <c r="B46" s="42">
        <f t="array" ref="B46:B46">IFERROR(INDEX(통합!$A$1:$A$400,SMALL(IF(통합!$E$1:$E$400="2호차",ROW(통합!$E$1:$E$400)),43)),"")</f>
        <v/>
      </c>
      <c r="C46" s="42">
        <f t="array" ref="C46:C46">IFERROR(INDEX(통합!$B$1:$B$400,SMALL(IF(통합!$E$1:$E$400="2호차",ROW(통합!$E$1:$E$400)),43)),"")</f>
        <v/>
      </c>
      <c r="D46" s="42">
        <f t="array" ref="D46:D46">IFERROR(INDEX(통합!$C$1:$C$400,SMALL(IF(통합!$E$1:$E$400="2호차",ROW(통합!$E$1:$E$400)),43)),"")</f>
        <v/>
      </c>
      <c r="E46" s="42" t="n"/>
      <c r="F46" s="42" t="n"/>
      <c r="H46" s="41" t="n">
        <v>43</v>
      </c>
      <c r="I46" s="42">
        <f t="array" ref="I46:I46">IFERROR(INDEX(통합!$A$1:$A$400,SMALL(IF(통합!$F$1:$F$400="2호차",ROW(통합!$F$1:$F$400)),43)),"")</f>
        <v/>
      </c>
      <c r="J46" s="42">
        <f t="array" ref="J46:J46">IFERROR(INDEX(통합!$B$1:$B$400,SMALL(IF(통합!$F$1:$F$400="2호차",ROW(통합!$F$1:$F$400)),43)),"")</f>
        <v/>
      </c>
      <c r="K46" s="42">
        <f t="array" ref="K46:K46">IFERROR(INDEX(통합!$C$1:$C$400,SMALL(IF(통합!$F$1:$F$400="2호차",ROW(통합!$F$1:$F$400)),43)),"")</f>
        <v/>
      </c>
      <c r="L46" s="42" t="n"/>
      <c r="M46" s="42" t="n"/>
    </row>
    <row r="47" ht="15" customHeight="1" s="33">
      <c r="A47" s="45" t="inlineStr">
        <is>
          <t>합  계</t>
        </is>
      </c>
      <c r="B47" s="35" t="n"/>
      <c r="C47" s="35" t="n"/>
      <c r="D47" s="61">
        <f t="array" ref="D47:D47">IF(SUMPRODUCT((D4:D46&lt;&gt;"")*1)=0,"",SUMPRODUCT((D4:D46&lt;&gt;"")*1))</f>
        <v/>
      </c>
      <c r="E47" s="61" t="n"/>
      <c r="F47" s="61" t="n"/>
      <c r="H47" s="45" t="inlineStr">
        <is>
          <t>합  계</t>
        </is>
      </c>
      <c r="I47" s="35" t="n"/>
      <c r="J47" s="35" t="n"/>
      <c r="K47" s="61">
        <f t="array" ref="K47:K47">IF(SUMPRODUCT((K4:K46&lt;&gt;"")*1)=0,"",SUMPRODUCT((K4:K46&lt;&gt;"")*1))</f>
        <v/>
      </c>
      <c r="L47" s="61" t="n"/>
      <c r="M47" s="61" t="n"/>
    </row>
  </sheetData>
  <mergeCells count="6">
    <mergeCell ref="A2:B2"/>
    <mergeCell ref="H1:M1"/>
    <mergeCell ref="H2:I2"/>
    <mergeCell ref="A47:C47"/>
    <mergeCell ref="A1:F1"/>
    <mergeCell ref="H47:J4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M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5.51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5.51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3호차</t>
        </is>
      </c>
      <c r="B1" s="35" t="n"/>
      <c r="C1" s="35" t="n"/>
      <c r="D1" s="35" t="n"/>
      <c r="E1" s="35" t="n"/>
      <c r="F1" s="35" t="n"/>
      <c r="H1" s="47" t="inlineStr">
        <is>
          <t>하행  3호차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H2" s="63" t="inlineStr">
        <is>
          <t>선탑자:</t>
        </is>
      </c>
      <c r="I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>
        <f t="array" ref="B4:B4">IFERROR(INDEX(통합!$A$1:$A$400,SMALL(IF(통합!$E$1:$E$400="3호차",ROW(통합!$E$1:$E$400)),1)),"")</f>
        <v/>
      </c>
      <c r="C4" s="42">
        <f t="array" ref="C4:C4">IFERROR(INDEX(통합!$B$1:$B$400,SMALL(IF(통합!$E$1:$E$400="3호차",ROW(통합!$E$1:$E$400)),1)),"")</f>
        <v/>
      </c>
      <c r="D4" s="42">
        <f t="array" ref="D4:D4">IFERROR(INDEX(통합!$C$1:$C$400,SMALL(IF(통합!$E$1:$E$400="3호차",ROW(통합!$E$1:$E$400)),1)),"")</f>
        <v/>
      </c>
      <c r="E4" s="42" t="n"/>
      <c r="F4" s="42" t="n"/>
      <c r="H4" s="41" t="n">
        <v>1</v>
      </c>
      <c r="I4" s="42">
        <f t="array" ref="I4:I4">IFERROR(INDEX(통합!$A$1:$A$400,SMALL(IF(통합!$F$1:$F$400="3호차",ROW(통합!$F$1:$F$400)),1)),"")</f>
        <v/>
      </c>
      <c r="J4" s="42">
        <f t="array" ref="J4:J4">IFERROR(INDEX(통합!$B$1:$B$400,SMALL(IF(통합!$F$1:$F$400="3호차",ROW(통합!$F$1:$F$400)),1)),"")</f>
        <v/>
      </c>
      <c r="K4" s="42">
        <f t="array" ref="K4:K4">IFERROR(INDEX(통합!$C$1:$C$400,SMALL(IF(통합!$F$1:$F$400="3호차",ROW(통합!$F$1:$F$400)),1)),"")</f>
        <v/>
      </c>
      <c r="L4" s="42" t="n"/>
      <c r="M4" s="42" t="n"/>
    </row>
    <row r="5" ht="21.75" customHeight="1" s="33">
      <c r="A5" s="43" t="n">
        <v>2</v>
      </c>
      <c r="B5" s="44">
        <f t="array" ref="B5:B5">IFERROR(INDEX(통합!$A$1:$A$400,SMALL(IF(통합!$E$1:$E$400="3호차",ROW(통합!$E$1:$E$400)),2)),"")</f>
        <v/>
      </c>
      <c r="C5" s="44">
        <f t="array" ref="C5:C5">IFERROR(INDEX(통합!$B$1:$B$400,SMALL(IF(통합!$E$1:$E$400="3호차",ROW(통합!$E$1:$E$400)),2)),"")</f>
        <v/>
      </c>
      <c r="D5" s="44">
        <f t="array" ref="D5:D5">IFERROR(INDEX(통합!$C$1:$C$400,SMALL(IF(통합!$E$1:$E$400="3호차",ROW(통합!$E$1:$E$400)),2)),"")</f>
        <v/>
      </c>
      <c r="E5" s="44" t="n"/>
      <c r="F5" s="44" t="n"/>
      <c r="H5" s="43" t="n">
        <v>2</v>
      </c>
      <c r="I5" s="44">
        <f t="array" ref="I5:I5">IFERROR(INDEX(통합!$A$1:$A$400,SMALL(IF(통합!$F$1:$F$400="3호차",ROW(통합!$F$1:$F$400)),2)),"")</f>
        <v/>
      </c>
      <c r="J5" s="44">
        <f t="array" ref="J5:J5">IFERROR(INDEX(통합!$B$1:$B$400,SMALL(IF(통합!$F$1:$F$400="3호차",ROW(통합!$F$1:$F$400)),2)),"")</f>
        <v/>
      </c>
      <c r="K5" s="44">
        <f t="array" ref="K5:K5">IFERROR(INDEX(통합!$C$1:$C$400,SMALL(IF(통합!$F$1:$F$400="3호차",ROW(통합!$F$1:$F$400)),2)),"")</f>
        <v/>
      </c>
      <c r="L5" s="44" t="n"/>
      <c r="M5" s="44" t="n"/>
    </row>
    <row r="6" ht="21.75" customHeight="1" s="33">
      <c r="A6" s="41" t="n">
        <v>3</v>
      </c>
      <c r="B6" s="42">
        <f t="array" ref="B6:B6">IFERROR(INDEX(통합!$A$1:$A$400,SMALL(IF(통합!$E$1:$E$400="3호차",ROW(통합!$E$1:$E$400)),3)),"")</f>
        <v/>
      </c>
      <c r="C6" s="42">
        <f t="array" ref="C6:C6">IFERROR(INDEX(통합!$B$1:$B$400,SMALL(IF(통합!$E$1:$E$400="3호차",ROW(통합!$E$1:$E$400)),3)),"")</f>
        <v/>
      </c>
      <c r="D6" s="42">
        <f t="array" ref="D6:D6">IFERROR(INDEX(통합!$C$1:$C$400,SMALL(IF(통합!$E$1:$E$400="3호차",ROW(통합!$E$1:$E$400)),3)),"")</f>
        <v/>
      </c>
      <c r="E6" s="42" t="n"/>
      <c r="F6" s="42" t="n"/>
      <c r="H6" s="41" t="n">
        <v>3</v>
      </c>
      <c r="I6" s="42">
        <f t="array" ref="I6:I6">IFERROR(INDEX(통합!$A$1:$A$400,SMALL(IF(통합!$F$1:$F$400="3호차",ROW(통합!$F$1:$F$400)),3)),"")</f>
        <v/>
      </c>
      <c r="J6" s="42">
        <f t="array" ref="J6:J6">IFERROR(INDEX(통합!$B$1:$B$400,SMALL(IF(통합!$F$1:$F$400="3호차",ROW(통합!$F$1:$F$400)),3)),"")</f>
        <v/>
      </c>
      <c r="K6" s="42">
        <f t="array" ref="K6:K6">IFERROR(INDEX(통합!$C$1:$C$400,SMALL(IF(통합!$F$1:$F$400="3호차",ROW(통합!$F$1:$F$400)),3)),"")</f>
        <v/>
      </c>
      <c r="L6" s="42" t="n"/>
      <c r="M6" s="42" t="n"/>
    </row>
    <row r="7" ht="21.75" customHeight="1" s="33">
      <c r="A7" s="43" t="n">
        <v>4</v>
      </c>
      <c r="B7" s="44">
        <f t="array" ref="B7:B7">IFERROR(INDEX(통합!$A$1:$A$400,SMALL(IF(통합!$E$1:$E$400="3호차",ROW(통합!$E$1:$E$400)),4)),"")</f>
        <v/>
      </c>
      <c r="C7" s="44">
        <f t="array" ref="C7:C7">IFERROR(INDEX(통합!$B$1:$B$400,SMALL(IF(통합!$E$1:$E$400="3호차",ROW(통합!$E$1:$E$400)),4)),"")</f>
        <v/>
      </c>
      <c r="D7" s="44">
        <f t="array" ref="D7:D7">IFERROR(INDEX(통합!$C$1:$C$400,SMALL(IF(통합!$E$1:$E$400="3호차",ROW(통합!$E$1:$E$400)),4)),"")</f>
        <v/>
      </c>
      <c r="E7" s="44" t="n"/>
      <c r="F7" s="44" t="n"/>
      <c r="H7" s="43" t="n">
        <v>4</v>
      </c>
      <c r="I7" s="44">
        <f t="array" ref="I7:I7">IFERROR(INDEX(통합!$A$1:$A$400,SMALL(IF(통합!$F$1:$F$400="3호차",ROW(통합!$F$1:$F$400)),4)),"")</f>
        <v/>
      </c>
      <c r="J7" s="44">
        <f t="array" ref="J7:J7">IFERROR(INDEX(통합!$B$1:$B$400,SMALL(IF(통합!$F$1:$F$400="3호차",ROW(통합!$F$1:$F$400)),4)),"")</f>
        <v/>
      </c>
      <c r="K7" s="44">
        <f t="array" ref="K7:K7">IFERROR(INDEX(통합!$C$1:$C$400,SMALL(IF(통합!$F$1:$F$400="3호차",ROW(통합!$F$1:$F$400)),4)),"")</f>
        <v/>
      </c>
      <c r="L7" s="44" t="n"/>
      <c r="M7" s="44" t="n"/>
    </row>
    <row r="8" ht="21.75" customHeight="1" s="33">
      <c r="A8" s="41" t="n">
        <v>5</v>
      </c>
      <c r="B8" s="42">
        <f t="array" ref="B8:B8">IFERROR(INDEX(통합!$A$1:$A$400,SMALL(IF(통합!$E$1:$E$400="3호차",ROW(통합!$E$1:$E$400)),5)),"")</f>
        <v/>
      </c>
      <c r="C8" s="42">
        <f t="array" ref="C8:C8">IFERROR(INDEX(통합!$B$1:$B$400,SMALL(IF(통합!$E$1:$E$400="3호차",ROW(통합!$E$1:$E$400)),5)),"")</f>
        <v/>
      </c>
      <c r="D8" s="42">
        <f t="array" ref="D8:D8">IFERROR(INDEX(통합!$C$1:$C$400,SMALL(IF(통합!$E$1:$E$400="3호차",ROW(통합!$E$1:$E$400)),5)),"")</f>
        <v/>
      </c>
      <c r="E8" s="42" t="n"/>
      <c r="F8" s="42" t="n"/>
      <c r="H8" s="41" t="n">
        <v>5</v>
      </c>
      <c r="I8" s="42">
        <f t="array" ref="I8:I8">IFERROR(INDEX(통합!$A$1:$A$400,SMALL(IF(통합!$F$1:$F$400="3호차",ROW(통합!$F$1:$F$400)),5)),"")</f>
        <v/>
      </c>
      <c r="J8" s="42">
        <f t="array" ref="J8:J8">IFERROR(INDEX(통합!$B$1:$B$400,SMALL(IF(통합!$F$1:$F$400="3호차",ROW(통합!$F$1:$F$400)),5)),"")</f>
        <v/>
      </c>
      <c r="K8" s="42">
        <f t="array" ref="K8:K8">IFERROR(INDEX(통합!$C$1:$C$400,SMALL(IF(통합!$F$1:$F$400="3호차",ROW(통합!$F$1:$F$400)),5)),"")</f>
        <v/>
      </c>
      <c r="L8" s="42" t="n"/>
      <c r="M8" s="42" t="n"/>
    </row>
    <row r="9" ht="21.75" customHeight="1" s="33">
      <c r="A9" s="43" t="n">
        <v>6</v>
      </c>
      <c r="B9" s="44">
        <f t="array" ref="B9:B9">IFERROR(INDEX(통합!$A$1:$A$400,SMALL(IF(통합!$E$1:$E$400="3호차",ROW(통합!$E$1:$E$400)),6)),"")</f>
        <v/>
      </c>
      <c r="C9" s="44">
        <f t="array" ref="C9:C9">IFERROR(INDEX(통합!$B$1:$B$400,SMALL(IF(통합!$E$1:$E$400="3호차",ROW(통합!$E$1:$E$400)),6)),"")</f>
        <v/>
      </c>
      <c r="D9" s="44">
        <f t="array" ref="D9:D9">IFERROR(INDEX(통합!$C$1:$C$400,SMALL(IF(통합!$E$1:$E$400="3호차",ROW(통합!$E$1:$E$400)),6)),"")</f>
        <v/>
      </c>
      <c r="E9" s="44" t="n"/>
      <c r="F9" s="44" t="n"/>
      <c r="H9" s="43" t="n">
        <v>6</v>
      </c>
      <c r="I9" s="44">
        <f t="array" ref="I9:I9">IFERROR(INDEX(통합!$A$1:$A$400,SMALL(IF(통합!$F$1:$F$400="3호차",ROW(통합!$F$1:$F$400)),6)),"")</f>
        <v/>
      </c>
      <c r="J9" s="44">
        <f t="array" ref="J9:J9">IFERROR(INDEX(통합!$B$1:$B$400,SMALL(IF(통합!$F$1:$F$400="3호차",ROW(통합!$F$1:$F$400)),6)),"")</f>
        <v/>
      </c>
      <c r="K9" s="44">
        <f t="array" ref="K9:K9">IFERROR(INDEX(통합!$C$1:$C$400,SMALL(IF(통합!$F$1:$F$400="3호차",ROW(통합!$F$1:$F$400)),6)),"")</f>
        <v/>
      </c>
      <c r="L9" s="44" t="n"/>
      <c r="M9" s="44" t="n"/>
    </row>
    <row r="10" ht="21.75" customHeight="1" s="33">
      <c r="A10" s="41" t="n">
        <v>7</v>
      </c>
      <c r="B10" s="42">
        <f t="array" ref="B10:B10">IFERROR(INDEX(통합!$A$1:$A$400,SMALL(IF(통합!$E$1:$E$400="3호차",ROW(통합!$E$1:$E$400)),7)),"")</f>
        <v/>
      </c>
      <c r="C10" s="42">
        <f t="array" ref="C10:C10">IFERROR(INDEX(통합!$B$1:$B$400,SMALL(IF(통합!$E$1:$E$400="3호차",ROW(통합!$E$1:$E$400)),7)),"")</f>
        <v/>
      </c>
      <c r="D10" s="42">
        <f t="array" ref="D10:D10">IFERROR(INDEX(통합!$C$1:$C$400,SMALL(IF(통합!$E$1:$E$400="3호차",ROW(통합!$E$1:$E$400)),7)),"")</f>
        <v/>
      </c>
      <c r="E10" s="42" t="n"/>
      <c r="F10" s="42" t="n"/>
      <c r="H10" s="41" t="n">
        <v>7</v>
      </c>
      <c r="I10" s="42">
        <f t="array" ref="I10:I10">IFERROR(INDEX(통합!$A$1:$A$400,SMALL(IF(통합!$F$1:$F$400="3호차",ROW(통합!$F$1:$F$400)),7)),"")</f>
        <v/>
      </c>
      <c r="J10" s="42">
        <f t="array" ref="J10:J10">IFERROR(INDEX(통합!$B$1:$B$400,SMALL(IF(통합!$F$1:$F$400="3호차",ROW(통합!$F$1:$F$400)),7)),"")</f>
        <v/>
      </c>
      <c r="K10" s="42">
        <f t="array" ref="K10:K10">IFERROR(INDEX(통합!$C$1:$C$400,SMALL(IF(통합!$F$1:$F$400="3호차",ROW(통합!$F$1:$F$400)),7)),"")</f>
        <v/>
      </c>
      <c r="L10" s="42" t="n"/>
      <c r="M10" s="42" t="n"/>
    </row>
    <row r="11" ht="21.75" customHeight="1" s="33">
      <c r="A11" s="43" t="n">
        <v>8</v>
      </c>
      <c r="B11" s="44">
        <f t="array" ref="B11:B11">IFERROR(INDEX(통합!$A$1:$A$400,SMALL(IF(통합!$E$1:$E$400="3호차",ROW(통합!$E$1:$E$400)),8)),"")</f>
        <v/>
      </c>
      <c r="C11" s="44">
        <f t="array" ref="C11:C11">IFERROR(INDEX(통합!$B$1:$B$400,SMALL(IF(통합!$E$1:$E$400="3호차",ROW(통합!$E$1:$E$400)),8)),"")</f>
        <v/>
      </c>
      <c r="D11" s="44">
        <f t="array" ref="D11:D11">IFERROR(INDEX(통합!$C$1:$C$400,SMALL(IF(통합!$E$1:$E$400="3호차",ROW(통합!$E$1:$E$400)),8)),"")</f>
        <v/>
      </c>
      <c r="E11" s="44" t="n"/>
      <c r="F11" s="44" t="n"/>
      <c r="H11" s="43" t="n">
        <v>8</v>
      </c>
      <c r="I11" s="44">
        <f t="array" ref="I11:I11">IFERROR(INDEX(통합!$A$1:$A$400,SMALL(IF(통합!$F$1:$F$400="3호차",ROW(통합!$F$1:$F$400)),8)),"")</f>
        <v/>
      </c>
      <c r="J11" s="44">
        <f t="array" ref="J11:J11">IFERROR(INDEX(통합!$B$1:$B$400,SMALL(IF(통합!$F$1:$F$400="3호차",ROW(통합!$F$1:$F$400)),8)),"")</f>
        <v/>
      </c>
      <c r="K11" s="44">
        <f t="array" ref="K11:K11">IFERROR(INDEX(통합!$C$1:$C$400,SMALL(IF(통합!$F$1:$F$400="3호차",ROW(통합!$F$1:$F$400)),8)),"")</f>
        <v/>
      </c>
      <c r="L11" s="44" t="n"/>
      <c r="M11" s="44" t="n"/>
    </row>
    <row r="12" ht="21.75" customHeight="1" s="33">
      <c r="A12" s="41" t="n">
        <v>9</v>
      </c>
      <c r="B12" s="42">
        <f t="array" ref="B12:B12">IFERROR(INDEX(통합!$A$1:$A$400,SMALL(IF(통합!$E$1:$E$400="3호차",ROW(통합!$E$1:$E$400)),9)),"")</f>
        <v/>
      </c>
      <c r="C12" s="42">
        <f t="array" ref="C12:C12">IFERROR(INDEX(통합!$B$1:$B$400,SMALL(IF(통합!$E$1:$E$400="3호차",ROW(통합!$E$1:$E$400)),9)),"")</f>
        <v/>
      </c>
      <c r="D12" s="42">
        <f t="array" ref="D12:D12">IFERROR(INDEX(통합!$C$1:$C$400,SMALL(IF(통합!$E$1:$E$400="3호차",ROW(통합!$E$1:$E$400)),9)),"")</f>
        <v/>
      </c>
      <c r="E12" s="42" t="n"/>
      <c r="F12" s="42" t="n"/>
      <c r="H12" s="41" t="n">
        <v>9</v>
      </c>
      <c r="I12" s="42">
        <f t="array" ref="I12:I12">IFERROR(INDEX(통합!$A$1:$A$400,SMALL(IF(통합!$F$1:$F$400="3호차",ROW(통합!$F$1:$F$400)),9)),"")</f>
        <v/>
      </c>
      <c r="J12" s="42">
        <f t="array" ref="J12:J12">IFERROR(INDEX(통합!$B$1:$B$400,SMALL(IF(통합!$F$1:$F$400="3호차",ROW(통합!$F$1:$F$400)),9)),"")</f>
        <v/>
      </c>
      <c r="K12" s="42">
        <f t="array" ref="K12:K12">IFERROR(INDEX(통합!$C$1:$C$400,SMALL(IF(통합!$F$1:$F$400="3호차",ROW(통합!$F$1:$F$400)),9)),"")</f>
        <v/>
      </c>
      <c r="L12" s="42" t="n"/>
      <c r="M12" s="42" t="n"/>
    </row>
    <row r="13" ht="21.75" customHeight="1" s="33">
      <c r="A13" s="43" t="n">
        <v>10</v>
      </c>
      <c r="B13" s="44">
        <f t="array" ref="B13:B13">IFERROR(INDEX(통합!$A$1:$A$400,SMALL(IF(통합!$E$1:$E$400="3호차",ROW(통합!$E$1:$E$400)),10)),"")</f>
        <v/>
      </c>
      <c r="C13" s="44">
        <f t="array" ref="C13:C13">IFERROR(INDEX(통합!$B$1:$B$400,SMALL(IF(통합!$E$1:$E$400="3호차",ROW(통합!$E$1:$E$400)),10)),"")</f>
        <v/>
      </c>
      <c r="D13" s="44">
        <f t="array" ref="D13:D13">IFERROR(INDEX(통합!$C$1:$C$400,SMALL(IF(통합!$E$1:$E$400="3호차",ROW(통합!$E$1:$E$400)),10)),"")</f>
        <v/>
      </c>
      <c r="E13" s="44" t="n"/>
      <c r="F13" s="44" t="n"/>
      <c r="H13" s="43" t="n">
        <v>10</v>
      </c>
      <c r="I13" s="44">
        <f t="array" ref="I13:I13">IFERROR(INDEX(통합!$A$1:$A$400,SMALL(IF(통합!$F$1:$F$400="3호차",ROW(통합!$F$1:$F$400)),10)),"")</f>
        <v/>
      </c>
      <c r="J13" s="44">
        <f t="array" ref="J13:J13">IFERROR(INDEX(통합!$B$1:$B$400,SMALL(IF(통합!$F$1:$F$400="3호차",ROW(통합!$F$1:$F$400)),10)),"")</f>
        <v/>
      </c>
      <c r="K13" s="44">
        <f t="array" ref="K13:K13">IFERROR(INDEX(통합!$C$1:$C$400,SMALL(IF(통합!$F$1:$F$400="3호차",ROW(통합!$F$1:$F$400)),10)),"")</f>
        <v/>
      </c>
      <c r="L13" s="44" t="n"/>
      <c r="M13" s="44" t="n"/>
    </row>
    <row r="14" ht="21.75" customHeight="1" s="33">
      <c r="A14" s="41" t="n">
        <v>11</v>
      </c>
      <c r="B14" s="42">
        <f t="array" ref="B14:B14">IFERROR(INDEX(통합!$A$1:$A$400,SMALL(IF(통합!$E$1:$E$400="3호차",ROW(통합!$E$1:$E$400)),11)),"")</f>
        <v/>
      </c>
      <c r="C14" s="42">
        <f t="array" ref="C14:C14">IFERROR(INDEX(통합!$B$1:$B$400,SMALL(IF(통합!$E$1:$E$400="3호차",ROW(통합!$E$1:$E$400)),11)),"")</f>
        <v/>
      </c>
      <c r="D14" s="42">
        <f t="array" ref="D14:D14">IFERROR(INDEX(통합!$C$1:$C$400,SMALL(IF(통합!$E$1:$E$400="3호차",ROW(통합!$E$1:$E$400)),11)),"")</f>
        <v/>
      </c>
      <c r="E14" s="42" t="n"/>
      <c r="F14" s="42" t="n"/>
      <c r="H14" s="41" t="n">
        <v>11</v>
      </c>
      <c r="I14" s="42">
        <f t="array" ref="I14:I14">IFERROR(INDEX(통합!$A$1:$A$400,SMALL(IF(통합!$F$1:$F$400="3호차",ROW(통합!$F$1:$F$400)),11)),"")</f>
        <v/>
      </c>
      <c r="J14" s="42">
        <f t="array" ref="J14:J14">IFERROR(INDEX(통합!$B$1:$B$400,SMALL(IF(통합!$F$1:$F$400="3호차",ROW(통합!$F$1:$F$400)),11)),"")</f>
        <v/>
      </c>
      <c r="K14" s="42">
        <f t="array" ref="K14:K14">IFERROR(INDEX(통합!$C$1:$C$400,SMALL(IF(통합!$F$1:$F$400="3호차",ROW(통합!$F$1:$F$400)),11)),"")</f>
        <v/>
      </c>
      <c r="L14" s="42" t="n"/>
      <c r="M14" s="42" t="n"/>
    </row>
    <row r="15" ht="21.75" customHeight="1" s="33">
      <c r="A15" s="43" t="n">
        <v>12</v>
      </c>
      <c r="B15" s="44">
        <f t="array" ref="B15:B15">IFERROR(INDEX(통합!$A$1:$A$400,SMALL(IF(통합!$E$1:$E$400="3호차",ROW(통합!$E$1:$E$400)),12)),"")</f>
        <v/>
      </c>
      <c r="C15" s="44">
        <f t="array" ref="C15:C15">IFERROR(INDEX(통합!$B$1:$B$400,SMALL(IF(통합!$E$1:$E$400="3호차",ROW(통합!$E$1:$E$400)),12)),"")</f>
        <v/>
      </c>
      <c r="D15" s="44">
        <f t="array" ref="D15:D15">IFERROR(INDEX(통합!$C$1:$C$400,SMALL(IF(통합!$E$1:$E$400="3호차",ROW(통합!$E$1:$E$400)),12)),"")</f>
        <v/>
      </c>
      <c r="E15" s="44" t="n"/>
      <c r="F15" s="44" t="n"/>
      <c r="H15" s="43" t="n">
        <v>12</v>
      </c>
      <c r="I15" s="44">
        <f t="array" ref="I15:I15">IFERROR(INDEX(통합!$A$1:$A$400,SMALL(IF(통합!$F$1:$F$400="3호차",ROW(통합!$F$1:$F$400)),12)),"")</f>
        <v/>
      </c>
      <c r="J15" s="44">
        <f t="array" ref="J15:J15">IFERROR(INDEX(통합!$B$1:$B$400,SMALL(IF(통합!$F$1:$F$400="3호차",ROW(통합!$F$1:$F$400)),12)),"")</f>
        <v/>
      </c>
      <c r="K15" s="44">
        <f t="array" ref="K15:K15">IFERROR(INDEX(통합!$C$1:$C$400,SMALL(IF(통합!$F$1:$F$400="3호차",ROW(통합!$F$1:$F$400)),12)),"")</f>
        <v/>
      </c>
      <c r="L15" s="44" t="n"/>
      <c r="M15" s="44" t="n"/>
    </row>
    <row r="16" ht="21.75" customHeight="1" s="33">
      <c r="A16" s="41" t="n">
        <v>13</v>
      </c>
      <c r="B16" s="42">
        <f t="array" ref="B16:B16">IFERROR(INDEX(통합!$A$1:$A$400,SMALL(IF(통합!$E$1:$E$400="3호차",ROW(통합!$E$1:$E$400)),13)),"")</f>
        <v/>
      </c>
      <c r="C16" s="42">
        <f t="array" ref="C16:C16">IFERROR(INDEX(통합!$B$1:$B$400,SMALL(IF(통합!$E$1:$E$400="3호차",ROW(통합!$E$1:$E$400)),13)),"")</f>
        <v/>
      </c>
      <c r="D16" s="42">
        <f t="array" ref="D16:D16">IFERROR(INDEX(통합!$C$1:$C$400,SMALL(IF(통합!$E$1:$E$400="3호차",ROW(통합!$E$1:$E$400)),13)),"")</f>
        <v/>
      </c>
      <c r="E16" s="42" t="n"/>
      <c r="F16" s="42" t="n"/>
      <c r="H16" s="41" t="n">
        <v>13</v>
      </c>
      <c r="I16" s="42">
        <f t="array" ref="I16:I16">IFERROR(INDEX(통합!$A$1:$A$400,SMALL(IF(통합!$F$1:$F$400="3호차",ROW(통합!$F$1:$F$400)),13)),"")</f>
        <v/>
      </c>
      <c r="J16" s="42">
        <f t="array" ref="J16:J16">IFERROR(INDEX(통합!$B$1:$B$400,SMALL(IF(통합!$F$1:$F$400="3호차",ROW(통합!$F$1:$F$400)),13)),"")</f>
        <v/>
      </c>
      <c r="K16" s="42">
        <f t="array" ref="K16:K16">IFERROR(INDEX(통합!$C$1:$C$400,SMALL(IF(통합!$F$1:$F$400="3호차",ROW(통합!$F$1:$F$400)),13)),"")</f>
        <v/>
      </c>
      <c r="L16" s="42" t="n"/>
      <c r="M16" s="42" t="n"/>
    </row>
    <row r="17" ht="21.75" customHeight="1" s="33">
      <c r="A17" s="43" t="n">
        <v>14</v>
      </c>
      <c r="B17" s="44">
        <f t="array" ref="B17:B17">IFERROR(INDEX(통합!$A$1:$A$400,SMALL(IF(통합!$E$1:$E$400="3호차",ROW(통합!$E$1:$E$400)),14)),"")</f>
        <v/>
      </c>
      <c r="C17" s="44">
        <f t="array" ref="C17:C17">IFERROR(INDEX(통합!$B$1:$B$400,SMALL(IF(통합!$E$1:$E$400="3호차",ROW(통합!$E$1:$E$400)),14)),"")</f>
        <v/>
      </c>
      <c r="D17" s="44">
        <f t="array" ref="D17:D17">IFERROR(INDEX(통합!$C$1:$C$400,SMALL(IF(통합!$E$1:$E$400="3호차",ROW(통합!$E$1:$E$400)),14)),"")</f>
        <v/>
      </c>
      <c r="E17" s="44" t="n"/>
      <c r="F17" s="44" t="n"/>
      <c r="H17" s="43" t="n">
        <v>14</v>
      </c>
      <c r="I17" s="44">
        <f t="array" ref="I17:I17">IFERROR(INDEX(통합!$A$1:$A$400,SMALL(IF(통합!$F$1:$F$400="3호차",ROW(통합!$F$1:$F$400)),14)),"")</f>
        <v/>
      </c>
      <c r="J17" s="44">
        <f t="array" ref="J17:J17">IFERROR(INDEX(통합!$B$1:$B$400,SMALL(IF(통합!$F$1:$F$400="3호차",ROW(통합!$F$1:$F$400)),14)),"")</f>
        <v/>
      </c>
      <c r="K17" s="44">
        <f t="array" ref="K17:K17">IFERROR(INDEX(통합!$C$1:$C$400,SMALL(IF(통합!$F$1:$F$400="3호차",ROW(통합!$F$1:$F$400)),14)),"")</f>
        <v/>
      </c>
      <c r="L17" s="44" t="n"/>
      <c r="M17" s="44" t="n"/>
    </row>
    <row r="18" ht="21.75" customHeight="1" s="33">
      <c r="A18" s="41" t="n">
        <v>15</v>
      </c>
      <c r="B18" s="42">
        <f t="array" ref="B18:B18">IFERROR(INDEX(통합!$A$1:$A$400,SMALL(IF(통합!$E$1:$E$400="3호차",ROW(통합!$E$1:$E$400)),15)),"")</f>
        <v/>
      </c>
      <c r="C18" s="42">
        <f t="array" ref="C18:C18">IFERROR(INDEX(통합!$B$1:$B$400,SMALL(IF(통합!$E$1:$E$400="3호차",ROW(통합!$E$1:$E$400)),15)),"")</f>
        <v/>
      </c>
      <c r="D18" s="42">
        <f t="array" ref="D18:D18">IFERROR(INDEX(통합!$C$1:$C$400,SMALL(IF(통합!$E$1:$E$400="3호차",ROW(통합!$E$1:$E$400)),15)),"")</f>
        <v/>
      </c>
      <c r="E18" s="42" t="n"/>
      <c r="F18" s="42" t="n"/>
      <c r="H18" s="41" t="n">
        <v>15</v>
      </c>
      <c r="I18" s="42">
        <f t="array" ref="I18:I18">IFERROR(INDEX(통합!$A$1:$A$400,SMALL(IF(통합!$F$1:$F$400="3호차",ROW(통합!$F$1:$F$400)),15)),"")</f>
        <v/>
      </c>
      <c r="J18" s="42">
        <f t="array" ref="J18:J18">IFERROR(INDEX(통합!$B$1:$B$400,SMALL(IF(통합!$F$1:$F$400="3호차",ROW(통합!$F$1:$F$400)),15)),"")</f>
        <v/>
      </c>
      <c r="K18" s="42">
        <f t="array" ref="K18:K18">IFERROR(INDEX(통합!$C$1:$C$400,SMALL(IF(통합!$F$1:$F$400="3호차",ROW(통합!$F$1:$F$400)),15)),"")</f>
        <v/>
      </c>
      <c r="L18" s="42" t="n"/>
      <c r="M18" s="42" t="n"/>
    </row>
    <row r="19" ht="21.75" customHeight="1" s="33">
      <c r="A19" s="43" t="n">
        <v>16</v>
      </c>
      <c r="B19" s="44">
        <f t="array" ref="B19:B19">IFERROR(INDEX(통합!$A$1:$A$400,SMALL(IF(통합!$E$1:$E$400="3호차",ROW(통합!$E$1:$E$400)),16)),"")</f>
        <v/>
      </c>
      <c r="C19" s="44">
        <f t="array" ref="C19:C19">IFERROR(INDEX(통합!$B$1:$B$400,SMALL(IF(통합!$E$1:$E$400="3호차",ROW(통합!$E$1:$E$400)),16)),"")</f>
        <v/>
      </c>
      <c r="D19" s="44">
        <f t="array" ref="D19:D19">IFERROR(INDEX(통합!$C$1:$C$400,SMALL(IF(통합!$E$1:$E$400="3호차",ROW(통합!$E$1:$E$400)),16)),"")</f>
        <v/>
      </c>
      <c r="E19" s="44" t="n"/>
      <c r="F19" s="44" t="n"/>
      <c r="H19" s="43" t="n">
        <v>16</v>
      </c>
      <c r="I19" s="44">
        <f t="array" ref="I19:I19">IFERROR(INDEX(통합!$A$1:$A$400,SMALL(IF(통합!$F$1:$F$400="3호차",ROW(통합!$F$1:$F$400)),16)),"")</f>
        <v/>
      </c>
      <c r="J19" s="44">
        <f t="array" ref="J19:J19">IFERROR(INDEX(통합!$B$1:$B$400,SMALL(IF(통합!$F$1:$F$400="3호차",ROW(통합!$F$1:$F$400)),16)),"")</f>
        <v/>
      </c>
      <c r="K19" s="44">
        <f t="array" ref="K19:K19">IFERROR(INDEX(통합!$C$1:$C$400,SMALL(IF(통합!$F$1:$F$400="3호차",ROW(통합!$F$1:$F$400)),16)),"")</f>
        <v/>
      </c>
      <c r="L19" s="44" t="n"/>
      <c r="M19" s="44" t="n"/>
    </row>
    <row r="20" ht="21.75" customHeight="1" s="33">
      <c r="A20" s="41" t="n">
        <v>17</v>
      </c>
      <c r="B20" s="42">
        <f t="array" ref="B20:B20">IFERROR(INDEX(통합!$A$1:$A$400,SMALL(IF(통합!$E$1:$E$400="3호차",ROW(통합!$E$1:$E$400)),17)),"")</f>
        <v/>
      </c>
      <c r="C20" s="42">
        <f t="array" ref="C20:C20">IFERROR(INDEX(통합!$B$1:$B$400,SMALL(IF(통합!$E$1:$E$400="3호차",ROW(통합!$E$1:$E$400)),17)),"")</f>
        <v/>
      </c>
      <c r="D20" s="42">
        <f t="array" ref="D20:D20">IFERROR(INDEX(통합!$C$1:$C$400,SMALL(IF(통합!$E$1:$E$400="3호차",ROW(통합!$E$1:$E$400)),17)),"")</f>
        <v/>
      </c>
      <c r="E20" s="42" t="n"/>
      <c r="F20" s="42" t="n"/>
      <c r="H20" s="41" t="n">
        <v>17</v>
      </c>
      <c r="I20" s="42">
        <f t="array" ref="I20:I20">IFERROR(INDEX(통합!$A$1:$A$400,SMALL(IF(통합!$F$1:$F$400="3호차",ROW(통합!$F$1:$F$400)),17)),"")</f>
        <v/>
      </c>
      <c r="J20" s="42">
        <f t="array" ref="J20:J20">IFERROR(INDEX(통합!$B$1:$B$400,SMALL(IF(통합!$F$1:$F$400="3호차",ROW(통합!$F$1:$F$400)),17)),"")</f>
        <v/>
      </c>
      <c r="K20" s="42">
        <f t="array" ref="K20:K20">IFERROR(INDEX(통합!$C$1:$C$400,SMALL(IF(통합!$F$1:$F$400="3호차",ROW(통합!$F$1:$F$400)),17)),"")</f>
        <v/>
      </c>
      <c r="L20" s="42" t="n"/>
      <c r="M20" s="42" t="n"/>
    </row>
    <row r="21" ht="21.75" customHeight="1" s="33">
      <c r="A21" s="43" t="n">
        <v>18</v>
      </c>
      <c r="B21" s="44">
        <f t="array" ref="B21:B21">IFERROR(INDEX(통합!$A$1:$A$400,SMALL(IF(통합!$E$1:$E$400="3호차",ROW(통합!$E$1:$E$400)),18)),"")</f>
        <v/>
      </c>
      <c r="C21" s="44">
        <f t="array" ref="C21:C21">IFERROR(INDEX(통합!$B$1:$B$400,SMALL(IF(통합!$E$1:$E$400="3호차",ROW(통합!$E$1:$E$400)),18)),"")</f>
        <v/>
      </c>
      <c r="D21" s="44">
        <f t="array" ref="D21:D21">IFERROR(INDEX(통합!$C$1:$C$400,SMALL(IF(통합!$E$1:$E$400="3호차",ROW(통합!$E$1:$E$400)),18)),"")</f>
        <v/>
      </c>
      <c r="E21" s="44" t="n"/>
      <c r="F21" s="44" t="n"/>
      <c r="H21" s="43" t="n">
        <v>18</v>
      </c>
      <c r="I21" s="44">
        <f t="array" ref="I21:I21">IFERROR(INDEX(통합!$A$1:$A$400,SMALL(IF(통합!$F$1:$F$400="3호차",ROW(통합!$F$1:$F$400)),18)),"")</f>
        <v/>
      </c>
      <c r="J21" s="44">
        <f t="array" ref="J21:J21">IFERROR(INDEX(통합!$B$1:$B$400,SMALL(IF(통합!$F$1:$F$400="3호차",ROW(통합!$F$1:$F$400)),18)),"")</f>
        <v/>
      </c>
      <c r="K21" s="44">
        <f t="array" ref="K21:K21">IFERROR(INDEX(통합!$C$1:$C$400,SMALL(IF(통합!$F$1:$F$400="3호차",ROW(통합!$F$1:$F$400)),18)),"")</f>
        <v/>
      </c>
      <c r="L21" s="44" t="n"/>
      <c r="M21" s="44" t="n"/>
    </row>
    <row r="22" ht="21.75" customHeight="1" s="33">
      <c r="A22" s="41" t="n">
        <v>19</v>
      </c>
      <c r="B22" s="42">
        <f t="array" ref="B22:B22">IFERROR(INDEX(통합!$A$1:$A$400,SMALL(IF(통합!$E$1:$E$400="3호차",ROW(통합!$E$1:$E$400)),19)),"")</f>
        <v/>
      </c>
      <c r="C22" s="42">
        <f t="array" ref="C22:C22">IFERROR(INDEX(통합!$B$1:$B$400,SMALL(IF(통합!$E$1:$E$400="3호차",ROW(통합!$E$1:$E$400)),19)),"")</f>
        <v/>
      </c>
      <c r="D22" s="42">
        <f t="array" ref="D22:D22">IFERROR(INDEX(통합!$C$1:$C$400,SMALL(IF(통합!$E$1:$E$400="3호차",ROW(통합!$E$1:$E$400)),19)),"")</f>
        <v/>
      </c>
      <c r="E22" s="42" t="n"/>
      <c r="F22" s="42" t="n"/>
      <c r="H22" s="41" t="n">
        <v>19</v>
      </c>
      <c r="I22" s="42">
        <f t="array" ref="I22:I22">IFERROR(INDEX(통합!$A$1:$A$400,SMALL(IF(통합!$F$1:$F$400="3호차",ROW(통합!$F$1:$F$400)),19)),"")</f>
        <v/>
      </c>
      <c r="J22" s="42">
        <f t="array" ref="J22:J22">IFERROR(INDEX(통합!$B$1:$B$400,SMALL(IF(통합!$F$1:$F$400="3호차",ROW(통합!$F$1:$F$400)),19)),"")</f>
        <v/>
      </c>
      <c r="K22" s="42">
        <f t="array" ref="K22:K22">IFERROR(INDEX(통합!$C$1:$C$400,SMALL(IF(통합!$F$1:$F$400="3호차",ROW(통합!$F$1:$F$400)),19)),"")</f>
        <v/>
      </c>
      <c r="L22" s="42" t="n"/>
      <c r="M22" s="42" t="n"/>
    </row>
    <row r="23" ht="21.75" customHeight="1" s="33">
      <c r="A23" s="43" t="n">
        <v>20</v>
      </c>
      <c r="B23" s="44">
        <f t="array" ref="B23:B23">IFERROR(INDEX(통합!$A$1:$A$400,SMALL(IF(통합!$E$1:$E$400="3호차",ROW(통합!$E$1:$E$400)),20)),"")</f>
        <v/>
      </c>
      <c r="C23" s="44">
        <f t="array" ref="C23:C23">IFERROR(INDEX(통합!$B$1:$B$400,SMALL(IF(통합!$E$1:$E$400="3호차",ROW(통합!$E$1:$E$400)),20)),"")</f>
        <v/>
      </c>
      <c r="D23" s="44">
        <f t="array" ref="D23:D23">IFERROR(INDEX(통합!$C$1:$C$400,SMALL(IF(통합!$E$1:$E$400="3호차",ROW(통합!$E$1:$E$400)),20)),"")</f>
        <v/>
      </c>
      <c r="E23" s="44" t="n"/>
      <c r="F23" s="44" t="n"/>
      <c r="H23" s="43" t="n">
        <v>20</v>
      </c>
      <c r="I23" s="44">
        <f t="array" ref="I23:I23">IFERROR(INDEX(통합!$A$1:$A$400,SMALL(IF(통합!$F$1:$F$400="3호차",ROW(통합!$F$1:$F$400)),20)),"")</f>
        <v/>
      </c>
      <c r="J23" s="44">
        <f t="array" ref="J23:J23">IFERROR(INDEX(통합!$B$1:$B$400,SMALL(IF(통합!$F$1:$F$400="3호차",ROW(통합!$F$1:$F$400)),20)),"")</f>
        <v/>
      </c>
      <c r="K23" s="44">
        <f t="array" ref="K23:K23">IFERROR(INDEX(통합!$C$1:$C$400,SMALL(IF(통합!$F$1:$F$400="3호차",ROW(통합!$F$1:$F$400)),20)),"")</f>
        <v/>
      </c>
      <c r="L23" s="44" t="n"/>
      <c r="M23" s="44" t="n"/>
    </row>
    <row r="24" ht="21.75" customHeight="1" s="33">
      <c r="A24" s="41" t="n">
        <v>21</v>
      </c>
      <c r="B24" s="42">
        <f t="array" ref="B24:B24">IFERROR(INDEX(통합!$A$1:$A$400,SMALL(IF(통합!$E$1:$E$400="3호차",ROW(통합!$E$1:$E$400)),21)),"")</f>
        <v/>
      </c>
      <c r="C24" s="42">
        <f t="array" ref="C24:C24">IFERROR(INDEX(통합!$B$1:$B$400,SMALL(IF(통합!$E$1:$E$400="3호차",ROW(통합!$E$1:$E$400)),21)),"")</f>
        <v/>
      </c>
      <c r="D24" s="42">
        <f t="array" ref="D24:D24">IFERROR(INDEX(통합!$C$1:$C$400,SMALL(IF(통합!$E$1:$E$400="3호차",ROW(통합!$E$1:$E$400)),21)),"")</f>
        <v/>
      </c>
      <c r="E24" s="42" t="n"/>
      <c r="F24" s="42" t="n"/>
      <c r="H24" s="41" t="n">
        <v>21</v>
      </c>
      <c r="I24" s="42">
        <f t="array" ref="I24:I24">IFERROR(INDEX(통합!$A$1:$A$400,SMALL(IF(통합!$F$1:$F$400="3호차",ROW(통합!$F$1:$F$400)),21)),"")</f>
        <v/>
      </c>
      <c r="J24" s="42">
        <f t="array" ref="J24:J24">IFERROR(INDEX(통합!$B$1:$B$400,SMALL(IF(통합!$F$1:$F$400="3호차",ROW(통합!$F$1:$F$400)),21)),"")</f>
        <v/>
      </c>
      <c r="K24" s="42">
        <f t="array" ref="K24:K24">IFERROR(INDEX(통합!$C$1:$C$400,SMALL(IF(통합!$F$1:$F$400="3호차",ROW(통합!$F$1:$F$400)),21)),"")</f>
        <v/>
      </c>
      <c r="L24" s="42" t="n"/>
      <c r="M24" s="42" t="n"/>
    </row>
    <row r="25" ht="21.75" customHeight="1" s="33">
      <c r="A25" s="43" t="n">
        <v>22</v>
      </c>
      <c r="B25" s="44">
        <f t="array" ref="B25:B25">IFERROR(INDEX(통합!$A$1:$A$400,SMALL(IF(통합!$E$1:$E$400="3호차",ROW(통합!$E$1:$E$400)),22)),"")</f>
        <v/>
      </c>
      <c r="C25" s="44">
        <f t="array" ref="C25:C25">IFERROR(INDEX(통합!$B$1:$B$400,SMALL(IF(통합!$E$1:$E$400="3호차",ROW(통합!$E$1:$E$400)),22)),"")</f>
        <v/>
      </c>
      <c r="D25" s="44">
        <f t="array" ref="D25:D25">IFERROR(INDEX(통합!$C$1:$C$400,SMALL(IF(통합!$E$1:$E$400="3호차",ROW(통합!$E$1:$E$400)),22)),"")</f>
        <v/>
      </c>
      <c r="E25" s="44" t="n"/>
      <c r="F25" s="44" t="n"/>
      <c r="H25" s="43" t="n">
        <v>22</v>
      </c>
      <c r="I25" s="44">
        <f t="array" ref="I25:I25">IFERROR(INDEX(통합!$A$1:$A$400,SMALL(IF(통합!$F$1:$F$400="3호차",ROW(통합!$F$1:$F$400)),22)),"")</f>
        <v/>
      </c>
      <c r="J25" s="44">
        <f t="array" ref="J25:J25">IFERROR(INDEX(통합!$B$1:$B$400,SMALL(IF(통합!$F$1:$F$400="3호차",ROW(통합!$F$1:$F$400)),22)),"")</f>
        <v/>
      </c>
      <c r="K25" s="44">
        <f t="array" ref="K25:K25">IFERROR(INDEX(통합!$C$1:$C$400,SMALL(IF(통합!$F$1:$F$400="3호차",ROW(통합!$F$1:$F$400)),22)),"")</f>
        <v/>
      </c>
      <c r="L25" s="44" t="n"/>
      <c r="M25" s="44" t="n"/>
    </row>
    <row r="26" ht="21.75" customHeight="1" s="33">
      <c r="A26" s="41" t="n">
        <v>23</v>
      </c>
      <c r="B26" s="42">
        <f t="array" ref="B26:B26">IFERROR(INDEX(통합!$A$1:$A$400,SMALL(IF(통합!$E$1:$E$400="3호차",ROW(통합!$E$1:$E$400)),23)),"")</f>
        <v/>
      </c>
      <c r="C26" s="42">
        <f t="array" ref="C26:C26">IFERROR(INDEX(통합!$B$1:$B$400,SMALL(IF(통합!$E$1:$E$400="3호차",ROW(통합!$E$1:$E$400)),23)),"")</f>
        <v/>
      </c>
      <c r="D26" s="42">
        <f t="array" ref="D26:D26">IFERROR(INDEX(통합!$C$1:$C$400,SMALL(IF(통합!$E$1:$E$400="3호차",ROW(통합!$E$1:$E$400)),23)),"")</f>
        <v/>
      </c>
      <c r="E26" s="42" t="n"/>
      <c r="F26" s="42" t="n"/>
      <c r="H26" s="41" t="n">
        <v>23</v>
      </c>
      <c r="I26" s="42">
        <f t="array" ref="I26:I26">IFERROR(INDEX(통합!$A$1:$A$400,SMALL(IF(통합!$F$1:$F$400="3호차",ROW(통합!$F$1:$F$400)),23)),"")</f>
        <v/>
      </c>
      <c r="J26" s="42">
        <f t="array" ref="J26:J26">IFERROR(INDEX(통합!$B$1:$B$400,SMALL(IF(통합!$F$1:$F$400="3호차",ROW(통합!$F$1:$F$400)),23)),"")</f>
        <v/>
      </c>
      <c r="K26" s="42">
        <f t="array" ref="K26:K26">IFERROR(INDEX(통합!$C$1:$C$400,SMALL(IF(통합!$F$1:$F$400="3호차",ROW(통합!$F$1:$F$400)),23)),"")</f>
        <v/>
      </c>
      <c r="L26" s="42" t="n"/>
      <c r="M26" s="42" t="n"/>
    </row>
    <row r="27" ht="21.75" customHeight="1" s="33">
      <c r="A27" s="43" t="n">
        <v>24</v>
      </c>
      <c r="B27" s="44">
        <f t="array" ref="B27:B27">IFERROR(INDEX(통합!$A$1:$A$400,SMALL(IF(통합!$E$1:$E$400="3호차",ROW(통합!$E$1:$E$400)),24)),"")</f>
        <v/>
      </c>
      <c r="C27" s="44">
        <f t="array" ref="C27:C27">IFERROR(INDEX(통합!$B$1:$B$400,SMALL(IF(통합!$E$1:$E$400="3호차",ROW(통합!$E$1:$E$400)),24)),"")</f>
        <v/>
      </c>
      <c r="D27" s="44">
        <f t="array" ref="D27:D27">IFERROR(INDEX(통합!$C$1:$C$400,SMALL(IF(통합!$E$1:$E$400="3호차",ROW(통합!$E$1:$E$400)),24)),"")</f>
        <v/>
      </c>
      <c r="E27" s="44" t="n"/>
      <c r="F27" s="44" t="n"/>
      <c r="H27" s="43" t="n">
        <v>24</v>
      </c>
      <c r="I27" s="44">
        <f t="array" ref="I27:I27">IFERROR(INDEX(통합!$A$1:$A$400,SMALL(IF(통합!$F$1:$F$400="3호차",ROW(통합!$F$1:$F$400)),24)),"")</f>
        <v/>
      </c>
      <c r="J27" s="44">
        <f t="array" ref="J27:J27">IFERROR(INDEX(통합!$B$1:$B$400,SMALL(IF(통합!$F$1:$F$400="3호차",ROW(통합!$F$1:$F$400)),24)),"")</f>
        <v/>
      </c>
      <c r="K27" s="44">
        <f t="array" ref="K27:K27">IFERROR(INDEX(통합!$C$1:$C$400,SMALL(IF(통합!$F$1:$F$400="3호차",ROW(통합!$F$1:$F$400)),24)),"")</f>
        <v/>
      </c>
      <c r="L27" s="44" t="n"/>
      <c r="M27" s="44" t="n"/>
    </row>
    <row r="28" ht="21.75" customHeight="1" s="33">
      <c r="A28" s="41" t="n">
        <v>25</v>
      </c>
      <c r="B28" s="42">
        <f t="array" ref="B28:B28">IFERROR(INDEX(통합!$A$1:$A$400,SMALL(IF(통합!$E$1:$E$400="3호차",ROW(통합!$E$1:$E$400)),25)),"")</f>
        <v/>
      </c>
      <c r="C28" s="42">
        <f t="array" ref="C28:C28">IFERROR(INDEX(통합!$B$1:$B$400,SMALL(IF(통합!$E$1:$E$400="3호차",ROW(통합!$E$1:$E$400)),25)),"")</f>
        <v/>
      </c>
      <c r="D28" s="42">
        <f t="array" ref="D28:D28">IFERROR(INDEX(통합!$C$1:$C$400,SMALL(IF(통합!$E$1:$E$400="3호차",ROW(통합!$E$1:$E$400)),25)),"")</f>
        <v/>
      </c>
      <c r="E28" s="42" t="n"/>
      <c r="F28" s="42" t="n"/>
      <c r="H28" s="41" t="n">
        <v>25</v>
      </c>
      <c r="I28" s="42">
        <f t="array" ref="I28:I28">IFERROR(INDEX(통합!$A$1:$A$400,SMALL(IF(통합!$F$1:$F$400="3호차",ROW(통합!$F$1:$F$400)),25)),"")</f>
        <v/>
      </c>
      <c r="J28" s="42">
        <f t="array" ref="J28:J28">IFERROR(INDEX(통합!$B$1:$B$400,SMALL(IF(통합!$F$1:$F$400="3호차",ROW(통합!$F$1:$F$400)),25)),"")</f>
        <v/>
      </c>
      <c r="K28" s="42">
        <f t="array" ref="K28:K28">IFERROR(INDEX(통합!$C$1:$C$400,SMALL(IF(통합!$F$1:$F$400="3호차",ROW(통합!$F$1:$F$400)),25)),"")</f>
        <v/>
      </c>
      <c r="L28" s="42" t="n"/>
      <c r="M28" s="42" t="n"/>
    </row>
    <row r="29" ht="21.75" customHeight="1" s="33">
      <c r="A29" s="43" t="n">
        <v>26</v>
      </c>
      <c r="B29" s="44">
        <f t="array" ref="B29:B29">IFERROR(INDEX(통합!$A$1:$A$400,SMALL(IF(통합!$E$1:$E$400="3호차",ROW(통합!$E$1:$E$400)),26)),"")</f>
        <v/>
      </c>
      <c r="C29" s="44">
        <f t="array" ref="C29:C29">IFERROR(INDEX(통합!$B$1:$B$400,SMALL(IF(통합!$E$1:$E$400="3호차",ROW(통합!$E$1:$E$400)),26)),"")</f>
        <v/>
      </c>
      <c r="D29" s="44">
        <f t="array" ref="D29:D29">IFERROR(INDEX(통합!$C$1:$C$400,SMALL(IF(통합!$E$1:$E$400="3호차",ROW(통합!$E$1:$E$400)),26)),"")</f>
        <v/>
      </c>
      <c r="E29" s="44" t="n"/>
      <c r="F29" s="44" t="n"/>
      <c r="H29" s="43" t="n">
        <v>26</v>
      </c>
      <c r="I29" s="44">
        <f t="array" ref="I29:I29">IFERROR(INDEX(통합!$A$1:$A$400,SMALL(IF(통합!$F$1:$F$400="3호차",ROW(통합!$F$1:$F$400)),26)),"")</f>
        <v/>
      </c>
      <c r="J29" s="44">
        <f t="array" ref="J29:J29">IFERROR(INDEX(통합!$B$1:$B$400,SMALL(IF(통합!$F$1:$F$400="3호차",ROW(통합!$F$1:$F$400)),26)),"")</f>
        <v/>
      </c>
      <c r="K29" s="44">
        <f t="array" ref="K29:K29">IFERROR(INDEX(통합!$C$1:$C$400,SMALL(IF(통합!$F$1:$F$400="3호차",ROW(통합!$F$1:$F$400)),26)),"")</f>
        <v/>
      </c>
      <c r="L29" s="44" t="n"/>
      <c r="M29" s="44" t="n"/>
    </row>
    <row r="30" ht="21.75" customHeight="1" s="33">
      <c r="A30" s="41" t="n">
        <v>27</v>
      </c>
      <c r="B30" s="42">
        <f t="array" ref="B30:B30">IFERROR(INDEX(통합!$A$1:$A$400,SMALL(IF(통합!$E$1:$E$400="3호차",ROW(통합!$E$1:$E$400)),27)),"")</f>
        <v/>
      </c>
      <c r="C30" s="42">
        <f t="array" ref="C30:C30">IFERROR(INDEX(통합!$B$1:$B$400,SMALL(IF(통합!$E$1:$E$400="3호차",ROW(통합!$E$1:$E$400)),27)),"")</f>
        <v/>
      </c>
      <c r="D30" s="42">
        <f t="array" ref="D30:D30">IFERROR(INDEX(통합!$C$1:$C$400,SMALL(IF(통합!$E$1:$E$400="3호차",ROW(통합!$E$1:$E$400)),27)),"")</f>
        <v/>
      </c>
      <c r="E30" s="42" t="n"/>
      <c r="F30" s="42" t="n"/>
      <c r="H30" s="41" t="n">
        <v>27</v>
      </c>
      <c r="I30" s="42">
        <f t="array" ref="I30:I30">IFERROR(INDEX(통합!$A$1:$A$400,SMALL(IF(통합!$F$1:$F$400="3호차",ROW(통합!$F$1:$F$400)),27)),"")</f>
        <v/>
      </c>
      <c r="J30" s="42">
        <f t="array" ref="J30:J30">IFERROR(INDEX(통합!$B$1:$B$400,SMALL(IF(통합!$F$1:$F$400="3호차",ROW(통합!$F$1:$F$400)),27)),"")</f>
        <v/>
      </c>
      <c r="K30" s="42">
        <f t="array" ref="K30:K30">IFERROR(INDEX(통합!$C$1:$C$400,SMALL(IF(통합!$F$1:$F$400="3호차",ROW(통합!$F$1:$F$400)),27)),"")</f>
        <v/>
      </c>
      <c r="L30" s="42" t="n"/>
      <c r="M30" s="42" t="n"/>
    </row>
    <row r="31" ht="21.75" customHeight="1" s="33">
      <c r="A31" s="43" t="n">
        <v>28</v>
      </c>
      <c r="B31" s="44">
        <f t="array" ref="B31:B31">IFERROR(INDEX(통합!$A$1:$A$400,SMALL(IF(통합!$E$1:$E$400="3호차",ROW(통합!$E$1:$E$400)),28)),"")</f>
        <v/>
      </c>
      <c r="C31" s="44">
        <f t="array" ref="C31:C31">IFERROR(INDEX(통합!$B$1:$B$400,SMALL(IF(통합!$E$1:$E$400="3호차",ROW(통합!$E$1:$E$400)),28)),"")</f>
        <v/>
      </c>
      <c r="D31" s="44">
        <f t="array" ref="D31:D31">IFERROR(INDEX(통합!$C$1:$C$400,SMALL(IF(통합!$E$1:$E$400="3호차",ROW(통합!$E$1:$E$400)),28)),"")</f>
        <v/>
      </c>
      <c r="E31" s="44" t="n"/>
      <c r="F31" s="44" t="n"/>
      <c r="H31" s="43" t="n">
        <v>28</v>
      </c>
      <c r="I31" s="44">
        <f t="array" ref="I31:I31">IFERROR(INDEX(통합!$A$1:$A$400,SMALL(IF(통합!$F$1:$F$400="3호차",ROW(통합!$F$1:$F$400)),28)),"")</f>
        <v/>
      </c>
      <c r="J31" s="44">
        <f t="array" ref="J31:J31">IFERROR(INDEX(통합!$B$1:$B$400,SMALL(IF(통합!$F$1:$F$400="3호차",ROW(통합!$F$1:$F$400)),28)),"")</f>
        <v/>
      </c>
      <c r="K31" s="44">
        <f t="array" ref="K31:K31">IFERROR(INDEX(통합!$C$1:$C$400,SMALL(IF(통합!$F$1:$F$400="3호차",ROW(통합!$F$1:$F$400)),28)),"")</f>
        <v/>
      </c>
      <c r="L31" s="44" t="n"/>
      <c r="M31" s="44" t="n"/>
    </row>
    <row r="32" ht="21.75" customHeight="1" s="33">
      <c r="A32" s="41" t="n">
        <v>29</v>
      </c>
      <c r="B32" s="42">
        <f t="array" ref="B32:B32">IFERROR(INDEX(통합!$A$1:$A$400,SMALL(IF(통합!$E$1:$E$400="3호차",ROW(통합!$E$1:$E$400)),29)),"")</f>
        <v/>
      </c>
      <c r="C32" s="42">
        <f t="array" ref="C32:C32">IFERROR(INDEX(통합!$B$1:$B$400,SMALL(IF(통합!$E$1:$E$400="3호차",ROW(통합!$E$1:$E$400)),29)),"")</f>
        <v/>
      </c>
      <c r="D32" s="42">
        <f t="array" ref="D32:D32">IFERROR(INDEX(통합!$C$1:$C$400,SMALL(IF(통합!$E$1:$E$400="3호차",ROW(통합!$E$1:$E$400)),29)),"")</f>
        <v/>
      </c>
      <c r="E32" s="42" t="n"/>
      <c r="F32" s="42" t="n"/>
      <c r="H32" s="41" t="n">
        <v>29</v>
      </c>
      <c r="I32" s="42">
        <f t="array" ref="I32:I32">IFERROR(INDEX(통합!$A$1:$A$400,SMALL(IF(통합!$F$1:$F$400="3호차",ROW(통합!$F$1:$F$400)),29)),"")</f>
        <v/>
      </c>
      <c r="J32" s="42">
        <f t="array" ref="J32:J32">IFERROR(INDEX(통합!$B$1:$B$400,SMALL(IF(통합!$F$1:$F$400="3호차",ROW(통합!$F$1:$F$400)),29)),"")</f>
        <v/>
      </c>
      <c r="K32" s="42">
        <f t="array" ref="K32:K32">IFERROR(INDEX(통합!$C$1:$C$400,SMALL(IF(통합!$F$1:$F$400="3호차",ROW(통합!$F$1:$F$400)),29)),"")</f>
        <v/>
      </c>
      <c r="L32" s="42" t="n"/>
      <c r="M32" s="42" t="n"/>
    </row>
    <row r="33" ht="21.75" customHeight="1" s="33">
      <c r="A33" s="43" t="n">
        <v>30</v>
      </c>
      <c r="B33" s="44">
        <f t="array" ref="B33:B33">IFERROR(INDEX(통합!$A$1:$A$400,SMALL(IF(통합!$E$1:$E$400="3호차",ROW(통합!$E$1:$E$400)),30)),"")</f>
        <v/>
      </c>
      <c r="C33" s="44">
        <f t="array" ref="C33:C33">IFERROR(INDEX(통합!$B$1:$B$400,SMALL(IF(통합!$E$1:$E$400="3호차",ROW(통합!$E$1:$E$400)),30)),"")</f>
        <v/>
      </c>
      <c r="D33" s="44">
        <f t="array" ref="D33:D33">IFERROR(INDEX(통합!$C$1:$C$400,SMALL(IF(통합!$E$1:$E$400="3호차",ROW(통합!$E$1:$E$400)),30)),"")</f>
        <v/>
      </c>
      <c r="E33" s="44" t="n"/>
      <c r="F33" s="44" t="n"/>
      <c r="H33" s="43" t="n">
        <v>30</v>
      </c>
      <c r="I33" s="44">
        <f t="array" ref="I33:I33">IFERROR(INDEX(통합!$A$1:$A$400,SMALL(IF(통합!$F$1:$F$400="3호차",ROW(통합!$F$1:$F$400)),30)),"")</f>
        <v/>
      </c>
      <c r="J33" s="44">
        <f t="array" ref="J33:J33">IFERROR(INDEX(통합!$B$1:$B$400,SMALL(IF(통합!$F$1:$F$400="3호차",ROW(통합!$F$1:$F$400)),30)),"")</f>
        <v/>
      </c>
      <c r="K33" s="44">
        <f t="array" ref="K33:K33">IFERROR(INDEX(통합!$C$1:$C$400,SMALL(IF(통합!$F$1:$F$400="3호차",ROW(통합!$F$1:$F$400)),30)),"")</f>
        <v/>
      </c>
      <c r="L33" s="44" t="n"/>
      <c r="M33" s="44" t="n"/>
    </row>
    <row r="34" ht="21.75" customHeight="1" s="33">
      <c r="A34" s="41" t="n">
        <v>31</v>
      </c>
      <c r="B34" s="42">
        <f t="array" ref="B34:B34">IFERROR(INDEX(통합!$A$1:$A$400,SMALL(IF(통합!$E$1:$E$400="3호차",ROW(통합!$E$1:$E$400)),31)),"")</f>
        <v/>
      </c>
      <c r="C34" s="42">
        <f t="array" ref="C34:C34">IFERROR(INDEX(통합!$B$1:$B$400,SMALL(IF(통합!$E$1:$E$400="3호차",ROW(통합!$E$1:$E$400)),31)),"")</f>
        <v/>
      </c>
      <c r="D34" s="42">
        <f t="array" ref="D34:D34">IFERROR(INDEX(통합!$C$1:$C$400,SMALL(IF(통합!$E$1:$E$400="3호차",ROW(통합!$E$1:$E$400)),31)),"")</f>
        <v/>
      </c>
      <c r="E34" s="42" t="n"/>
      <c r="F34" s="42" t="n"/>
      <c r="H34" s="41" t="n">
        <v>31</v>
      </c>
      <c r="I34" s="42">
        <f t="array" ref="I34:I34">IFERROR(INDEX(통합!$A$1:$A$400,SMALL(IF(통합!$F$1:$F$400="3호차",ROW(통합!$F$1:$F$400)),31)),"")</f>
        <v/>
      </c>
      <c r="J34" s="42">
        <f t="array" ref="J34:J34">IFERROR(INDEX(통합!$B$1:$B$400,SMALL(IF(통합!$F$1:$F$400="3호차",ROW(통합!$F$1:$F$400)),31)),"")</f>
        <v/>
      </c>
      <c r="K34" s="42">
        <f t="array" ref="K34:K34">IFERROR(INDEX(통합!$C$1:$C$400,SMALL(IF(통합!$F$1:$F$400="3호차",ROW(통합!$F$1:$F$400)),31)),"")</f>
        <v/>
      </c>
      <c r="L34" s="42" t="n"/>
      <c r="M34" s="42" t="n"/>
    </row>
    <row r="35" ht="21.75" customHeight="1" s="33">
      <c r="A35" s="43" t="n">
        <v>32</v>
      </c>
      <c r="B35" s="44">
        <f t="array" ref="B35:B35">IFERROR(INDEX(통합!$A$1:$A$400,SMALL(IF(통합!$E$1:$E$400="3호차",ROW(통합!$E$1:$E$400)),32)),"")</f>
        <v/>
      </c>
      <c r="C35" s="44">
        <f t="array" ref="C35:C35">IFERROR(INDEX(통합!$B$1:$B$400,SMALL(IF(통합!$E$1:$E$400="3호차",ROW(통합!$E$1:$E$400)),32)),"")</f>
        <v/>
      </c>
      <c r="D35" s="44">
        <f t="array" ref="D35:D35">IFERROR(INDEX(통합!$C$1:$C$400,SMALL(IF(통합!$E$1:$E$400="3호차",ROW(통합!$E$1:$E$400)),32)),"")</f>
        <v/>
      </c>
      <c r="E35" s="44" t="n"/>
      <c r="F35" s="44" t="n"/>
      <c r="H35" s="43" t="n">
        <v>32</v>
      </c>
      <c r="I35" s="44">
        <f t="array" ref="I35:I35">IFERROR(INDEX(통합!$A$1:$A$400,SMALL(IF(통합!$F$1:$F$400="3호차",ROW(통합!$F$1:$F$400)),32)),"")</f>
        <v/>
      </c>
      <c r="J35" s="44">
        <f t="array" ref="J35:J35">IFERROR(INDEX(통합!$B$1:$B$400,SMALL(IF(통합!$F$1:$F$400="3호차",ROW(통합!$F$1:$F$400)),32)),"")</f>
        <v/>
      </c>
      <c r="K35" s="44">
        <f t="array" ref="K35:K35">IFERROR(INDEX(통합!$C$1:$C$400,SMALL(IF(통합!$F$1:$F$400="3호차",ROW(통합!$F$1:$F$400)),32)),"")</f>
        <v/>
      </c>
      <c r="L35" s="44" t="n"/>
      <c r="M35" s="44" t="n"/>
    </row>
    <row r="36" ht="21.75" customHeight="1" s="33">
      <c r="A36" s="41" t="n">
        <v>33</v>
      </c>
      <c r="B36" s="42">
        <f t="array" ref="B36:B36">IFERROR(INDEX(통합!$A$1:$A$400,SMALL(IF(통합!$E$1:$E$400="3호차",ROW(통합!$E$1:$E$400)),33)),"")</f>
        <v/>
      </c>
      <c r="C36" s="42">
        <f t="array" ref="C36:C36">IFERROR(INDEX(통합!$B$1:$B$400,SMALL(IF(통합!$E$1:$E$400="3호차",ROW(통합!$E$1:$E$400)),33)),"")</f>
        <v/>
      </c>
      <c r="D36" s="42">
        <f t="array" ref="D36:D36">IFERROR(INDEX(통합!$C$1:$C$400,SMALL(IF(통합!$E$1:$E$400="3호차",ROW(통합!$E$1:$E$400)),33)),"")</f>
        <v/>
      </c>
      <c r="E36" s="42" t="n"/>
      <c r="F36" s="42" t="n"/>
      <c r="H36" s="41" t="n">
        <v>33</v>
      </c>
      <c r="I36" s="42">
        <f t="array" ref="I36:I36">IFERROR(INDEX(통합!$A$1:$A$400,SMALL(IF(통합!$F$1:$F$400="3호차",ROW(통합!$F$1:$F$400)),33)),"")</f>
        <v/>
      </c>
      <c r="J36" s="42">
        <f t="array" ref="J36:J36">IFERROR(INDEX(통합!$B$1:$B$400,SMALL(IF(통합!$F$1:$F$400="3호차",ROW(통합!$F$1:$F$400)),33)),"")</f>
        <v/>
      </c>
      <c r="K36" s="42">
        <f t="array" ref="K36:K36">IFERROR(INDEX(통합!$C$1:$C$400,SMALL(IF(통합!$F$1:$F$400="3호차",ROW(통합!$F$1:$F$400)),33)),"")</f>
        <v/>
      </c>
      <c r="L36" s="42" t="n"/>
      <c r="M36" s="42" t="n"/>
    </row>
    <row r="37" ht="21.75" customHeight="1" s="33">
      <c r="A37" s="43" t="n">
        <v>34</v>
      </c>
      <c r="B37" s="44">
        <f t="array" ref="B37:B37">IFERROR(INDEX(통합!$A$1:$A$400,SMALL(IF(통합!$E$1:$E$400="3호차",ROW(통합!$E$1:$E$400)),34)),"")</f>
        <v/>
      </c>
      <c r="C37" s="44">
        <f t="array" ref="C37:C37">IFERROR(INDEX(통합!$B$1:$B$400,SMALL(IF(통합!$E$1:$E$400="3호차",ROW(통합!$E$1:$E$400)),34)),"")</f>
        <v/>
      </c>
      <c r="D37" s="44">
        <f t="array" ref="D37:D37">IFERROR(INDEX(통합!$C$1:$C$400,SMALL(IF(통합!$E$1:$E$400="3호차",ROW(통합!$E$1:$E$400)),34)),"")</f>
        <v/>
      </c>
      <c r="E37" s="44" t="n"/>
      <c r="F37" s="44" t="n"/>
      <c r="H37" s="43" t="n">
        <v>34</v>
      </c>
      <c r="I37" s="44">
        <f t="array" ref="I37:I37">IFERROR(INDEX(통합!$A$1:$A$400,SMALL(IF(통합!$F$1:$F$400="3호차",ROW(통합!$F$1:$F$400)),34)),"")</f>
        <v/>
      </c>
      <c r="J37" s="44">
        <f t="array" ref="J37:J37">IFERROR(INDEX(통합!$B$1:$B$400,SMALL(IF(통합!$F$1:$F$400="3호차",ROW(통합!$F$1:$F$400)),34)),"")</f>
        <v/>
      </c>
      <c r="K37" s="44">
        <f t="array" ref="K37:K37">IFERROR(INDEX(통합!$C$1:$C$400,SMALL(IF(통합!$F$1:$F$400="3호차",ROW(통합!$F$1:$F$400)),34)),"")</f>
        <v/>
      </c>
      <c r="L37" s="44" t="n"/>
      <c r="M37" s="44" t="n"/>
    </row>
    <row r="38" ht="21.75" customHeight="1" s="33">
      <c r="A38" s="41" t="n">
        <v>35</v>
      </c>
      <c r="B38" s="42">
        <f t="array" ref="B38:B38">IFERROR(INDEX(통합!$A$1:$A$400,SMALL(IF(통합!$E$1:$E$400="3호차",ROW(통합!$E$1:$E$400)),35)),"")</f>
        <v/>
      </c>
      <c r="C38" s="42">
        <f t="array" ref="C38:C38">IFERROR(INDEX(통합!$B$1:$B$400,SMALL(IF(통합!$E$1:$E$400="3호차",ROW(통합!$E$1:$E$400)),35)),"")</f>
        <v/>
      </c>
      <c r="D38" s="42">
        <f t="array" ref="D38:D38">IFERROR(INDEX(통합!$C$1:$C$400,SMALL(IF(통합!$E$1:$E$400="3호차",ROW(통합!$E$1:$E$400)),35)),"")</f>
        <v/>
      </c>
      <c r="E38" s="42" t="n"/>
      <c r="F38" s="42" t="n"/>
      <c r="H38" s="41" t="n">
        <v>35</v>
      </c>
      <c r="I38" s="42">
        <f t="array" ref="I38:I38">IFERROR(INDEX(통합!$A$1:$A$400,SMALL(IF(통합!$F$1:$F$400="3호차",ROW(통합!$F$1:$F$400)),35)),"")</f>
        <v/>
      </c>
      <c r="J38" s="42">
        <f t="array" ref="J38:J38">IFERROR(INDEX(통합!$B$1:$B$400,SMALL(IF(통합!$F$1:$F$400="3호차",ROW(통합!$F$1:$F$400)),35)),"")</f>
        <v/>
      </c>
      <c r="K38" s="42">
        <f t="array" ref="K38:K38">IFERROR(INDEX(통합!$C$1:$C$400,SMALL(IF(통합!$F$1:$F$400="3호차",ROW(통합!$F$1:$F$400)),35)),"")</f>
        <v/>
      </c>
      <c r="L38" s="42" t="n"/>
      <c r="M38" s="42" t="n"/>
    </row>
    <row r="39" ht="21.75" customHeight="1" s="33">
      <c r="A39" s="43" t="n">
        <v>36</v>
      </c>
      <c r="B39" s="44">
        <f t="array" ref="B39:B39">IFERROR(INDEX(통합!$A$1:$A$400,SMALL(IF(통합!$E$1:$E$400="3호차",ROW(통합!$E$1:$E$400)),36)),"")</f>
        <v/>
      </c>
      <c r="C39" s="44">
        <f t="array" ref="C39:C39">IFERROR(INDEX(통합!$B$1:$B$400,SMALL(IF(통합!$E$1:$E$400="3호차",ROW(통합!$E$1:$E$400)),36)),"")</f>
        <v/>
      </c>
      <c r="D39" s="44">
        <f t="array" ref="D39:D39">IFERROR(INDEX(통합!$C$1:$C$400,SMALL(IF(통합!$E$1:$E$400="3호차",ROW(통합!$E$1:$E$400)),36)),"")</f>
        <v/>
      </c>
      <c r="E39" s="44" t="n"/>
      <c r="F39" s="44" t="n"/>
      <c r="H39" s="43" t="n">
        <v>36</v>
      </c>
      <c r="I39" s="44">
        <f t="array" ref="I39:I39">IFERROR(INDEX(통합!$A$1:$A$400,SMALL(IF(통합!$F$1:$F$400="3호차",ROW(통합!$F$1:$F$400)),36)),"")</f>
        <v/>
      </c>
      <c r="J39" s="44">
        <f t="array" ref="J39:J39">IFERROR(INDEX(통합!$B$1:$B$400,SMALL(IF(통합!$F$1:$F$400="3호차",ROW(통합!$F$1:$F$400)),36)),"")</f>
        <v/>
      </c>
      <c r="K39" s="44">
        <f t="array" ref="K39:K39">IFERROR(INDEX(통합!$C$1:$C$400,SMALL(IF(통합!$F$1:$F$400="3호차",ROW(통합!$F$1:$F$400)),36)),"")</f>
        <v/>
      </c>
      <c r="L39" s="44" t="n"/>
      <c r="M39" s="44" t="n"/>
    </row>
    <row r="40" ht="21.75" customHeight="1" s="33">
      <c r="A40" s="41" t="n">
        <v>37</v>
      </c>
      <c r="B40" s="42">
        <f t="array" ref="B40:B40">IFERROR(INDEX(통합!$A$1:$A$400,SMALL(IF(통합!$E$1:$E$400="3호차",ROW(통합!$E$1:$E$400)),37)),"")</f>
        <v/>
      </c>
      <c r="C40" s="42">
        <f t="array" ref="C40:C40">IFERROR(INDEX(통합!$B$1:$B$400,SMALL(IF(통합!$E$1:$E$400="3호차",ROW(통합!$E$1:$E$400)),37)),"")</f>
        <v/>
      </c>
      <c r="D40" s="42">
        <f t="array" ref="D40:D40">IFERROR(INDEX(통합!$C$1:$C$400,SMALL(IF(통합!$E$1:$E$400="3호차",ROW(통합!$E$1:$E$400)),37)),"")</f>
        <v/>
      </c>
      <c r="E40" s="42" t="n"/>
      <c r="F40" s="42" t="n"/>
      <c r="H40" s="41" t="n">
        <v>37</v>
      </c>
      <c r="I40" s="42">
        <f t="array" ref="I40:I40">IFERROR(INDEX(통합!$A$1:$A$400,SMALL(IF(통합!$F$1:$F$400="3호차",ROW(통합!$F$1:$F$400)),37)),"")</f>
        <v/>
      </c>
      <c r="J40" s="42">
        <f t="array" ref="J40:J40">IFERROR(INDEX(통합!$B$1:$B$400,SMALL(IF(통합!$F$1:$F$400="3호차",ROW(통합!$F$1:$F$400)),37)),"")</f>
        <v/>
      </c>
      <c r="K40" s="42">
        <f t="array" ref="K40:K40">IFERROR(INDEX(통합!$C$1:$C$400,SMALL(IF(통합!$F$1:$F$400="3호차",ROW(통합!$F$1:$F$400)),37)),"")</f>
        <v/>
      </c>
      <c r="L40" s="42" t="n"/>
      <c r="M40" s="42" t="n"/>
    </row>
    <row r="41" ht="21.75" customHeight="1" s="33">
      <c r="A41" s="43" t="n">
        <v>38</v>
      </c>
      <c r="B41" s="44">
        <f t="array" ref="B41:B41">IFERROR(INDEX(통합!$A$1:$A$400,SMALL(IF(통합!$E$1:$E$400="3호차",ROW(통합!$E$1:$E$400)),38)),"")</f>
        <v/>
      </c>
      <c r="C41" s="44">
        <f t="array" ref="C41:C41">IFERROR(INDEX(통합!$B$1:$B$400,SMALL(IF(통합!$E$1:$E$400="3호차",ROW(통합!$E$1:$E$400)),38)),"")</f>
        <v/>
      </c>
      <c r="D41" s="44">
        <f t="array" ref="D41:D41">IFERROR(INDEX(통합!$C$1:$C$400,SMALL(IF(통합!$E$1:$E$400="3호차",ROW(통합!$E$1:$E$400)),38)),"")</f>
        <v/>
      </c>
      <c r="E41" s="44" t="n"/>
      <c r="F41" s="44" t="n"/>
      <c r="H41" s="43" t="n">
        <v>38</v>
      </c>
      <c r="I41" s="44">
        <f t="array" ref="I41:I41">IFERROR(INDEX(통합!$A$1:$A$400,SMALL(IF(통합!$F$1:$F$400="3호차",ROW(통합!$F$1:$F$400)),38)),"")</f>
        <v/>
      </c>
      <c r="J41" s="44">
        <f t="array" ref="J41:J41">IFERROR(INDEX(통합!$B$1:$B$400,SMALL(IF(통합!$F$1:$F$400="3호차",ROW(통합!$F$1:$F$400)),38)),"")</f>
        <v/>
      </c>
      <c r="K41" s="44">
        <f t="array" ref="K41:K41">IFERROR(INDEX(통합!$C$1:$C$400,SMALL(IF(통합!$F$1:$F$400="3호차",ROW(통합!$F$1:$F$400)),38)),"")</f>
        <v/>
      </c>
      <c r="L41" s="44" t="n"/>
      <c r="M41" s="44" t="n"/>
    </row>
    <row r="42" ht="21.75" customHeight="1" s="33">
      <c r="A42" s="41" t="n">
        <v>39</v>
      </c>
      <c r="B42" s="42">
        <f t="array" ref="B42:B42">IFERROR(INDEX(통합!$A$1:$A$400,SMALL(IF(통합!$E$1:$E$400="3호차",ROW(통합!$E$1:$E$400)),39)),"")</f>
        <v/>
      </c>
      <c r="C42" s="42">
        <f t="array" ref="C42:C42">IFERROR(INDEX(통합!$B$1:$B$400,SMALL(IF(통합!$E$1:$E$400="3호차",ROW(통합!$E$1:$E$400)),39)),"")</f>
        <v/>
      </c>
      <c r="D42" s="42">
        <f t="array" ref="D42:D42">IFERROR(INDEX(통합!$C$1:$C$400,SMALL(IF(통합!$E$1:$E$400="3호차",ROW(통합!$E$1:$E$400)),39)),"")</f>
        <v/>
      </c>
      <c r="E42" s="42" t="n"/>
      <c r="F42" s="42" t="n"/>
      <c r="H42" s="41" t="n">
        <v>39</v>
      </c>
      <c r="I42" s="42">
        <f t="array" ref="I42:I42">IFERROR(INDEX(통합!$A$1:$A$400,SMALL(IF(통합!$F$1:$F$400="3호차",ROW(통합!$F$1:$F$400)),39)),"")</f>
        <v/>
      </c>
      <c r="J42" s="42">
        <f t="array" ref="J42:J42">IFERROR(INDEX(통합!$B$1:$B$400,SMALL(IF(통합!$F$1:$F$400="3호차",ROW(통합!$F$1:$F$400)),39)),"")</f>
        <v/>
      </c>
      <c r="K42" s="42">
        <f t="array" ref="K42:K42">IFERROR(INDEX(통합!$C$1:$C$400,SMALL(IF(통합!$F$1:$F$400="3호차",ROW(통합!$F$1:$F$400)),39)),"")</f>
        <v/>
      </c>
      <c r="L42" s="42" t="n"/>
      <c r="M42" s="42" t="n"/>
    </row>
    <row r="43" ht="21.75" customHeight="1" s="33">
      <c r="A43" s="43" t="n">
        <v>40</v>
      </c>
      <c r="B43" s="44">
        <f t="array" ref="B43:B43">IFERROR(INDEX(통합!$A$1:$A$400,SMALL(IF(통합!$E$1:$E$400="3호차",ROW(통합!$E$1:$E$400)),40)),"")</f>
        <v/>
      </c>
      <c r="C43" s="44">
        <f t="array" ref="C43:C43">IFERROR(INDEX(통합!$B$1:$B$400,SMALL(IF(통합!$E$1:$E$400="3호차",ROW(통합!$E$1:$E$400)),40)),"")</f>
        <v/>
      </c>
      <c r="D43" s="44">
        <f t="array" ref="D43:D43">IFERROR(INDEX(통합!$C$1:$C$400,SMALL(IF(통합!$E$1:$E$400="3호차",ROW(통합!$E$1:$E$400)),40)),"")</f>
        <v/>
      </c>
      <c r="E43" s="44" t="n"/>
      <c r="F43" s="44" t="n"/>
      <c r="H43" s="43" t="n">
        <v>40</v>
      </c>
      <c r="I43" s="44">
        <f t="array" ref="I43:I43">IFERROR(INDEX(통합!$A$1:$A$400,SMALL(IF(통합!$F$1:$F$400="3호차",ROW(통합!$F$1:$F$400)),40)),"")</f>
        <v/>
      </c>
      <c r="J43" s="44">
        <f t="array" ref="J43:J43">IFERROR(INDEX(통합!$B$1:$B$400,SMALL(IF(통합!$F$1:$F$400="3호차",ROW(통합!$F$1:$F$400)),40)),"")</f>
        <v/>
      </c>
      <c r="K43" s="44">
        <f t="array" ref="K43:K43">IFERROR(INDEX(통합!$C$1:$C$400,SMALL(IF(통합!$F$1:$F$400="3호차",ROW(통합!$F$1:$F$400)),40)),"")</f>
        <v/>
      </c>
      <c r="L43" s="44" t="n"/>
      <c r="M43" s="44" t="n"/>
    </row>
    <row r="44" ht="21.75" customHeight="1" s="33">
      <c r="A44" s="41" t="n">
        <v>41</v>
      </c>
      <c r="B44" s="42">
        <f t="array" ref="B44:B44">IFERROR(INDEX(통합!$A$1:$A$400,SMALL(IF(통합!$E$1:$E$400="3호차",ROW(통합!$E$1:$E$400)),41)),"")</f>
        <v/>
      </c>
      <c r="C44" s="42">
        <f t="array" ref="C44:C44">IFERROR(INDEX(통합!$B$1:$B$400,SMALL(IF(통합!$E$1:$E$400="3호차",ROW(통합!$E$1:$E$400)),41)),"")</f>
        <v/>
      </c>
      <c r="D44" s="42">
        <f t="array" ref="D44:D44">IFERROR(INDEX(통합!$C$1:$C$400,SMALL(IF(통합!$E$1:$E$400="3호차",ROW(통합!$E$1:$E$400)),41)),"")</f>
        <v/>
      </c>
      <c r="E44" s="42" t="n"/>
      <c r="F44" s="42" t="n"/>
      <c r="H44" s="41" t="n">
        <v>41</v>
      </c>
      <c r="I44" s="42">
        <f t="array" ref="I44:I44">IFERROR(INDEX(통합!$A$1:$A$400,SMALL(IF(통합!$F$1:$F$400="3호차",ROW(통합!$F$1:$F$400)),41)),"")</f>
        <v/>
      </c>
      <c r="J44" s="42">
        <f t="array" ref="J44:J44">IFERROR(INDEX(통합!$B$1:$B$400,SMALL(IF(통합!$F$1:$F$400="3호차",ROW(통합!$F$1:$F$400)),41)),"")</f>
        <v/>
      </c>
      <c r="K44" s="42">
        <f t="array" ref="K44:K44">IFERROR(INDEX(통합!$C$1:$C$400,SMALL(IF(통합!$F$1:$F$400="3호차",ROW(통합!$F$1:$F$400)),41)),"")</f>
        <v/>
      </c>
      <c r="L44" s="42" t="n"/>
      <c r="M44" s="42" t="n"/>
    </row>
    <row r="45" ht="21.75" customHeight="1" s="33">
      <c r="A45" s="43" t="n">
        <v>42</v>
      </c>
      <c r="B45" s="44">
        <f t="array" ref="B45:B45">IFERROR(INDEX(통합!$A$1:$A$400,SMALL(IF(통합!$E$1:$E$400="3호차",ROW(통합!$E$1:$E$400)),42)),"")</f>
        <v/>
      </c>
      <c r="C45" s="44">
        <f t="array" ref="C45:C45">IFERROR(INDEX(통합!$B$1:$B$400,SMALL(IF(통합!$E$1:$E$400="3호차",ROW(통합!$E$1:$E$400)),42)),"")</f>
        <v/>
      </c>
      <c r="D45" s="44">
        <f t="array" ref="D45:D45">IFERROR(INDEX(통합!$C$1:$C$400,SMALL(IF(통합!$E$1:$E$400="3호차",ROW(통합!$E$1:$E$400)),42)),"")</f>
        <v/>
      </c>
      <c r="E45" s="44" t="n"/>
      <c r="F45" s="44" t="n"/>
      <c r="H45" s="43" t="n">
        <v>42</v>
      </c>
      <c r="I45" s="44">
        <f t="array" ref="I45:I45">IFERROR(INDEX(통합!$A$1:$A$400,SMALL(IF(통합!$F$1:$F$400="3호차",ROW(통합!$F$1:$F$400)),42)),"")</f>
        <v/>
      </c>
      <c r="J45" s="44">
        <f t="array" ref="J45:J45">IFERROR(INDEX(통합!$B$1:$B$400,SMALL(IF(통합!$F$1:$F$400="3호차",ROW(통합!$F$1:$F$400)),42)),"")</f>
        <v/>
      </c>
      <c r="K45" s="44">
        <f t="array" ref="K45:K45">IFERROR(INDEX(통합!$C$1:$C$400,SMALL(IF(통합!$F$1:$F$400="3호차",ROW(통합!$F$1:$F$400)),42)),"")</f>
        <v/>
      </c>
      <c r="L45" s="44" t="n"/>
      <c r="M45" s="44" t="n"/>
    </row>
    <row r="46" ht="21.75" customHeight="1" s="33">
      <c r="A46" s="41" t="n">
        <v>43</v>
      </c>
      <c r="B46" s="42">
        <f t="array" ref="B46:B46">IFERROR(INDEX(통합!$A$1:$A$400,SMALL(IF(통합!$E$1:$E$400="3호차",ROW(통합!$E$1:$E$400)),43)),"")</f>
        <v/>
      </c>
      <c r="C46" s="42">
        <f t="array" ref="C46:C46">IFERROR(INDEX(통합!$B$1:$B$400,SMALL(IF(통합!$E$1:$E$400="3호차",ROW(통합!$E$1:$E$400)),43)),"")</f>
        <v/>
      </c>
      <c r="D46" s="42">
        <f t="array" ref="D46:D46">IFERROR(INDEX(통합!$C$1:$C$400,SMALL(IF(통합!$E$1:$E$400="3호차",ROW(통합!$E$1:$E$400)),43)),"")</f>
        <v/>
      </c>
      <c r="E46" s="42" t="n"/>
      <c r="F46" s="42" t="n"/>
      <c r="H46" s="41" t="n">
        <v>43</v>
      </c>
      <c r="I46" s="42">
        <f t="array" ref="I46:I46">IFERROR(INDEX(통합!$A$1:$A$400,SMALL(IF(통합!$F$1:$F$400="3호차",ROW(통합!$F$1:$F$400)),43)),"")</f>
        <v/>
      </c>
      <c r="J46" s="42">
        <f t="array" ref="J46:J46">IFERROR(INDEX(통합!$B$1:$B$400,SMALL(IF(통합!$F$1:$F$400="3호차",ROW(통합!$F$1:$F$400)),43)),"")</f>
        <v/>
      </c>
      <c r="K46" s="42">
        <f t="array" ref="K46:K46">IFERROR(INDEX(통합!$C$1:$C$400,SMALL(IF(통합!$F$1:$F$400="3호차",ROW(통합!$F$1:$F$400)),43)),"")</f>
        <v/>
      </c>
      <c r="L46" s="42" t="n"/>
      <c r="M46" s="42" t="n"/>
    </row>
    <row r="47" ht="15" customHeight="1" s="33">
      <c r="A47" s="45" t="inlineStr">
        <is>
          <t>합  계</t>
        </is>
      </c>
      <c r="B47" s="35" t="n"/>
      <c r="C47" s="35" t="n"/>
      <c r="D47" s="61">
        <f t="array" ref="D47:D47">IF(SUMPRODUCT((D4:D46&lt;&gt;"")*1)=0,"",SUMPRODUCT((D4:D46&lt;&gt;"")*1))</f>
        <v/>
      </c>
      <c r="E47" s="61" t="n"/>
      <c r="F47" s="61" t="n"/>
      <c r="H47" s="45" t="inlineStr">
        <is>
          <t>합  계</t>
        </is>
      </c>
      <c r="I47" s="35" t="n"/>
      <c r="J47" s="35" t="n"/>
      <c r="K47" s="61">
        <f t="array" ref="K47:K47">IF(SUMPRODUCT((K4:K46&lt;&gt;"")*1)=0,"",SUMPRODUCT((K4:K46&lt;&gt;"")*1))</f>
        <v/>
      </c>
      <c r="L47" s="61" t="n"/>
      <c r="M47" s="61" t="n"/>
    </row>
  </sheetData>
  <mergeCells count="6">
    <mergeCell ref="A2:B2"/>
    <mergeCell ref="H1:M1"/>
    <mergeCell ref="H2:I2"/>
    <mergeCell ref="A47:C47"/>
    <mergeCell ref="A1:F1"/>
    <mergeCell ref="H47:J4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M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5.51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5.51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4호차</t>
        </is>
      </c>
      <c r="B1" s="35" t="n"/>
      <c r="C1" s="35" t="n"/>
      <c r="D1" s="35" t="n"/>
      <c r="E1" s="35" t="n"/>
      <c r="F1" s="35" t="n"/>
      <c r="H1" s="47" t="inlineStr">
        <is>
          <t>하행  4호차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H2" s="63" t="inlineStr">
        <is>
          <t>선탑자:</t>
        </is>
      </c>
      <c r="I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>
        <f t="array" ref="B4:B4">IFERROR(INDEX(통합!$A$1:$A$400,SMALL(IF(통합!$E$1:$E$400="4호차",ROW(통합!$E$1:$E$400)),1)),"")</f>
        <v/>
      </c>
      <c r="C4" s="42">
        <f t="array" ref="C4:C4">IFERROR(INDEX(통합!$B$1:$B$400,SMALL(IF(통합!$E$1:$E$400="4호차",ROW(통합!$E$1:$E$400)),1)),"")</f>
        <v/>
      </c>
      <c r="D4" s="42">
        <f t="array" ref="D4:D4">IFERROR(INDEX(통합!$C$1:$C$400,SMALL(IF(통합!$E$1:$E$400="4호차",ROW(통합!$E$1:$E$400)),1)),"")</f>
        <v/>
      </c>
      <c r="E4" s="42" t="n"/>
      <c r="F4" s="42" t="n"/>
      <c r="H4" s="41" t="n">
        <v>1</v>
      </c>
      <c r="I4" s="42">
        <f t="array" ref="I4:I4">IFERROR(INDEX(통합!$A$1:$A$400,SMALL(IF(통합!$F$1:$F$400="4호차",ROW(통합!$F$1:$F$400)),1)),"")</f>
        <v/>
      </c>
      <c r="J4" s="42">
        <f t="array" ref="J4:J4">IFERROR(INDEX(통합!$B$1:$B$400,SMALL(IF(통합!$F$1:$F$400="4호차",ROW(통합!$F$1:$F$400)),1)),"")</f>
        <v/>
      </c>
      <c r="K4" s="42">
        <f t="array" ref="K4:K4">IFERROR(INDEX(통합!$C$1:$C$400,SMALL(IF(통합!$F$1:$F$400="4호차",ROW(통합!$F$1:$F$400)),1)),"")</f>
        <v/>
      </c>
      <c r="L4" s="42" t="n"/>
      <c r="M4" s="42" t="n"/>
    </row>
    <row r="5" ht="21.75" customHeight="1" s="33">
      <c r="A5" s="43" t="n">
        <v>2</v>
      </c>
      <c r="B5" s="44">
        <f t="array" ref="B5:B5">IFERROR(INDEX(통합!$A$1:$A$400,SMALL(IF(통합!$E$1:$E$400="4호차",ROW(통합!$E$1:$E$400)),2)),"")</f>
        <v/>
      </c>
      <c r="C5" s="44">
        <f t="array" ref="C5:C5">IFERROR(INDEX(통합!$B$1:$B$400,SMALL(IF(통합!$E$1:$E$400="4호차",ROW(통합!$E$1:$E$400)),2)),"")</f>
        <v/>
      </c>
      <c r="D5" s="44">
        <f t="array" ref="D5:D5">IFERROR(INDEX(통합!$C$1:$C$400,SMALL(IF(통합!$E$1:$E$400="4호차",ROW(통합!$E$1:$E$400)),2)),"")</f>
        <v/>
      </c>
      <c r="E5" s="44" t="n"/>
      <c r="F5" s="44" t="n"/>
      <c r="H5" s="43" t="n">
        <v>2</v>
      </c>
      <c r="I5" s="44">
        <f t="array" ref="I5:I5">IFERROR(INDEX(통합!$A$1:$A$400,SMALL(IF(통합!$F$1:$F$400="4호차",ROW(통합!$F$1:$F$400)),2)),"")</f>
        <v/>
      </c>
      <c r="J5" s="44">
        <f t="array" ref="J5:J5">IFERROR(INDEX(통합!$B$1:$B$400,SMALL(IF(통합!$F$1:$F$400="4호차",ROW(통합!$F$1:$F$400)),2)),"")</f>
        <v/>
      </c>
      <c r="K5" s="44">
        <f t="array" ref="K5:K5">IFERROR(INDEX(통합!$C$1:$C$400,SMALL(IF(통합!$F$1:$F$400="4호차",ROW(통합!$F$1:$F$400)),2)),"")</f>
        <v/>
      </c>
      <c r="L5" s="44" t="n"/>
      <c r="M5" s="44" t="n"/>
    </row>
    <row r="6" ht="21.75" customHeight="1" s="33">
      <c r="A6" s="41" t="n">
        <v>3</v>
      </c>
      <c r="B6" s="42">
        <f t="array" ref="B6:B6">IFERROR(INDEX(통합!$A$1:$A$400,SMALL(IF(통합!$E$1:$E$400="4호차",ROW(통합!$E$1:$E$400)),3)),"")</f>
        <v/>
      </c>
      <c r="C6" s="42">
        <f t="array" ref="C6:C6">IFERROR(INDEX(통합!$B$1:$B$400,SMALL(IF(통합!$E$1:$E$400="4호차",ROW(통합!$E$1:$E$400)),3)),"")</f>
        <v/>
      </c>
      <c r="D6" s="42">
        <f t="array" ref="D6:D6">IFERROR(INDEX(통합!$C$1:$C$400,SMALL(IF(통합!$E$1:$E$400="4호차",ROW(통합!$E$1:$E$400)),3)),"")</f>
        <v/>
      </c>
      <c r="E6" s="42" t="n"/>
      <c r="F6" s="42" t="n"/>
      <c r="H6" s="41" t="n">
        <v>3</v>
      </c>
      <c r="I6" s="42">
        <f t="array" ref="I6:I6">IFERROR(INDEX(통합!$A$1:$A$400,SMALL(IF(통합!$F$1:$F$400="4호차",ROW(통합!$F$1:$F$400)),3)),"")</f>
        <v/>
      </c>
      <c r="J6" s="42">
        <f t="array" ref="J6:J6">IFERROR(INDEX(통합!$B$1:$B$400,SMALL(IF(통합!$F$1:$F$400="4호차",ROW(통합!$F$1:$F$400)),3)),"")</f>
        <v/>
      </c>
      <c r="K6" s="42">
        <f t="array" ref="K6:K6">IFERROR(INDEX(통합!$C$1:$C$400,SMALL(IF(통합!$F$1:$F$400="4호차",ROW(통합!$F$1:$F$400)),3)),"")</f>
        <v/>
      </c>
      <c r="L6" s="42" t="n"/>
      <c r="M6" s="42" t="n"/>
    </row>
    <row r="7" ht="21.75" customHeight="1" s="33">
      <c r="A7" s="43" t="n">
        <v>4</v>
      </c>
      <c r="B7" s="44">
        <f t="array" ref="B7:B7">IFERROR(INDEX(통합!$A$1:$A$400,SMALL(IF(통합!$E$1:$E$400="4호차",ROW(통합!$E$1:$E$400)),4)),"")</f>
        <v/>
      </c>
      <c r="C7" s="44">
        <f t="array" ref="C7:C7">IFERROR(INDEX(통합!$B$1:$B$400,SMALL(IF(통합!$E$1:$E$400="4호차",ROW(통합!$E$1:$E$400)),4)),"")</f>
        <v/>
      </c>
      <c r="D7" s="44">
        <f t="array" ref="D7:D7">IFERROR(INDEX(통합!$C$1:$C$400,SMALL(IF(통합!$E$1:$E$400="4호차",ROW(통합!$E$1:$E$400)),4)),"")</f>
        <v/>
      </c>
      <c r="E7" s="44" t="n"/>
      <c r="F7" s="44" t="n"/>
      <c r="H7" s="43" t="n">
        <v>4</v>
      </c>
      <c r="I7" s="44">
        <f t="array" ref="I7:I7">IFERROR(INDEX(통합!$A$1:$A$400,SMALL(IF(통합!$F$1:$F$400="4호차",ROW(통합!$F$1:$F$400)),4)),"")</f>
        <v/>
      </c>
      <c r="J7" s="44">
        <f t="array" ref="J7:J7">IFERROR(INDEX(통합!$B$1:$B$400,SMALL(IF(통합!$F$1:$F$400="4호차",ROW(통합!$F$1:$F$400)),4)),"")</f>
        <v/>
      </c>
      <c r="K7" s="44">
        <f t="array" ref="K7:K7">IFERROR(INDEX(통합!$C$1:$C$400,SMALL(IF(통합!$F$1:$F$400="4호차",ROW(통합!$F$1:$F$400)),4)),"")</f>
        <v/>
      </c>
      <c r="L7" s="44" t="n"/>
      <c r="M7" s="44" t="n"/>
    </row>
    <row r="8" ht="21.75" customHeight="1" s="33">
      <c r="A8" s="41" t="n">
        <v>5</v>
      </c>
      <c r="B8" s="42">
        <f t="array" ref="B8:B8">IFERROR(INDEX(통합!$A$1:$A$400,SMALL(IF(통합!$E$1:$E$400="4호차",ROW(통합!$E$1:$E$400)),5)),"")</f>
        <v/>
      </c>
      <c r="C8" s="42">
        <f t="array" ref="C8:C8">IFERROR(INDEX(통합!$B$1:$B$400,SMALL(IF(통합!$E$1:$E$400="4호차",ROW(통합!$E$1:$E$400)),5)),"")</f>
        <v/>
      </c>
      <c r="D8" s="42">
        <f t="array" ref="D8:D8">IFERROR(INDEX(통합!$C$1:$C$400,SMALL(IF(통합!$E$1:$E$400="4호차",ROW(통합!$E$1:$E$400)),5)),"")</f>
        <v/>
      </c>
      <c r="E8" s="42" t="n"/>
      <c r="F8" s="42" t="n"/>
      <c r="H8" s="41" t="n">
        <v>5</v>
      </c>
      <c r="I8" s="42">
        <f t="array" ref="I8:I8">IFERROR(INDEX(통합!$A$1:$A$400,SMALL(IF(통합!$F$1:$F$400="4호차",ROW(통합!$F$1:$F$400)),5)),"")</f>
        <v/>
      </c>
      <c r="J8" s="42">
        <f t="array" ref="J8:J8">IFERROR(INDEX(통합!$B$1:$B$400,SMALL(IF(통합!$F$1:$F$400="4호차",ROW(통합!$F$1:$F$400)),5)),"")</f>
        <v/>
      </c>
      <c r="K8" s="42">
        <f t="array" ref="K8:K8">IFERROR(INDEX(통합!$C$1:$C$400,SMALL(IF(통합!$F$1:$F$400="4호차",ROW(통합!$F$1:$F$400)),5)),"")</f>
        <v/>
      </c>
      <c r="L8" s="42" t="n"/>
      <c r="M8" s="42" t="n"/>
    </row>
    <row r="9" ht="21.75" customHeight="1" s="33">
      <c r="A9" s="43" t="n">
        <v>6</v>
      </c>
      <c r="B9" s="44">
        <f t="array" ref="B9:B9">IFERROR(INDEX(통합!$A$1:$A$400,SMALL(IF(통합!$E$1:$E$400="4호차",ROW(통합!$E$1:$E$400)),6)),"")</f>
        <v/>
      </c>
      <c r="C9" s="44">
        <f t="array" ref="C9:C9">IFERROR(INDEX(통합!$B$1:$B$400,SMALL(IF(통합!$E$1:$E$400="4호차",ROW(통합!$E$1:$E$400)),6)),"")</f>
        <v/>
      </c>
      <c r="D9" s="44">
        <f t="array" ref="D9:D9">IFERROR(INDEX(통합!$C$1:$C$400,SMALL(IF(통합!$E$1:$E$400="4호차",ROW(통합!$E$1:$E$400)),6)),"")</f>
        <v/>
      </c>
      <c r="E9" s="44" t="n"/>
      <c r="F9" s="44" t="n"/>
      <c r="H9" s="43" t="n">
        <v>6</v>
      </c>
      <c r="I9" s="44">
        <f t="array" ref="I9:I9">IFERROR(INDEX(통합!$A$1:$A$400,SMALL(IF(통합!$F$1:$F$400="4호차",ROW(통합!$F$1:$F$400)),6)),"")</f>
        <v/>
      </c>
      <c r="J9" s="44">
        <f t="array" ref="J9:J9">IFERROR(INDEX(통합!$B$1:$B$400,SMALL(IF(통합!$F$1:$F$400="4호차",ROW(통합!$F$1:$F$400)),6)),"")</f>
        <v/>
      </c>
      <c r="K9" s="44">
        <f t="array" ref="K9:K9">IFERROR(INDEX(통합!$C$1:$C$400,SMALL(IF(통합!$F$1:$F$400="4호차",ROW(통합!$F$1:$F$400)),6)),"")</f>
        <v/>
      </c>
      <c r="L9" s="44" t="n"/>
      <c r="M9" s="44" t="n"/>
    </row>
    <row r="10" ht="21.75" customHeight="1" s="33">
      <c r="A10" s="41" t="n">
        <v>7</v>
      </c>
      <c r="B10" s="42">
        <f t="array" ref="B10:B10">IFERROR(INDEX(통합!$A$1:$A$400,SMALL(IF(통합!$E$1:$E$400="4호차",ROW(통합!$E$1:$E$400)),7)),"")</f>
        <v/>
      </c>
      <c r="C10" s="42">
        <f t="array" ref="C10:C10">IFERROR(INDEX(통합!$B$1:$B$400,SMALL(IF(통합!$E$1:$E$400="4호차",ROW(통합!$E$1:$E$400)),7)),"")</f>
        <v/>
      </c>
      <c r="D10" s="42">
        <f t="array" ref="D10:D10">IFERROR(INDEX(통합!$C$1:$C$400,SMALL(IF(통합!$E$1:$E$400="4호차",ROW(통합!$E$1:$E$400)),7)),"")</f>
        <v/>
      </c>
      <c r="E10" s="42" t="n"/>
      <c r="F10" s="42" t="n"/>
      <c r="H10" s="41" t="n">
        <v>7</v>
      </c>
      <c r="I10" s="42">
        <f t="array" ref="I10:I10">IFERROR(INDEX(통합!$A$1:$A$400,SMALL(IF(통합!$F$1:$F$400="4호차",ROW(통합!$F$1:$F$400)),7)),"")</f>
        <v/>
      </c>
      <c r="J10" s="42">
        <f t="array" ref="J10:J10">IFERROR(INDEX(통합!$B$1:$B$400,SMALL(IF(통합!$F$1:$F$400="4호차",ROW(통합!$F$1:$F$400)),7)),"")</f>
        <v/>
      </c>
      <c r="K10" s="42">
        <f t="array" ref="K10:K10">IFERROR(INDEX(통합!$C$1:$C$400,SMALL(IF(통합!$F$1:$F$400="4호차",ROW(통합!$F$1:$F$400)),7)),"")</f>
        <v/>
      </c>
      <c r="L10" s="42" t="n"/>
      <c r="M10" s="42" t="n"/>
    </row>
    <row r="11" ht="21.75" customHeight="1" s="33">
      <c r="A11" s="43" t="n">
        <v>8</v>
      </c>
      <c r="B11" s="44">
        <f t="array" ref="B11:B11">IFERROR(INDEX(통합!$A$1:$A$400,SMALL(IF(통합!$E$1:$E$400="4호차",ROW(통합!$E$1:$E$400)),8)),"")</f>
        <v/>
      </c>
      <c r="C11" s="44">
        <f t="array" ref="C11:C11">IFERROR(INDEX(통합!$B$1:$B$400,SMALL(IF(통합!$E$1:$E$400="4호차",ROW(통합!$E$1:$E$400)),8)),"")</f>
        <v/>
      </c>
      <c r="D11" s="44">
        <f t="array" ref="D11:D11">IFERROR(INDEX(통합!$C$1:$C$400,SMALL(IF(통합!$E$1:$E$400="4호차",ROW(통합!$E$1:$E$400)),8)),"")</f>
        <v/>
      </c>
      <c r="E11" s="44" t="n"/>
      <c r="F11" s="44" t="n"/>
      <c r="H11" s="43" t="n">
        <v>8</v>
      </c>
      <c r="I11" s="44">
        <f t="array" ref="I11:I11">IFERROR(INDEX(통합!$A$1:$A$400,SMALL(IF(통합!$F$1:$F$400="4호차",ROW(통합!$F$1:$F$400)),8)),"")</f>
        <v/>
      </c>
      <c r="J11" s="44">
        <f t="array" ref="J11:J11">IFERROR(INDEX(통합!$B$1:$B$400,SMALL(IF(통합!$F$1:$F$400="4호차",ROW(통합!$F$1:$F$400)),8)),"")</f>
        <v/>
      </c>
      <c r="K11" s="44">
        <f t="array" ref="K11:K11">IFERROR(INDEX(통합!$C$1:$C$400,SMALL(IF(통합!$F$1:$F$400="4호차",ROW(통합!$F$1:$F$400)),8)),"")</f>
        <v/>
      </c>
      <c r="L11" s="44" t="n"/>
      <c r="M11" s="44" t="n"/>
    </row>
    <row r="12" ht="21.75" customHeight="1" s="33">
      <c r="A12" s="41" t="n">
        <v>9</v>
      </c>
      <c r="B12" s="42">
        <f t="array" ref="B12:B12">IFERROR(INDEX(통합!$A$1:$A$400,SMALL(IF(통합!$E$1:$E$400="4호차",ROW(통합!$E$1:$E$400)),9)),"")</f>
        <v/>
      </c>
      <c r="C12" s="42">
        <f t="array" ref="C12:C12">IFERROR(INDEX(통합!$B$1:$B$400,SMALL(IF(통합!$E$1:$E$400="4호차",ROW(통합!$E$1:$E$400)),9)),"")</f>
        <v/>
      </c>
      <c r="D12" s="42">
        <f t="array" ref="D12:D12">IFERROR(INDEX(통합!$C$1:$C$400,SMALL(IF(통합!$E$1:$E$400="4호차",ROW(통합!$E$1:$E$400)),9)),"")</f>
        <v/>
      </c>
      <c r="E12" s="42" t="n"/>
      <c r="F12" s="42" t="n"/>
      <c r="H12" s="41" t="n">
        <v>9</v>
      </c>
      <c r="I12" s="42">
        <f t="array" ref="I12:I12">IFERROR(INDEX(통합!$A$1:$A$400,SMALL(IF(통합!$F$1:$F$400="4호차",ROW(통합!$F$1:$F$400)),9)),"")</f>
        <v/>
      </c>
      <c r="J12" s="42">
        <f t="array" ref="J12:J12">IFERROR(INDEX(통합!$B$1:$B$400,SMALL(IF(통합!$F$1:$F$400="4호차",ROW(통합!$F$1:$F$400)),9)),"")</f>
        <v/>
      </c>
      <c r="K12" s="42">
        <f t="array" ref="K12:K12">IFERROR(INDEX(통합!$C$1:$C$400,SMALL(IF(통합!$F$1:$F$400="4호차",ROW(통합!$F$1:$F$400)),9)),"")</f>
        <v/>
      </c>
      <c r="L12" s="42" t="n"/>
      <c r="M12" s="42" t="n"/>
    </row>
    <row r="13" ht="21.75" customHeight="1" s="33">
      <c r="A13" s="43" t="n">
        <v>10</v>
      </c>
      <c r="B13" s="44">
        <f t="array" ref="B13:B13">IFERROR(INDEX(통합!$A$1:$A$400,SMALL(IF(통합!$E$1:$E$400="4호차",ROW(통합!$E$1:$E$400)),10)),"")</f>
        <v/>
      </c>
      <c r="C13" s="44">
        <f t="array" ref="C13:C13">IFERROR(INDEX(통합!$B$1:$B$400,SMALL(IF(통합!$E$1:$E$400="4호차",ROW(통합!$E$1:$E$400)),10)),"")</f>
        <v/>
      </c>
      <c r="D13" s="44">
        <f t="array" ref="D13:D13">IFERROR(INDEX(통합!$C$1:$C$400,SMALL(IF(통합!$E$1:$E$400="4호차",ROW(통합!$E$1:$E$400)),10)),"")</f>
        <v/>
      </c>
      <c r="E13" s="44" t="n"/>
      <c r="F13" s="44" t="n"/>
      <c r="H13" s="43" t="n">
        <v>10</v>
      </c>
      <c r="I13" s="44">
        <f t="array" ref="I13:I13">IFERROR(INDEX(통합!$A$1:$A$400,SMALL(IF(통합!$F$1:$F$400="4호차",ROW(통합!$F$1:$F$400)),10)),"")</f>
        <v/>
      </c>
      <c r="J13" s="44">
        <f t="array" ref="J13:J13">IFERROR(INDEX(통합!$B$1:$B$400,SMALL(IF(통합!$F$1:$F$400="4호차",ROW(통합!$F$1:$F$400)),10)),"")</f>
        <v/>
      </c>
      <c r="K13" s="44">
        <f t="array" ref="K13:K13">IFERROR(INDEX(통합!$C$1:$C$400,SMALL(IF(통합!$F$1:$F$400="4호차",ROW(통합!$F$1:$F$400)),10)),"")</f>
        <v/>
      </c>
      <c r="L13" s="44" t="n"/>
      <c r="M13" s="44" t="n"/>
    </row>
    <row r="14" ht="21.75" customHeight="1" s="33">
      <c r="A14" s="41" t="n">
        <v>11</v>
      </c>
      <c r="B14" s="42">
        <f t="array" ref="B14:B14">IFERROR(INDEX(통합!$A$1:$A$400,SMALL(IF(통합!$E$1:$E$400="4호차",ROW(통합!$E$1:$E$400)),11)),"")</f>
        <v/>
      </c>
      <c r="C14" s="42">
        <f t="array" ref="C14:C14">IFERROR(INDEX(통합!$B$1:$B$400,SMALL(IF(통합!$E$1:$E$400="4호차",ROW(통합!$E$1:$E$400)),11)),"")</f>
        <v/>
      </c>
      <c r="D14" s="42">
        <f t="array" ref="D14:D14">IFERROR(INDEX(통합!$C$1:$C$400,SMALL(IF(통합!$E$1:$E$400="4호차",ROW(통합!$E$1:$E$400)),11)),"")</f>
        <v/>
      </c>
      <c r="E14" s="42" t="n"/>
      <c r="F14" s="42" t="n"/>
      <c r="H14" s="41" t="n">
        <v>11</v>
      </c>
      <c r="I14" s="42">
        <f t="array" ref="I14:I14">IFERROR(INDEX(통합!$A$1:$A$400,SMALL(IF(통합!$F$1:$F$400="4호차",ROW(통합!$F$1:$F$400)),11)),"")</f>
        <v/>
      </c>
      <c r="J14" s="42">
        <f t="array" ref="J14:J14">IFERROR(INDEX(통합!$B$1:$B$400,SMALL(IF(통합!$F$1:$F$400="4호차",ROW(통합!$F$1:$F$400)),11)),"")</f>
        <v/>
      </c>
      <c r="K14" s="42">
        <f t="array" ref="K14:K14">IFERROR(INDEX(통합!$C$1:$C$400,SMALL(IF(통합!$F$1:$F$400="4호차",ROW(통합!$F$1:$F$400)),11)),"")</f>
        <v/>
      </c>
      <c r="L14" s="42" t="n"/>
      <c r="M14" s="42" t="n"/>
    </row>
    <row r="15" ht="21.75" customHeight="1" s="33">
      <c r="A15" s="43" t="n">
        <v>12</v>
      </c>
      <c r="B15" s="44">
        <f t="array" ref="B15:B15">IFERROR(INDEX(통합!$A$1:$A$400,SMALL(IF(통합!$E$1:$E$400="4호차",ROW(통합!$E$1:$E$400)),12)),"")</f>
        <v/>
      </c>
      <c r="C15" s="44">
        <f t="array" ref="C15:C15">IFERROR(INDEX(통합!$B$1:$B$400,SMALL(IF(통합!$E$1:$E$400="4호차",ROW(통합!$E$1:$E$400)),12)),"")</f>
        <v/>
      </c>
      <c r="D15" s="44">
        <f t="array" ref="D15:D15">IFERROR(INDEX(통합!$C$1:$C$400,SMALL(IF(통합!$E$1:$E$400="4호차",ROW(통합!$E$1:$E$400)),12)),"")</f>
        <v/>
      </c>
      <c r="E15" s="44" t="n"/>
      <c r="F15" s="44" t="n"/>
      <c r="H15" s="43" t="n">
        <v>12</v>
      </c>
      <c r="I15" s="44">
        <f t="array" ref="I15:I15">IFERROR(INDEX(통합!$A$1:$A$400,SMALL(IF(통합!$F$1:$F$400="4호차",ROW(통합!$F$1:$F$400)),12)),"")</f>
        <v/>
      </c>
      <c r="J15" s="44">
        <f t="array" ref="J15:J15">IFERROR(INDEX(통합!$B$1:$B$400,SMALL(IF(통합!$F$1:$F$400="4호차",ROW(통합!$F$1:$F$400)),12)),"")</f>
        <v/>
      </c>
      <c r="K15" s="44">
        <f t="array" ref="K15:K15">IFERROR(INDEX(통합!$C$1:$C$400,SMALL(IF(통합!$F$1:$F$400="4호차",ROW(통합!$F$1:$F$400)),12)),"")</f>
        <v/>
      </c>
      <c r="L15" s="44" t="n"/>
      <c r="M15" s="44" t="n"/>
    </row>
    <row r="16" ht="21.75" customHeight="1" s="33">
      <c r="A16" s="41" t="n">
        <v>13</v>
      </c>
      <c r="B16" s="42">
        <f t="array" ref="B16:B16">IFERROR(INDEX(통합!$A$1:$A$400,SMALL(IF(통합!$E$1:$E$400="4호차",ROW(통합!$E$1:$E$400)),13)),"")</f>
        <v/>
      </c>
      <c r="C16" s="42">
        <f t="array" ref="C16:C16">IFERROR(INDEX(통합!$B$1:$B$400,SMALL(IF(통합!$E$1:$E$400="4호차",ROW(통합!$E$1:$E$400)),13)),"")</f>
        <v/>
      </c>
      <c r="D16" s="42">
        <f t="array" ref="D16:D16">IFERROR(INDEX(통합!$C$1:$C$400,SMALL(IF(통합!$E$1:$E$400="4호차",ROW(통합!$E$1:$E$400)),13)),"")</f>
        <v/>
      </c>
      <c r="E16" s="42" t="n"/>
      <c r="F16" s="42" t="n"/>
      <c r="H16" s="41" t="n">
        <v>13</v>
      </c>
      <c r="I16" s="42">
        <f t="array" ref="I16:I16">IFERROR(INDEX(통합!$A$1:$A$400,SMALL(IF(통합!$F$1:$F$400="4호차",ROW(통합!$F$1:$F$400)),13)),"")</f>
        <v/>
      </c>
      <c r="J16" s="42">
        <f t="array" ref="J16:J16">IFERROR(INDEX(통합!$B$1:$B$400,SMALL(IF(통합!$F$1:$F$400="4호차",ROW(통합!$F$1:$F$400)),13)),"")</f>
        <v/>
      </c>
      <c r="K16" s="42">
        <f t="array" ref="K16:K16">IFERROR(INDEX(통합!$C$1:$C$400,SMALL(IF(통합!$F$1:$F$400="4호차",ROW(통합!$F$1:$F$400)),13)),"")</f>
        <v/>
      </c>
      <c r="L16" s="42" t="n"/>
      <c r="M16" s="42" t="n"/>
    </row>
    <row r="17" ht="21.75" customHeight="1" s="33">
      <c r="A17" s="43" t="n">
        <v>14</v>
      </c>
      <c r="B17" s="44">
        <f t="array" ref="B17:B17">IFERROR(INDEX(통합!$A$1:$A$400,SMALL(IF(통합!$E$1:$E$400="4호차",ROW(통합!$E$1:$E$400)),14)),"")</f>
        <v/>
      </c>
      <c r="C17" s="44">
        <f t="array" ref="C17:C17">IFERROR(INDEX(통합!$B$1:$B$400,SMALL(IF(통합!$E$1:$E$400="4호차",ROW(통합!$E$1:$E$400)),14)),"")</f>
        <v/>
      </c>
      <c r="D17" s="44">
        <f t="array" ref="D17:D17">IFERROR(INDEX(통합!$C$1:$C$400,SMALL(IF(통합!$E$1:$E$400="4호차",ROW(통합!$E$1:$E$400)),14)),"")</f>
        <v/>
      </c>
      <c r="E17" s="44" t="n"/>
      <c r="F17" s="44" t="n"/>
      <c r="H17" s="43" t="n">
        <v>14</v>
      </c>
      <c r="I17" s="44">
        <f t="array" ref="I17:I17">IFERROR(INDEX(통합!$A$1:$A$400,SMALL(IF(통합!$F$1:$F$400="4호차",ROW(통합!$F$1:$F$400)),14)),"")</f>
        <v/>
      </c>
      <c r="J17" s="44">
        <f t="array" ref="J17:J17">IFERROR(INDEX(통합!$B$1:$B$400,SMALL(IF(통합!$F$1:$F$400="4호차",ROW(통합!$F$1:$F$400)),14)),"")</f>
        <v/>
      </c>
      <c r="K17" s="44">
        <f t="array" ref="K17:K17">IFERROR(INDEX(통합!$C$1:$C$400,SMALL(IF(통합!$F$1:$F$400="4호차",ROW(통합!$F$1:$F$400)),14)),"")</f>
        <v/>
      </c>
      <c r="L17" s="44" t="n"/>
      <c r="M17" s="44" t="n"/>
    </row>
    <row r="18" ht="21.75" customHeight="1" s="33">
      <c r="A18" s="41" t="n">
        <v>15</v>
      </c>
      <c r="B18" s="42">
        <f t="array" ref="B18:B18">IFERROR(INDEX(통합!$A$1:$A$400,SMALL(IF(통합!$E$1:$E$400="4호차",ROW(통합!$E$1:$E$400)),15)),"")</f>
        <v/>
      </c>
      <c r="C18" s="42">
        <f t="array" ref="C18:C18">IFERROR(INDEX(통합!$B$1:$B$400,SMALL(IF(통합!$E$1:$E$400="4호차",ROW(통합!$E$1:$E$400)),15)),"")</f>
        <v/>
      </c>
      <c r="D18" s="42">
        <f t="array" ref="D18:D18">IFERROR(INDEX(통합!$C$1:$C$400,SMALL(IF(통합!$E$1:$E$400="4호차",ROW(통합!$E$1:$E$400)),15)),"")</f>
        <v/>
      </c>
      <c r="E18" s="42" t="n"/>
      <c r="F18" s="42" t="n"/>
      <c r="H18" s="41" t="n">
        <v>15</v>
      </c>
      <c r="I18" s="42">
        <f t="array" ref="I18:I18">IFERROR(INDEX(통합!$A$1:$A$400,SMALL(IF(통합!$F$1:$F$400="4호차",ROW(통합!$F$1:$F$400)),15)),"")</f>
        <v/>
      </c>
      <c r="J18" s="42">
        <f t="array" ref="J18:J18">IFERROR(INDEX(통합!$B$1:$B$400,SMALL(IF(통합!$F$1:$F$400="4호차",ROW(통합!$F$1:$F$400)),15)),"")</f>
        <v/>
      </c>
      <c r="K18" s="42">
        <f t="array" ref="K18:K18">IFERROR(INDEX(통합!$C$1:$C$400,SMALL(IF(통합!$F$1:$F$400="4호차",ROW(통합!$F$1:$F$400)),15)),"")</f>
        <v/>
      </c>
      <c r="L18" s="42" t="n"/>
      <c r="M18" s="42" t="n"/>
    </row>
    <row r="19" ht="21.75" customHeight="1" s="33">
      <c r="A19" s="43" t="n">
        <v>16</v>
      </c>
      <c r="B19" s="44">
        <f t="array" ref="B19:B19">IFERROR(INDEX(통합!$A$1:$A$400,SMALL(IF(통합!$E$1:$E$400="4호차",ROW(통합!$E$1:$E$400)),16)),"")</f>
        <v/>
      </c>
      <c r="C19" s="44">
        <f t="array" ref="C19:C19">IFERROR(INDEX(통합!$B$1:$B$400,SMALL(IF(통합!$E$1:$E$400="4호차",ROW(통합!$E$1:$E$400)),16)),"")</f>
        <v/>
      </c>
      <c r="D19" s="44">
        <f t="array" ref="D19:D19">IFERROR(INDEX(통합!$C$1:$C$400,SMALL(IF(통합!$E$1:$E$400="4호차",ROW(통합!$E$1:$E$400)),16)),"")</f>
        <v/>
      </c>
      <c r="E19" s="44" t="n"/>
      <c r="F19" s="44" t="n"/>
      <c r="H19" s="43" t="n">
        <v>16</v>
      </c>
      <c r="I19" s="44">
        <f t="array" ref="I19:I19">IFERROR(INDEX(통합!$A$1:$A$400,SMALL(IF(통합!$F$1:$F$400="4호차",ROW(통합!$F$1:$F$400)),16)),"")</f>
        <v/>
      </c>
      <c r="J19" s="44">
        <f t="array" ref="J19:J19">IFERROR(INDEX(통합!$B$1:$B$400,SMALL(IF(통합!$F$1:$F$400="4호차",ROW(통합!$F$1:$F$400)),16)),"")</f>
        <v/>
      </c>
      <c r="K19" s="44">
        <f t="array" ref="K19:K19">IFERROR(INDEX(통합!$C$1:$C$400,SMALL(IF(통합!$F$1:$F$400="4호차",ROW(통합!$F$1:$F$400)),16)),"")</f>
        <v/>
      </c>
      <c r="L19" s="44" t="n"/>
      <c r="M19" s="44" t="n"/>
    </row>
    <row r="20" ht="21.75" customHeight="1" s="33">
      <c r="A20" s="41" t="n">
        <v>17</v>
      </c>
      <c r="B20" s="42">
        <f t="array" ref="B20:B20">IFERROR(INDEX(통합!$A$1:$A$400,SMALL(IF(통합!$E$1:$E$400="4호차",ROW(통합!$E$1:$E$400)),17)),"")</f>
        <v/>
      </c>
      <c r="C20" s="42">
        <f t="array" ref="C20:C20">IFERROR(INDEX(통합!$B$1:$B$400,SMALL(IF(통합!$E$1:$E$400="4호차",ROW(통합!$E$1:$E$400)),17)),"")</f>
        <v/>
      </c>
      <c r="D20" s="42">
        <f t="array" ref="D20:D20">IFERROR(INDEX(통합!$C$1:$C$400,SMALL(IF(통합!$E$1:$E$400="4호차",ROW(통합!$E$1:$E$400)),17)),"")</f>
        <v/>
      </c>
      <c r="E20" s="42" t="n"/>
      <c r="F20" s="42" t="n"/>
      <c r="H20" s="41" t="n">
        <v>17</v>
      </c>
      <c r="I20" s="42">
        <f t="array" ref="I20:I20">IFERROR(INDEX(통합!$A$1:$A$400,SMALL(IF(통합!$F$1:$F$400="4호차",ROW(통합!$F$1:$F$400)),17)),"")</f>
        <v/>
      </c>
      <c r="J20" s="42">
        <f t="array" ref="J20:J20">IFERROR(INDEX(통합!$B$1:$B$400,SMALL(IF(통합!$F$1:$F$400="4호차",ROW(통합!$F$1:$F$400)),17)),"")</f>
        <v/>
      </c>
      <c r="K20" s="42">
        <f t="array" ref="K20:K20">IFERROR(INDEX(통합!$C$1:$C$400,SMALL(IF(통합!$F$1:$F$400="4호차",ROW(통합!$F$1:$F$400)),17)),"")</f>
        <v/>
      </c>
      <c r="L20" s="42" t="n"/>
      <c r="M20" s="42" t="n"/>
    </row>
    <row r="21" ht="21.75" customHeight="1" s="33">
      <c r="A21" s="43" t="n">
        <v>18</v>
      </c>
      <c r="B21" s="44">
        <f t="array" ref="B21:B21">IFERROR(INDEX(통합!$A$1:$A$400,SMALL(IF(통합!$E$1:$E$400="4호차",ROW(통합!$E$1:$E$400)),18)),"")</f>
        <v/>
      </c>
      <c r="C21" s="44">
        <f t="array" ref="C21:C21">IFERROR(INDEX(통합!$B$1:$B$400,SMALL(IF(통합!$E$1:$E$400="4호차",ROW(통합!$E$1:$E$400)),18)),"")</f>
        <v/>
      </c>
      <c r="D21" s="44">
        <f t="array" ref="D21:D21">IFERROR(INDEX(통합!$C$1:$C$400,SMALL(IF(통합!$E$1:$E$400="4호차",ROW(통합!$E$1:$E$400)),18)),"")</f>
        <v/>
      </c>
      <c r="E21" s="44" t="n"/>
      <c r="F21" s="44" t="n"/>
      <c r="H21" s="43" t="n">
        <v>18</v>
      </c>
      <c r="I21" s="44">
        <f t="array" ref="I21:I21">IFERROR(INDEX(통합!$A$1:$A$400,SMALL(IF(통합!$F$1:$F$400="4호차",ROW(통합!$F$1:$F$400)),18)),"")</f>
        <v/>
      </c>
      <c r="J21" s="44">
        <f t="array" ref="J21:J21">IFERROR(INDEX(통합!$B$1:$B$400,SMALL(IF(통합!$F$1:$F$400="4호차",ROW(통합!$F$1:$F$400)),18)),"")</f>
        <v/>
      </c>
      <c r="K21" s="44">
        <f t="array" ref="K21:K21">IFERROR(INDEX(통합!$C$1:$C$400,SMALL(IF(통합!$F$1:$F$400="4호차",ROW(통합!$F$1:$F$400)),18)),"")</f>
        <v/>
      </c>
      <c r="L21" s="44" t="n"/>
      <c r="M21" s="44" t="n"/>
    </row>
    <row r="22" ht="21.75" customHeight="1" s="33">
      <c r="A22" s="41" t="n">
        <v>19</v>
      </c>
      <c r="B22" s="42">
        <f t="array" ref="B22:B22">IFERROR(INDEX(통합!$A$1:$A$400,SMALL(IF(통합!$E$1:$E$400="4호차",ROW(통합!$E$1:$E$400)),19)),"")</f>
        <v/>
      </c>
      <c r="C22" s="42">
        <f t="array" ref="C22:C22">IFERROR(INDEX(통합!$B$1:$B$400,SMALL(IF(통합!$E$1:$E$400="4호차",ROW(통합!$E$1:$E$400)),19)),"")</f>
        <v/>
      </c>
      <c r="D22" s="42">
        <f t="array" ref="D22:D22">IFERROR(INDEX(통합!$C$1:$C$400,SMALL(IF(통합!$E$1:$E$400="4호차",ROW(통합!$E$1:$E$400)),19)),"")</f>
        <v/>
      </c>
      <c r="E22" s="42" t="n"/>
      <c r="F22" s="42" t="n"/>
      <c r="H22" s="41" t="n">
        <v>19</v>
      </c>
      <c r="I22" s="42">
        <f t="array" ref="I22:I22">IFERROR(INDEX(통합!$A$1:$A$400,SMALL(IF(통합!$F$1:$F$400="4호차",ROW(통합!$F$1:$F$400)),19)),"")</f>
        <v/>
      </c>
      <c r="J22" s="42">
        <f t="array" ref="J22:J22">IFERROR(INDEX(통합!$B$1:$B$400,SMALL(IF(통합!$F$1:$F$400="4호차",ROW(통합!$F$1:$F$400)),19)),"")</f>
        <v/>
      </c>
      <c r="K22" s="42">
        <f t="array" ref="K22:K22">IFERROR(INDEX(통합!$C$1:$C$400,SMALL(IF(통합!$F$1:$F$400="4호차",ROW(통합!$F$1:$F$400)),19)),"")</f>
        <v/>
      </c>
      <c r="L22" s="42" t="n"/>
      <c r="M22" s="42" t="n"/>
    </row>
    <row r="23" ht="21.75" customHeight="1" s="33">
      <c r="A23" s="43" t="n">
        <v>20</v>
      </c>
      <c r="B23" s="44">
        <f t="array" ref="B23:B23">IFERROR(INDEX(통합!$A$1:$A$400,SMALL(IF(통합!$E$1:$E$400="4호차",ROW(통합!$E$1:$E$400)),20)),"")</f>
        <v/>
      </c>
      <c r="C23" s="44">
        <f t="array" ref="C23:C23">IFERROR(INDEX(통합!$B$1:$B$400,SMALL(IF(통합!$E$1:$E$400="4호차",ROW(통합!$E$1:$E$400)),20)),"")</f>
        <v/>
      </c>
      <c r="D23" s="44">
        <f t="array" ref="D23:D23">IFERROR(INDEX(통합!$C$1:$C$400,SMALL(IF(통합!$E$1:$E$400="4호차",ROW(통합!$E$1:$E$400)),20)),"")</f>
        <v/>
      </c>
      <c r="E23" s="44" t="n"/>
      <c r="F23" s="44" t="n"/>
      <c r="H23" s="43" t="n">
        <v>20</v>
      </c>
      <c r="I23" s="44">
        <f t="array" ref="I23:I23">IFERROR(INDEX(통합!$A$1:$A$400,SMALL(IF(통합!$F$1:$F$400="4호차",ROW(통합!$F$1:$F$400)),20)),"")</f>
        <v/>
      </c>
      <c r="J23" s="44">
        <f t="array" ref="J23:J23">IFERROR(INDEX(통합!$B$1:$B$400,SMALL(IF(통합!$F$1:$F$400="4호차",ROW(통합!$F$1:$F$400)),20)),"")</f>
        <v/>
      </c>
      <c r="K23" s="44">
        <f t="array" ref="K23:K23">IFERROR(INDEX(통합!$C$1:$C$400,SMALL(IF(통합!$F$1:$F$400="4호차",ROW(통합!$F$1:$F$400)),20)),"")</f>
        <v/>
      </c>
      <c r="L23" s="44" t="n"/>
      <c r="M23" s="44" t="n"/>
    </row>
    <row r="24" ht="21.75" customHeight="1" s="33">
      <c r="A24" s="41" t="n">
        <v>21</v>
      </c>
      <c r="B24" s="42">
        <f t="array" ref="B24:B24">IFERROR(INDEX(통합!$A$1:$A$400,SMALL(IF(통합!$E$1:$E$400="4호차",ROW(통합!$E$1:$E$400)),21)),"")</f>
        <v/>
      </c>
      <c r="C24" s="42">
        <f t="array" ref="C24:C24">IFERROR(INDEX(통합!$B$1:$B$400,SMALL(IF(통합!$E$1:$E$400="4호차",ROW(통합!$E$1:$E$400)),21)),"")</f>
        <v/>
      </c>
      <c r="D24" s="42">
        <f t="array" ref="D24:D24">IFERROR(INDEX(통합!$C$1:$C$400,SMALL(IF(통합!$E$1:$E$400="4호차",ROW(통합!$E$1:$E$400)),21)),"")</f>
        <v/>
      </c>
      <c r="E24" s="42" t="n"/>
      <c r="F24" s="42" t="n"/>
      <c r="H24" s="41" t="n">
        <v>21</v>
      </c>
      <c r="I24" s="42">
        <f t="array" ref="I24:I24">IFERROR(INDEX(통합!$A$1:$A$400,SMALL(IF(통합!$F$1:$F$400="4호차",ROW(통합!$F$1:$F$400)),21)),"")</f>
        <v/>
      </c>
      <c r="J24" s="42">
        <f t="array" ref="J24:J24">IFERROR(INDEX(통합!$B$1:$B$400,SMALL(IF(통합!$F$1:$F$400="4호차",ROW(통합!$F$1:$F$400)),21)),"")</f>
        <v/>
      </c>
      <c r="K24" s="42">
        <f t="array" ref="K24:K24">IFERROR(INDEX(통합!$C$1:$C$400,SMALL(IF(통합!$F$1:$F$400="4호차",ROW(통합!$F$1:$F$400)),21)),"")</f>
        <v/>
      </c>
      <c r="L24" s="42" t="n"/>
      <c r="M24" s="42" t="n"/>
    </row>
    <row r="25" ht="21.75" customHeight="1" s="33">
      <c r="A25" s="43" t="n">
        <v>22</v>
      </c>
      <c r="B25" s="44">
        <f t="array" ref="B25:B25">IFERROR(INDEX(통합!$A$1:$A$400,SMALL(IF(통합!$E$1:$E$400="4호차",ROW(통합!$E$1:$E$400)),22)),"")</f>
        <v/>
      </c>
      <c r="C25" s="44">
        <f t="array" ref="C25:C25">IFERROR(INDEX(통합!$B$1:$B$400,SMALL(IF(통합!$E$1:$E$400="4호차",ROW(통합!$E$1:$E$400)),22)),"")</f>
        <v/>
      </c>
      <c r="D25" s="44">
        <f t="array" ref="D25:D25">IFERROR(INDEX(통합!$C$1:$C$400,SMALL(IF(통합!$E$1:$E$400="4호차",ROW(통합!$E$1:$E$400)),22)),"")</f>
        <v/>
      </c>
      <c r="E25" s="44" t="n"/>
      <c r="F25" s="44" t="n"/>
      <c r="H25" s="43" t="n">
        <v>22</v>
      </c>
      <c r="I25" s="44">
        <f t="array" ref="I25:I25">IFERROR(INDEX(통합!$A$1:$A$400,SMALL(IF(통합!$F$1:$F$400="4호차",ROW(통합!$F$1:$F$400)),22)),"")</f>
        <v/>
      </c>
      <c r="J25" s="44">
        <f t="array" ref="J25:J25">IFERROR(INDEX(통합!$B$1:$B$400,SMALL(IF(통합!$F$1:$F$400="4호차",ROW(통합!$F$1:$F$400)),22)),"")</f>
        <v/>
      </c>
      <c r="K25" s="44">
        <f t="array" ref="K25:K25">IFERROR(INDEX(통합!$C$1:$C$400,SMALL(IF(통합!$F$1:$F$400="4호차",ROW(통합!$F$1:$F$400)),22)),"")</f>
        <v/>
      </c>
      <c r="L25" s="44" t="n"/>
      <c r="M25" s="44" t="n"/>
    </row>
    <row r="26" ht="21.75" customHeight="1" s="33">
      <c r="A26" s="41" t="n">
        <v>23</v>
      </c>
      <c r="B26" s="42">
        <f t="array" ref="B26:B26">IFERROR(INDEX(통합!$A$1:$A$400,SMALL(IF(통합!$E$1:$E$400="4호차",ROW(통합!$E$1:$E$400)),23)),"")</f>
        <v/>
      </c>
      <c r="C26" s="42">
        <f t="array" ref="C26:C26">IFERROR(INDEX(통합!$B$1:$B$400,SMALL(IF(통합!$E$1:$E$400="4호차",ROW(통합!$E$1:$E$400)),23)),"")</f>
        <v/>
      </c>
      <c r="D26" s="42">
        <f t="array" ref="D26:D26">IFERROR(INDEX(통합!$C$1:$C$400,SMALL(IF(통합!$E$1:$E$400="4호차",ROW(통합!$E$1:$E$400)),23)),"")</f>
        <v/>
      </c>
      <c r="E26" s="42" t="n"/>
      <c r="F26" s="42" t="n"/>
      <c r="H26" s="41" t="n">
        <v>23</v>
      </c>
      <c r="I26" s="42">
        <f t="array" ref="I26:I26">IFERROR(INDEX(통합!$A$1:$A$400,SMALL(IF(통합!$F$1:$F$400="4호차",ROW(통합!$F$1:$F$400)),23)),"")</f>
        <v/>
      </c>
      <c r="J26" s="42">
        <f t="array" ref="J26:J26">IFERROR(INDEX(통합!$B$1:$B$400,SMALL(IF(통합!$F$1:$F$400="4호차",ROW(통합!$F$1:$F$400)),23)),"")</f>
        <v/>
      </c>
      <c r="K26" s="42">
        <f t="array" ref="K26:K26">IFERROR(INDEX(통합!$C$1:$C$400,SMALL(IF(통합!$F$1:$F$400="4호차",ROW(통합!$F$1:$F$400)),23)),"")</f>
        <v/>
      </c>
      <c r="L26" s="42" t="n"/>
      <c r="M26" s="42" t="n"/>
    </row>
    <row r="27" ht="21.75" customHeight="1" s="33">
      <c r="A27" s="43" t="n">
        <v>24</v>
      </c>
      <c r="B27" s="44">
        <f t="array" ref="B27:B27">IFERROR(INDEX(통합!$A$1:$A$400,SMALL(IF(통합!$E$1:$E$400="4호차",ROW(통합!$E$1:$E$400)),24)),"")</f>
        <v/>
      </c>
      <c r="C27" s="44">
        <f t="array" ref="C27:C27">IFERROR(INDEX(통합!$B$1:$B$400,SMALL(IF(통합!$E$1:$E$400="4호차",ROW(통합!$E$1:$E$400)),24)),"")</f>
        <v/>
      </c>
      <c r="D27" s="44">
        <f t="array" ref="D27:D27">IFERROR(INDEX(통합!$C$1:$C$400,SMALL(IF(통합!$E$1:$E$400="4호차",ROW(통합!$E$1:$E$400)),24)),"")</f>
        <v/>
      </c>
      <c r="E27" s="44" t="n"/>
      <c r="F27" s="44" t="n"/>
      <c r="H27" s="43" t="n">
        <v>24</v>
      </c>
      <c r="I27" s="44">
        <f t="array" ref="I27:I27">IFERROR(INDEX(통합!$A$1:$A$400,SMALL(IF(통합!$F$1:$F$400="4호차",ROW(통합!$F$1:$F$400)),24)),"")</f>
        <v/>
      </c>
      <c r="J27" s="44">
        <f t="array" ref="J27:J27">IFERROR(INDEX(통합!$B$1:$B$400,SMALL(IF(통합!$F$1:$F$400="4호차",ROW(통합!$F$1:$F$400)),24)),"")</f>
        <v/>
      </c>
      <c r="K27" s="44">
        <f t="array" ref="K27:K27">IFERROR(INDEX(통합!$C$1:$C$400,SMALL(IF(통합!$F$1:$F$400="4호차",ROW(통합!$F$1:$F$400)),24)),"")</f>
        <v/>
      </c>
      <c r="L27" s="44" t="n"/>
      <c r="M27" s="44" t="n"/>
    </row>
    <row r="28" ht="21.75" customHeight="1" s="33">
      <c r="A28" s="41" t="n">
        <v>25</v>
      </c>
      <c r="B28" s="42">
        <f t="array" ref="B28:B28">IFERROR(INDEX(통합!$A$1:$A$400,SMALL(IF(통합!$E$1:$E$400="4호차",ROW(통합!$E$1:$E$400)),25)),"")</f>
        <v/>
      </c>
      <c r="C28" s="42">
        <f t="array" ref="C28:C28">IFERROR(INDEX(통합!$B$1:$B$400,SMALL(IF(통합!$E$1:$E$400="4호차",ROW(통합!$E$1:$E$400)),25)),"")</f>
        <v/>
      </c>
      <c r="D28" s="42">
        <f t="array" ref="D28:D28">IFERROR(INDEX(통합!$C$1:$C$400,SMALL(IF(통합!$E$1:$E$400="4호차",ROW(통합!$E$1:$E$400)),25)),"")</f>
        <v/>
      </c>
      <c r="E28" s="42" t="n"/>
      <c r="F28" s="42" t="n"/>
      <c r="H28" s="41" t="n">
        <v>25</v>
      </c>
      <c r="I28" s="42">
        <f t="array" ref="I28:I28">IFERROR(INDEX(통합!$A$1:$A$400,SMALL(IF(통합!$F$1:$F$400="4호차",ROW(통합!$F$1:$F$400)),25)),"")</f>
        <v/>
      </c>
      <c r="J28" s="42">
        <f t="array" ref="J28:J28">IFERROR(INDEX(통합!$B$1:$B$400,SMALL(IF(통합!$F$1:$F$400="4호차",ROW(통합!$F$1:$F$400)),25)),"")</f>
        <v/>
      </c>
      <c r="K28" s="42">
        <f t="array" ref="K28:K28">IFERROR(INDEX(통합!$C$1:$C$400,SMALL(IF(통합!$F$1:$F$400="4호차",ROW(통합!$F$1:$F$400)),25)),"")</f>
        <v/>
      </c>
      <c r="L28" s="42" t="n"/>
      <c r="M28" s="42" t="n"/>
    </row>
    <row r="29" ht="21.75" customHeight="1" s="33">
      <c r="A29" s="43" t="n">
        <v>26</v>
      </c>
      <c r="B29" s="44">
        <f t="array" ref="B29:B29">IFERROR(INDEX(통합!$A$1:$A$400,SMALL(IF(통합!$E$1:$E$400="4호차",ROW(통합!$E$1:$E$400)),26)),"")</f>
        <v/>
      </c>
      <c r="C29" s="44">
        <f t="array" ref="C29:C29">IFERROR(INDEX(통합!$B$1:$B$400,SMALL(IF(통합!$E$1:$E$400="4호차",ROW(통합!$E$1:$E$400)),26)),"")</f>
        <v/>
      </c>
      <c r="D29" s="44">
        <f t="array" ref="D29:D29">IFERROR(INDEX(통합!$C$1:$C$400,SMALL(IF(통합!$E$1:$E$400="4호차",ROW(통합!$E$1:$E$400)),26)),"")</f>
        <v/>
      </c>
      <c r="E29" s="44" t="n"/>
      <c r="F29" s="44" t="n"/>
      <c r="H29" s="43" t="n">
        <v>26</v>
      </c>
      <c r="I29" s="44">
        <f t="array" ref="I29:I29">IFERROR(INDEX(통합!$A$1:$A$400,SMALL(IF(통합!$F$1:$F$400="4호차",ROW(통합!$F$1:$F$400)),26)),"")</f>
        <v/>
      </c>
      <c r="J29" s="44">
        <f t="array" ref="J29:J29">IFERROR(INDEX(통합!$B$1:$B$400,SMALL(IF(통합!$F$1:$F$400="4호차",ROW(통합!$F$1:$F$400)),26)),"")</f>
        <v/>
      </c>
      <c r="K29" s="44">
        <f t="array" ref="K29:K29">IFERROR(INDEX(통합!$C$1:$C$400,SMALL(IF(통합!$F$1:$F$400="4호차",ROW(통합!$F$1:$F$400)),26)),"")</f>
        <v/>
      </c>
      <c r="L29" s="44" t="n"/>
      <c r="M29" s="44" t="n"/>
    </row>
    <row r="30" ht="21.75" customHeight="1" s="33">
      <c r="A30" s="41" t="n">
        <v>27</v>
      </c>
      <c r="B30" s="42">
        <f t="array" ref="B30:B30">IFERROR(INDEX(통합!$A$1:$A$400,SMALL(IF(통합!$E$1:$E$400="4호차",ROW(통합!$E$1:$E$400)),27)),"")</f>
        <v/>
      </c>
      <c r="C30" s="42">
        <f t="array" ref="C30:C30">IFERROR(INDEX(통합!$B$1:$B$400,SMALL(IF(통합!$E$1:$E$400="4호차",ROW(통합!$E$1:$E$400)),27)),"")</f>
        <v/>
      </c>
      <c r="D30" s="42">
        <f t="array" ref="D30:D30">IFERROR(INDEX(통합!$C$1:$C$400,SMALL(IF(통합!$E$1:$E$400="4호차",ROW(통합!$E$1:$E$400)),27)),"")</f>
        <v/>
      </c>
      <c r="E30" s="42" t="n"/>
      <c r="F30" s="42" t="n"/>
      <c r="H30" s="41" t="n">
        <v>27</v>
      </c>
      <c r="I30" s="42">
        <f t="array" ref="I30:I30">IFERROR(INDEX(통합!$A$1:$A$400,SMALL(IF(통합!$F$1:$F$400="4호차",ROW(통합!$F$1:$F$400)),27)),"")</f>
        <v/>
      </c>
      <c r="J30" s="42">
        <f t="array" ref="J30:J30">IFERROR(INDEX(통합!$B$1:$B$400,SMALL(IF(통합!$F$1:$F$400="4호차",ROW(통합!$F$1:$F$400)),27)),"")</f>
        <v/>
      </c>
      <c r="K30" s="42">
        <f t="array" ref="K30:K30">IFERROR(INDEX(통합!$C$1:$C$400,SMALL(IF(통합!$F$1:$F$400="4호차",ROW(통합!$F$1:$F$400)),27)),"")</f>
        <v/>
      </c>
      <c r="L30" s="42" t="n"/>
      <c r="M30" s="42" t="n"/>
    </row>
    <row r="31" ht="21.75" customHeight="1" s="33">
      <c r="A31" s="43" t="n">
        <v>28</v>
      </c>
      <c r="B31" s="44">
        <f t="array" ref="B31:B31">IFERROR(INDEX(통합!$A$1:$A$400,SMALL(IF(통합!$E$1:$E$400="4호차",ROW(통합!$E$1:$E$400)),28)),"")</f>
        <v/>
      </c>
      <c r="C31" s="44">
        <f t="array" ref="C31:C31">IFERROR(INDEX(통합!$B$1:$B$400,SMALL(IF(통합!$E$1:$E$400="4호차",ROW(통합!$E$1:$E$400)),28)),"")</f>
        <v/>
      </c>
      <c r="D31" s="44">
        <f t="array" ref="D31:D31">IFERROR(INDEX(통합!$C$1:$C$400,SMALL(IF(통합!$E$1:$E$400="4호차",ROW(통합!$E$1:$E$400)),28)),"")</f>
        <v/>
      </c>
      <c r="E31" s="44" t="n"/>
      <c r="F31" s="44" t="n"/>
      <c r="H31" s="43" t="n">
        <v>28</v>
      </c>
      <c r="I31" s="44">
        <f t="array" ref="I31:I31">IFERROR(INDEX(통합!$A$1:$A$400,SMALL(IF(통합!$F$1:$F$400="4호차",ROW(통합!$F$1:$F$400)),28)),"")</f>
        <v/>
      </c>
      <c r="J31" s="44">
        <f t="array" ref="J31:J31">IFERROR(INDEX(통합!$B$1:$B$400,SMALL(IF(통합!$F$1:$F$400="4호차",ROW(통합!$F$1:$F$400)),28)),"")</f>
        <v/>
      </c>
      <c r="K31" s="44">
        <f t="array" ref="K31:K31">IFERROR(INDEX(통합!$C$1:$C$400,SMALL(IF(통합!$F$1:$F$400="4호차",ROW(통합!$F$1:$F$400)),28)),"")</f>
        <v/>
      </c>
      <c r="L31" s="44" t="n"/>
      <c r="M31" s="44" t="n"/>
    </row>
    <row r="32" ht="21.75" customHeight="1" s="33">
      <c r="A32" s="41" t="n">
        <v>29</v>
      </c>
      <c r="B32" s="42">
        <f t="array" ref="B32:B32">IFERROR(INDEX(통합!$A$1:$A$400,SMALL(IF(통합!$E$1:$E$400="4호차",ROW(통합!$E$1:$E$400)),29)),"")</f>
        <v/>
      </c>
      <c r="C32" s="42">
        <f t="array" ref="C32:C32">IFERROR(INDEX(통합!$B$1:$B$400,SMALL(IF(통합!$E$1:$E$400="4호차",ROW(통합!$E$1:$E$400)),29)),"")</f>
        <v/>
      </c>
      <c r="D32" s="42">
        <f t="array" ref="D32:D32">IFERROR(INDEX(통합!$C$1:$C$400,SMALL(IF(통합!$E$1:$E$400="4호차",ROW(통합!$E$1:$E$400)),29)),"")</f>
        <v/>
      </c>
      <c r="E32" s="42" t="n"/>
      <c r="F32" s="42" t="n"/>
      <c r="H32" s="41" t="n">
        <v>29</v>
      </c>
      <c r="I32" s="42">
        <f t="array" ref="I32:I32">IFERROR(INDEX(통합!$A$1:$A$400,SMALL(IF(통합!$F$1:$F$400="4호차",ROW(통합!$F$1:$F$400)),29)),"")</f>
        <v/>
      </c>
      <c r="J32" s="42">
        <f t="array" ref="J32:J32">IFERROR(INDEX(통합!$B$1:$B$400,SMALL(IF(통합!$F$1:$F$400="4호차",ROW(통합!$F$1:$F$400)),29)),"")</f>
        <v/>
      </c>
      <c r="K32" s="42">
        <f t="array" ref="K32:K32">IFERROR(INDEX(통합!$C$1:$C$400,SMALL(IF(통합!$F$1:$F$400="4호차",ROW(통합!$F$1:$F$400)),29)),"")</f>
        <v/>
      </c>
      <c r="L32" s="42" t="n"/>
      <c r="M32" s="42" t="n"/>
    </row>
    <row r="33" ht="21.75" customHeight="1" s="33">
      <c r="A33" s="43" t="n">
        <v>30</v>
      </c>
      <c r="B33" s="44">
        <f t="array" ref="B33:B33">IFERROR(INDEX(통합!$A$1:$A$400,SMALL(IF(통합!$E$1:$E$400="4호차",ROW(통합!$E$1:$E$400)),30)),"")</f>
        <v/>
      </c>
      <c r="C33" s="44">
        <f t="array" ref="C33:C33">IFERROR(INDEX(통합!$B$1:$B$400,SMALL(IF(통합!$E$1:$E$400="4호차",ROW(통합!$E$1:$E$400)),30)),"")</f>
        <v/>
      </c>
      <c r="D33" s="44">
        <f t="array" ref="D33:D33">IFERROR(INDEX(통합!$C$1:$C$400,SMALL(IF(통합!$E$1:$E$400="4호차",ROW(통합!$E$1:$E$400)),30)),"")</f>
        <v/>
      </c>
      <c r="E33" s="44" t="n"/>
      <c r="F33" s="44" t="n"/>
      <c r="H33" s="43" t="n">
        <v>30</v>
      </c>
      <c r="I33" s="44">
        <f t="array" ref="I33:I33">IFERROR(INDEX(통합!$A$1:$A$400,SMALL(IF(통합!$F$1:$F$400="4호차",ROW(통합!$F$1:$F$400)),30)),"")</f>
        <v/>
      </c>
      <c r="J33" s="44">
        <f t="array" ref="J33:J33">IFERROR(INDEX(통합!$B$1:$B$400,SMALL(IF(통합!$F$1:$F$400="4호차",ROW(통합!$F$1:$F$400)),30)),"")</f>
        <v/>
      </c>
      <c r="K33" s="44">
        <f t="array" ref="K33:K33">IFERROR(INDEX(통합!$C$1:$C$400,SMALL(IF(통합!$F$1:$F$400="4호차",ROW(통합!$F$1:$F$400)),30)),"")</f>
        <v/>
      </c>
      <c r="L33" s="44" t="n"/>
      <c r="M33" s="44" t="n"/>
    </row>
    <row r="34" ht="21.75" customHeight="1" s="33">
      <c r="A34" s="41" t="n">
        <v>31</v>
      </c>
      <c r="B34" s="42">
        <f t="array" ref="B34:B34">IFERROR(INDEX(통합!$A$1:$A$400,SMALL(IF(통합!$E$1:$E$400="4호차",ROW(통합!$E$1:$E$400)),31)),"")</f>
        <v/>
      </c>
      <c r="C34" s="42">
        <f t="array" ref="C34:C34">IFERROR(INDEX(통합!$B$1:$B$400,SMALL(IF(통합!$E$1:$E$400="4호차",ROW(통합!$E$1:$E$400)),31)),"")</f>
        <v/>
      </c>
      <c r="D34" s="42">
        <f t="array" ref="D34:D34">IFERROR(INDEX(통합!$C$1:$C$400,SMALL(IF(통합!$E$1:$E$400="4호차",ROW(통합!$E$1:$E$400)),31)),"")</f>
        <v/>
      </c>
      <c r="E34" s="42" t="n"/>
      <c r="F34" s="42" t="n"/>
      <c r="H34" s="41" t="n">
        <v>31</v>
      </c>
      <c r="I34" s="42">
        <f t="array" ref="I34:I34">IFERROR(INDEX(통합!$A$1:$A$400,SMALL(IF(통합!$F$1:$F$400="4호차",ROW(통합!$F$1:$F$400)),31)),"")</f>
        <v/>
      </c>
      <c r="J34" s="42">
        <f t="array" ref="J34:J34">IFERROR(INDEX(통합!$B$1:$B$400,SMALL(IF(통합!$F$1:$F$400="4호차",ROW(통합!$F$1:$F$400)),31)),"")</f>
        <v/>
      </c>
      <c r="K34" s="42">
        <f t="array" ref="K34:K34">IFERROR(INDEX(통합!$C$1:$C$400,SMALL(IF(통합!$F$1:$F$400="4호차",ROW(통합!$F$1:$F$400)),31)),"")</f>
        <v/>
      </c>
      <c r="L34" s="42" t="n"/>
      <c r="M34" s="42" t="n"/>
    </row>
    <row r="35" ht="21.75" customHeight="1" s="33">
      <c r="A35" s="43" t="n">
        <v>32</v>
      </c>
      <c r="B35" s="44">
        <f t="array" ref="B35:B35">IFERROR(INDEX(통합!$A$1:$A$400,SMALL(IF(통합!$E$1:$E$400="4호차",ROW(통합!$E$1:$E$400)),32)),"")</f>
        <v/>
      </c>
      <c r="C35" s="44">
        <f t="array" ref="C35:C35">IFERROR(INDEX(통합!$B$1:$B$400,SMALL(IF(통합!$E$1:$E$400="4호차",ROW(통합!$E$1:$E$400)),32)),"")</f>
        <v/>
      </c>
      <c r="D35" s="44">
        <f t="array" ref="D35:D35">IFERROR(INDEX(통합!$C$1:$C$400,SMALL(IF(통합!$E$1:$E$400="4호차",ROW(통합!$E$1:$E$400)),32)),"")</f>
        <v/>
      </c>
      <c r="E35" s="44" t="n"/>
      <c r="F35" s="44" t="n"/>
      <c r="H35" s="43" t="n">
        <v>32</v>
      </c>
      <c r="I35" s="44">
        <f t="array" ref="I35:I35">IFERROR(INDEX(통합!$A$1:$A$400,SMALL(IF(통합!$F$1:$F$400="4호차",ROW(통합!$F$1:$F$400)),32)),"")</f>
        <v/>
      </c>
      <c r="J35" s="44">
        <f t="array" ref="J35:J35">IFERROR(INDEX(통합!$B$1:$B$400,SMALL(IF(통합!$F$1:$F$400="4호차",ROW(통합!$F$1:$F$400)),32)),"")</f>
        <v/>
      </c>
      <c r="K35" s="44">
        <f t="array" ref="K35:K35">IFERROR(INDEX(통합!$C$1:$C$400,SMALL(IF(통합!$F$1:$F$400="4호차",ROW(통합!$F$1:$F$400)),32)),"")</f>
        <v/>
      </c>
      <c r="L35" s="44" t="n"/>
      <c r="M35" s="44" t="n"/>
    </row>
    <row r="36" ht="21.75" customHeight="1" s="33">
      <c r="A36" s="41" t="n">
        <v>33</v>
      </c>
      <c r="B36" s="42">
        <f t="array" ref="B36:B36">IFERROR(INDEX(통합!$A$1:$A$400,SMALL(IF(통합!$E$1:$E$400="4호차",ROW(통합!$E$1:$E$400)),33)),"")</f>
        <v/>
      </c>
      <c r="C36" s="42">
        <f t="array" ref="C36:C36">IFERROR(INDEX(통합!$B$1:$B$400,SMALL(IF(통합!$E$1:$E$400="4호차",ROW(통합!$E$1:$E$400)),33)),"")</f>
        <v/>
      </c>
      <c r="D36" s="42">
        <f t="array" ref="D36:D36">IFERROR(INDEX(통합!$C$1:$C$400,SMALL(IF(통합!$E$1:$E$400="4호차",ROW(통합!$E$1:$E$400)),33)),"")</f>
        <v/>
      </c>
      <c r="E36" s="42" t="n"/>
      <c r="F36" s="42" t="n"/>
      <c r="H36" s="41" t="n">
        <v>33</v>
      </c>
      <c r="I36" s="42">
        <f t="array" ref="I36:I36">IFERROR(INDEX(통합!$A$1:$A$400,SMALL(IF(통합!$F$1:$F$400="4호차",ROW(통합!$F$1:$F$400)),33)),"")</f>
        <v/>
      </c>
      <c r="J36" s="42">
        <f t="array" ref="J36:J36">IFERROR(INDEX(통합!$B$1:$B$400,SMALL(IF(통합!$F$1:$F$400="4호차",ROW(통합!$F$1:$F$400)),33)),"")</f>
        <v/>
      </c>
      <c r="K36" s="42">
        <f t="array" ref="K36:K36">IFERROR(INDEX(통합!$C$1:$C$400,SMALL(IF(통합!$F$1:$F$400="4호차",ROW(통합!$F$1:$F$400)),33)),"")</f>
        <v/>
      </c>
      <c r="L36" s="42" t="n"/>
      <c r="M36" s="42" t="n"/>
    </row>
    <row r="37" ht="21.75" customHeight="1" s="33">
      <c r="A37" s="43" t="n">
        <v>34</v>
      </c>
      <c r="B37" s="44">
        <f t="array" ref="B37:B37">IFERROR(INDEX(통합!$A$1:$A$400,SMALL(IF(통합!$E$1:$E$400="4호차",ROW(통합!$E$1:$E$400)),34)),"")</f>
        <v/>
      </c>
      <c r="C37" s="44">
        <f t="array" ref="C37:C37">IFERROR(INDEX(통합!$B$1:$B$400,SMALL(IF(통합!$E$1:$E$400="4호차",ROW(통합!$E$1:$E$400)),34)),"")</f>
        <v/>
      </c>
      <c r="D37" s="44">
        <f t="array" ref="D37:D37">IFERROR(INDEX(통합!$C$1:$C$400,SMALL(IF(통합!$E$1:$E$400="4호차",ROW(통합!$E$1:$E$400)),34)),"")</f>
        <v/>
      </c>
      <c r="E37" s="44" t="n"/>
      <c r="F37" s="44" t="n"/>
      <c r="H37" s="43" t="n">
        <v>34</v>
      </c>
      <c r="I37" s="44">
        <f t="array" ref="I37:I37">IFERROR(INDEX(통합!$A$1:$A$400,SMALL(IF(통합!$F$1:$F$400="4호차",ROW(통합!$F$1:$F$400)),34)),"")</f>
        <v/>
      </c>
      <c r="J37" s="44">
        <f t="array" ref="J37:J37">IFERROR(INDEX(통합!$B$1:$B$400,SMALL(IF(통합!$F$1:$F$400="4호차",ROW(통합!$F$1:$F$400)),34)),"")</f>
        <v/>
      </c>
      <c r="K37" s="44">
        <f t="array" ref="K37:K37">IFERROR(INDEX(통합!$C$1:$C$400,SMALL(IF(통합!$F$1:$F$400="4호차",ROW(통합!$F$1:$F$400)),34)),"")</f>
        <v/>
      </c>
      <c r="L37" s="44" t="n"/>
      <c r="M37" s="44" t="n"/>
    </row>
    <row r="38" ht="21.75" customHeight="1" s="33">
      <c r="A38" s="41" t="n">
        <v>35</v>
      </c>
      <c r="B38" s="42">
        <f t="array" ref="B38:B38">IFERROR(INDEX(통합!$A$1:$A$400,SMALL(IF(통합!$E$1:$E$400="4호차",ROW(통합!$E$1:$E$400)),35)),"")</f>
        <v/>
      </c>
      <c r="C38" s="42">
        <f t="array" ref="C38:C38">IFERROR(INDEX(통합!$B$1:$B$400,SMALL(IF(통합!$E$1:$E$400="4호차",ROW(통합!$E$1:$E$400)),35)),"")</f>
        <v/>
      </c>
      <c r="D38" s="42">
        <f t="array" ref="D38:D38">IFERROR(INDEX(통합!$C$1:$C$400,SMALL(IF(통합!$E$1:$E$400="4호차",ROW(통합!$E$1:$E$400)),35)),"")</f>
        <v/>
      </c>
      <c r="E38" s="42" t="n"/>
      <c r="F38" s="42" t="n"/>
      <c r="H38" s="41" t="n">
        <v>35</v>
      </c>
      <c r="I38" s="42">
        <f t="array" ref="I38:I38">IFERROR(INDEX(통합!$A$1:$A$400,SMALL(IF(통합!$F$1:$F$400="4호차",ROW(통합!$F$1:$F$400)),35)),"")</f>
        <v/>
      </c>
      <c r="J38" s="42">
        <f t="array" ref="J38:J38">IFERROR(INDEX(통합!$B$1:$B$400,SMALL(IF(통합!$F$1:$F$400="4호차",ROW(통합!$F$1:$F$400)),35)),"")</f>
        <v/>
      </c>
      <c r="K38" s="42">
        <f t="array" ref="K38:K38">IFERROR(INDEX(통합!$C$1:$C$400,SMALL(IF(통합!$F$1:$F$400="4호차",ROW(통합!$F$1:$F$400)),35)),"")</f>
        <v/>
      </c>
      <c r="L38" s="42" t="n"/>
      <c r="M38" s="42" t="n"/>
    </row>
    <row r="39" ht="21.75" customHeight="1" s="33">
      <c r="A39" s="43" t="n">
        <v>36</v>
      </c>
      <c r="B39" s="44">
        <f t="array" ref="B39:B39">IFERROR(INDEX(통합!$A$1:$A$400,SMALL(IF(통합!$E$1:$E$400="4호차",ROW(통합!$E$1:$E$400)),36)),"")</f>
        <v/>
      </c>
      <c r="C39" s="44">
        <f t="array" ref="C39:C39">IFERROR(INDEX(통합!$B$1:$B$400,SMALL(IF(통합!$E$1:$E$400="4호차",ROW(통합!$E$1:$E$400)),36)),"")</f>
        <v/>
      </c>
      <c r="D39" s="44">
        <f t="array" ref="D39:D39">IFERROR(INDEX(통합!$C$1:$C$400,SMALL(IF(통합!$E$1:$E$400="4호차",ROW(통합!$E$1:$E$400)),36)),"")</f>
        <v/>
      </c>
      <c r="E39" s="44" t="n"/>
      <c r="F39" s="44" t="n"/>
      <c r="H39" s="43" t="n">
        <v>36</v>
      </c>
      <c r="I39" s="44">
        <f t="array" ref="I39:I39">IFERROR(INDEX(통합!$A$1:$A$400,SMALL(IF(통합!$F$1:$F$400="4호차",ROW(통합!$F$1:$F$400)),36)),"")</f>
        <v/>
      </c>
      <c r="J39" s="44">
        <f t="array" ref="J39:J39">IFERROR(INDEX(통합!$B$1:$B$400,SMALL(IF(통합!$F$1:$F$400="4호차",ROW(통합!$F$1:$F$400)),36)),"")</f>
        <v/>
      </c>
      <c r="K39" s="44">
        <f t="array" ref="K39:K39">IFERROR(INDEX(통합!$C$1:$C$400,SMALL(IF(통합!$F$1:$F$400="4호차",ROW(통합!$F$1:$F$400)),36)),"")</f>
        <v/>
      </c>
      <c r="L39" s="44" t="n"/>
      <c r="M39" s="44" t="n"/>
    </row>
    <row r="40" ht="21.75" customHeight="1" s="33">
      <c r="A40" s="41" t="n">
        <v>37</v>
      </c>
      <c r="B40" s="42">
        <f t="array" ref="B40:B40">IFERROR(INDEX(통합!$A$1:$A$400,SMALL(IF(통합!$E$1:$E$400="4호차",ROW(통합!$E$1:$E$400)),37)),"")</f>
        <v/>
      </c>
      <c r="C40" s="42">
        <f t="array" ref="C40:C40">IFERROR(INDEX(통합!$B$1:$B$400,SMALL(IF(통합!$E$1:$E$400="4호차",ROW(통합!$E$1:$E$400)),37)),"")</f>
        <v/>
      </c>
      <c r="D40" s="42">
        <f t="array" ref="D40:D40">IFERROR(INDEX(통합!$C$1:$C$400,SMALL(IF(통합!$E$1:$E$400="4호차",ROW(통합!$E$1:$E$400)),37)),"")</f>
        <v/>
      </c>
      <c r="E40" s="42" t="n"/>
      <c r="F40" s="42" t="n"/>
      <c r="H40" s="41" t="n">
        <v>37</v>
      </c>
      <c r="I40" s="42">
        <f t="array" ref="I40:I40">IFERROR(INDEX(통합!$A$1:$A$400,SMALL(IF(통합!$F$1:$F$400="4호차",ROW(통합!$F$1:$F$400)),37)),"")</f>
        <v/>
      </c>
      <c r="J40" s="42">
        <f t="array" ref="J40:J40">IFERROR(INDEX(통합!$B$1:$B$400,SMALL(IF(통합!$F$1:$F$400="4호차",ROW(통합!$F$1:$F$400)),37)),"")</f>
        <v/>
      </c>
      <c r="K40" s="42">
        <f t="array" ref="K40:K40">IFERROR(INDEX(통합!$C$1:$C$400,SMALL(IF(통합!$F$1:$F$400="4호차",ROW(통합!$F$1:$F$400)),37)),"")</f>
        <v/>
      </c>
      <c r="L40" s="42" t="n"/>
      <c r="M40" s="42" t="n"/>
    </row>
    <row r="41" ht="21.75" customHeight="1" s="33">
      <c r="A41" s="43" t="n">
        <v>38</v>
      </c>
      <c r="B41" s="44">
        <f t="array" ref="B41:B41">IFERROR(INDEX(통합!$A$1:$A$400,SMALL(IF(통합!$E$1:$E$400="4호차",ROW(통합!$E$1:$E$400)),38)),"")</f>
        <v/>
      </c>
      <c r="C41" s="44">
        <f t="array" ref="C41:C41">IFERROR(INDEX(통합!$B$1:$B$400,SMALL(IF(통합!$E$1:$E$400="4호차",ROW(통합!$E$1:$E$400)),38)),"")</f>
        <v/>
      </c>
      <c r="D41" s="44">
        <f t="array" ref="D41:D41">IFERROR(INDEX(통합!$C$1:$C$400,SMALL(IF(통합!$E$1:$E$400="4호차",ROW(통합!$E$1:$E$400)),38)),"")</f>
        <v/>
      </c>
      <c r="E41" s="44" t="n"/>
      <c r="F41" s="44" t="n"/>
      <c r="H41" s="43" t="n">
        <v>38</v>
      </c>
      <c r="I41" s="44">
        <f t="array" ref="I41:I41">IFERROR(INDEX(통합!$A$1:$A$400,SMALL(IF(통합!$F$1:$F$400="4호차",ROW(통합!$F$1:$F$400)),38)),"")</f>
        <v/>
      </c>
      <c r="J41" s="44">
        <f t="array" ref="J41:J41">IFERROR(INDEX(통합!$B$1:$B$400,SMALL(IF(통합!$F$1:$F$400="4호차",ROW(통합!$F$1:$F$400)),38)),"")</f>
        <v/>
      </c>
      <c r="K41" s="44">
        <f t="array" ref="K41:K41">IFERROR(INDEX(통합!$C$1:$C$400,SMALL(IF(통합!$F$1:$F$400="4호차",ROW(통합!$F$1:$F$400)),38)),"")</f>
        <v/>
      </c>
      <c r="L41" s="44" t="n"/>
      <c r="M41" s="44" t="n"/>
    </row>
    <row r="42" ht="21.75" customHeight="1" s="33">
      <c r="A42" s="41" t="n">
        <v>39</v>
      </c>
      <c r="B42" s="42">
        <f t="array" ref="B42:B42">IFERROR(INDEX(통합!$A$1:$A$400,SMALL(IF(통합!$E$1:$E$400="4호차",ROW(통합!$E$1:$E$400)),39)),"")</f>
        <v/>
      </c>
      <c r="C42" s="42">
        <f t="array" ref="C42:C42">IFERROR(INDEX(통합!$B$1:$B$400,SMALL(IF(통합!$E$1:$E$400="4호차",ROW(통합!$E$1:$E$400)),39)),"")</f>
        <v/>
      </c>
      <c r="D42" s="42">
        <f t="array" ref="D42:D42">IFERROR(INDEX(통합!$C$1:$C$400,SMALL(IF(통합!$E$1:$E$400="4호차",ROW(통합!$E$1:$E$400)),39)),"")</f>
        <v/>
      </c>
      <c r="E42" s="42" t="n"/>
      <c r="F42" s="42" t="n"/>
      <c r="H42" s="41" t="n">
        <v>39</v>
      </c>
      <c r="I42" s="42">
        <f t="array" ref="I42:I42">IFERROR(INDEX(통합!$A$1:$A$400,SMALL(IF(통합!$F$1:$F$400="4호차",ROW(통합!$F$1:$F$400)),39)),"")</f>
        <v/>
      </c>
      <c r="J42" s="42">
        <f t="array" ref="J42:J42">IFERROR(INDEX(통합!$B$1:$B$400,SMALL(IF(통합!$F$1:$F$400="4호차",ROW(통합!$F$1:$F$400)),39)),"")</f>
        <v/>
      </c>
      <c r="K42" s="42">
        <f t="array" ref="K42:K42">IFERROR(INDEX(통합!$C$1:$C$400,SMALL(IF(통합!$F$1:$F$400="4호차",ROW(통합!$F$1:$F$400)),39)),"")</f>
        <v/>
      </c>
      <c r="L42" s="42" t="n"/>
      <c r="M42" s="42" t="n"/>
    </row>
    <row r="43" ht="21.75" customHeight="1" s="33">
      <c r="A43" s="43" t="n">
        <v>40</v>
      </c>
      <c r="B43" s="44">
        <f t="array" ref="B43:B43">IFERROR(INDEX(통합!$A$1:$A$400,SMALL(IF(통합!$E$1:$E$400="4호차",ROW(통합!$E$1:$E$400)),40)),"")</f>
        <v/>
      </c>
      <c r="C43" s="44">
        <f t="array" ref="C43:C43">IFERROR(INDEX(통합!$B$1:$B$400,SMALL(IF(통합!$E$1:$E$400="4호차",ROW(통합!$E$1:$E$400)),40)),"")</f>
        <v/>
      </c>
      <c r="D43" s="44">
        <f t="array" ref="D43:D43">IFERROR(INDEX(통합!$C$1:$C$400,SMALL(IF(통합!$E$1:$E$400="4호차",ROW(통합!$E$1:$E$400)),40)),"")</f>
        <v/>
      </c>
      <c r="E43" s="44" t="n"/>
      <c r="F43" s="44" t="n"/>
      <c r="H43" s="43" t="n">
        <v>40</v>
      </c>
      <c r="I43" s="44">
        <f t="array" ref="I43:I43">IFERROR(INDEX(통합!$A$1:$A$400,SMALL(IF(통합!$F$1:$F$400="4호차",ROW(통합!$F$1:$F$400)),40)),"")</f>
        <v/>
      </c>
      <c r="J43" s="44">
        <f t="array" ref="J43:J43">IFERROR(INDEX(통합!$B$1:$B$400,SMALL(IF(통합!$F$1:$F$400="4호차",ROW(통합!$F$1:$F$400)),40)),"")</f>
        <v/>
      </c>
      <c r="K43" s="44">
        <f t="array" ref="K43:K43">IFERROR(INDEX(통합!$C$1:$C$400,SMALL(IF(통합!$F$1:$F$400="4호차",ROW(통합!$F$1:$F$400)),40)),"")</f>
        <v/>
      </c>
      <c r="L43" s="44" t="n"/>
      <c r="M43" s="44" t="n"/>
    </row>
    <row r="44" ht="21.75" customHeight="1" s="33">
      <c r="A44" s="41" t="n">
        <v>41</v>
      </c>
      <c r="B44" s="42">
        <f t="array" ref="B44:B44">IFERROR(INDEX(통합!$A$1:$A$400,SMALL(IF(통합!$E$1:$E$400="4호차",ROW(통합!$E$1:$E$400)),41)),"")</f>
        <v/>
      </c>
      <c r="C44" s="42">
        <f t="array" ref="C44:C44">IFERROR(INDEX(통합!$B$1:$B$400,SMALL(IF(통합!$E$1:$E$400="4호차",ROW(통합!$E$1:$E$400)),41)),"")</f>
        <v/>
      </c>
      <c r="D44" s="42">
        <f t="array" ref="D44:D44">IFERROR(INDEX(통합!$C$1:$C$400,SMALL(IF(통합!$E$1:$E$400="4호차",ROW(통합!$E$1:$E$400)),41)),"")</f>
        <v/>
      </c>
      <c r="E44" s="42" t="n"/>
      <c r="F44" s="42" t="n"/>
      <c r="H44" s="41" t="n">
        <v>41</v>
      </c>
      <c r="I44" s="42">
        <f t="array" ref="I44:I44">IFERROR(INDEX(통합!$A$1:$A$400,SMALL(IF(통합!$F$1:$F$400="4호차",ROW(통합!$F$1:$F$400)),41)),"")</f>
        <v/>
      </c>
      <c r="J44" s="42">
        <f t="array" ref="J44:J44">IFERROR(INDEX(통합!$B$1:$B$400,SMALL(IF(통합!$F$1:$F$400="4호차",ROW(통합!$F$1:$F$400)),41)),"")</f>
        <v/>
      </c>
      <c r="K44" s="42">
        <f t="array" ref="K44:K44">IFERROR(INDEX(통합!$C$1:$C$400,SMALL(IF(통합!$F$1:$F$400="4호차",ROW(통합!$F$1:$F$400)),41)),"")</f>
        <v/>
      </c>
      <c r="L44" s="42" t="n"/>
      <c r="M44" s="42" t="n"/>
    </row>
    <row r="45" ht="21.75" customHeight="1" s="33">
      <c r="A45" s="43" t="n">
        <v>42</v>
      </c>
      <c r="B45" s="44">
        <f t="array" ref="B45:B45">IFERROR(INDEX(통합!$A$1:$A$400,SMALL(IF(통합!$E$1:$E$400="4호차",ROW(통합!$E$1:$E$400)),42)),"")</f>
        <v/>
      </c>
      <c r="C45" s="44">
        <f t="array" ref="C45:C45">IFERROR(INDEX(통합!$B$1:$B$400,SMALL(IF(통합!$E$1:$E$400="4호차",ROW(통합!$E$1:$E$400)),42)),"")</f>
        <v/>
      </c>
      <c r="D45" s="44">
        <f t="array" ref="D45:D45">IFERROR(INDEX(통합!$C$1:$C$400,SMALL(IF(통합!$E$1:$E$400="4호차",ROW(통합!$E$1:$E$400)),42)),"")</f>
        <v/>
      </c>
      <c r="E45" s="44" t="n"/>
      <c r="F45" s="44" t="n"/>
      <c r="H45" s="43" t="n">
        <v>42</v>
      </c>
      <c r="I45" s="44">
        <f t="array" ref="I45:I45">IFERROR(INDEX(통합!$A$1:$A$400,SMALL(IF(통합!$F$1:$F$400="4호차",ROW(통합!$F$1:$F$400)),42)),"")</f>
        <v/>
      </c>
      <c r="J45" s="44">
        <f t="array" ref="J45:J45">IFERROR(INDEX(통합!$B$1:$B$400,SMALL(IF(통합!$F$1:$F$400="4호차",ROW(통합!$F$1:$F$400)),42)),"")</f>
        <v/>
      </c>
      <c r="K45" s="44">
        <f t="array" ref="K45:K45">IFERROR(INDEX(통합!$C$1:$C$400,SMALL(IF(통합!$F$1:$F$400="4호차",ROW(통합!$F$1:$F$400)),42)),"")</f>
        <v/>
      </c>
      <c r="L45" s="44" t="n"/>
      <c r="M45" s="44" t="n"/>
    </row>
    <row r="46" ht="21.75" customHeight="1" s="33">
      <c r="A46" s="41" t="n">
        <v>43</v>
      </c>
      <c r="B46" s="42">
        <f t="array" ref="B46:B46">IFERROR(INDEX(통합!$A$1:$A$400,SMALL(IF(통합!$E$1:$E$400="4호차",ROW(통합!$E$1:$E$400)),43)),"")</f>
        <v/>
      </c>
      <c r="C46" s="42">
        <f t="array" ref="C46:C46">IFERROR(INDEX(통합!$B$1:$B$400,SMALL(IF(통합!$E$1:$E$400="4호차",ROW(통합!$E$1:$E$400)),43)),"")</f>
        <v/>
      </c>
      <c r="D46" s="42">
        <f t="array" ref="D46:D46">IFERROR(INDEX(통합!$C$1:$C$400,SMALL(IF(통합!$E$1:$E$400="4호차",ROW(통합!$E$1:$E$400)),43)),"")</f>
        <v/>
      </c>
      <c r="E46" s="42" t="n"/>
      <c r="F46" s="42" t="n"/>
      <c r="H46" s="41" t="n">
        <v>43</v>
      </c>
      <c r="I46" s="42">
        <f t="array" ref="I46:I46">IFERROR(INDEX(통합!$A$1:$A$400,SMALL(IF(통합!$F$1:$F$400="4호차",ROW(통합!$F$1:$F$400)),43)),"")</f>
        <v/>
      </c>
      <c r="J46" s="42">
        <f t="array" ref="J46:J46">IFERROR(INDEX(통합!$B$1:$B$400,SMALL(IF(통합!$F$1:$F$400="4호차",ROW(통합!$F$1:$F$400)),43)),"")</f>
        <v/>
      </c>
      <c r="K46" s="42">
        <f t="array" ref="K46:K46">IFERROR(INDEX(통합!$C$1:$C$400,SMALL(IF(통합!$F$1:$F$400="4호차",ROW(통합!$F$1:$F$400)),43)),"")</f>
        <v/>
      </c>
      <c r="L46" s="42" t="n"/>
      <c r="M46" s="42" t="n"/>
    </row>
    <row r="47" ht="15" customHeight="1" s="33">
      <c r="A47" s="45" t="inlineStr">
        <is>
          <t>합  계</t>
        </is>
      </c>
      <c r="B47" s="35" t="n"/>
      <c r="C47" s="35" t="n"/>
      <c r="D47" s="61">
        <f t="array" ref="D47:D47">IF(SUMPRODUCT((D4:D46&lt;&gt;"")*1)=0,"",SUMPRODUCT((D4:D46&lt;&gt;"")*1))</f>
        <v/>
      </c>
      <c r="E47" s="61" t="n"/>
      <c r="F47" s="61" t="n"/>
      <c r="H47" s="45" t="inlineStr">
        <is>
          <t>합  계</t>
        </is>
      </c>
      <c r="I47" s="35" t="n"/>
      <c r="J47" s="35" t="n"/>
      <c r="K47" s="61">
        <f t="array" ref="K47:K47">IF(SUMPRODUCT((K4:K46&lt;&gt;"")*1)=0,"",SUMPRODUCT((K4:K46&lt;&gt;"")*1))</f>
        <v/>
      </c>
      <c r="L47" s="61" t="n"/>
      <c r="M47" s="61" t="n"/>
    </row>
  </sheetData>
  <mergeCells count="6">
    <mergeCell ref="A2:B2"/>
    <mergeCell ref="H1:M1"/>
    <mergeCell ref="H2:I2"/>
    <mergeCell ref="A47:C47"/>
    <mergeCell ref="A1:F1"/>
    <mergeCell ref="H47:J4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M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5.51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5.51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5호차</t>
        </is>
      </c>
      <c r="B1" s="35" t="n"/>
      <c r="C1" s="35" t="n"/>
      <c r="D1" s="35" t="n"/>
      <c r="E1" s="35" t="n"/>
      <c r="F1" s="35" t="n"/>
      <c r="H1" s="47" t="inlineStr">
        <is>
          <t>하행  5호차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H2" s="63" t="inlineStr">
        <is>
          <t>선탑자:</t>
        </is>
      </c>
      <c r="I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>
        <f t="array" ref="B4:B4">IFERROR(INDEX(통합!$A$1:$A$400,SMALL(IF(통합!$E$1:$E$400="5호차",ROW(통합!$E$1:$E$400)),1)),"")</f>
        <v/>
      </c>
      <c r="C4" s="42">
        <f t="array" ref="C4:C4">IFERROR(INDEX(통합!$B$1:$B$400,SMALL(IF(통합!$E$1:$E$400="5호차",ROW(통합!$E$1:$E$400)),1)),"")</f>
        <v/>
      </c>
      <c r="D4" s="42">
        <f t="array" ref="D4:D4">IFERROR(INDEX(통합!$C$1:$C$400,SMALL(IF(통합!$E$1:$E$400="5호차",ROW(통합!$E$1:$E$400)),1)),"")</f>
        <v/>
      </c>
      <c r="E4" s="42" t="n"/>
      <c r="F4" s="42" t="n"/>
      <c r="H4" s="41" t="n">
        <v>1</v>
      </c>
      <c r="I4" s="42">
        <f t="array" ref="I4:I4">IFERROR(INDEX(통합!$A$1:$A$400,SMALL(IF(통합!$F$1:$F$400="5호차",ROW(통합!$F$1:$F$400)),1)),"")</f>
        <v/>
      </c>
      <c r="J4" s="42">
        <f t="array" ref="J4:J4">IFERROR(INDEX(통합!$B$1:$B$400,SMALL(IF(통합!$F$1:$F$400="5호차",ROW(통합!$F$1:$F$400)),1)),"")</f>
        <v/>
      </c>
      <c r="K4" s="42">
        <f t="array" ref="K4:K4">IFERROR(INDEX(통합!$C$1:$C$400,SMALL(IF(통합!$F$1:$F$400="5호차",ROW(통합!$F$1:$F$400)),1)),"")</f>
        <v/>
      </c>
      <c r="L4" s="42" t="n"/>
      <c r="M4" s="42" t="n"/>
    </row>
    <row r="5" ht="21.75" customHeight="1" s="33">
      <c r="A5" s="43" t="n">
        <v>2</v>
      </c>
      <c r="B5" s="44">
        <f t="array" ref="B5:B5">IFERROR(INDEX(통합!$A$1:$A$400,SMALL(IF(통합!$E$1:$E$400="5호차",ROW(통합!$E$1:$E$400)),2)),"")</f>
        <v/>
      </c>
      <c r="C5" s="44">
        <f t="array" ref="C5:C5">IFERROR(INDEX(통합!$B$1:$B$400,SMALL(IF(통합!$E$1:$E$400="5호차",ROW(통합!$E$1:$E$400)),2)),"")</f>
        <v/>
      </c>
      <c r="D5" s="44">
        <f t="array" ref="D5:D5">IFERROR(INDEX(통합!$C$1:$C$400,SMALL(IF(통합!$E$1:$E$400="5호차",ROW(통합!$E$1:$E$400)),2)),"")</f>
        <v/>
      </c>
      <c r="E5" s="44" t="n"/>
      <c r="F5" s="44" t="n"/>
      <c r="H5" s="43" t="n">
        <v>2</v>
      </c>
      <c r="I5" s="44">
        <f t="array" ref="I5:I5">IFERROR(INDEX(통합!$A$1:$A$400,SMALL(IF(통합!$F$1:$F$400="5호차",ROW(통합!$F$1:$F$400)),2)),"")</f>
        <v/>
      </c>
      <c r="J5" s="44">
        <f t="array" ref="J5:J5">IFERROR(INDEX(통합!$B$1:$B$400,SMALL(IF(통합!$F$1:$F$400="5호차",ROW(통합!$F$1:$F$400)),2)),"")</f>
        <v/>
      </c>
      <c r="K5" s="44">
        <f t="array" ref="K5:K5">IFERROR(INDEX(통합!$C$1:$C$400,SMALL(IF(통합!$F$1:$F$400="5호차",ROW(통합!$F$1:$F$400)),2)),"")</f>
        <v/>
      </c>
      <c r="L5" s="44" t="n"/>
      <c r="M5" s="44" t="n"/>
    </row>
    <row r="6" ht="21.75" customHeight="1" s="33">
      <c r="A6" s="41" t="n">
        <v>3</v>
      </c>
      <c r="B6" s="42">
        <f t="array" ref="B6:B6">IFERROR(INDEX(통합!$A$1:$A$400,SMALL(IF(통합!$E$1:$E$400="5호차",ROW(통합!$E$1:$E$400)),3)),"")</f>
        <v/>
      </c>
      <c r="C6" s="42">
        <f t="array" ref="C6:C6">IFERROR(INDEX(통합!$B$1:$B$400,SMALL(IF(통합!$E$1:$E$400="5호차",ROW(통합!$E$1:$E$400)),3)),"")</f>
        <v/>
      </c>
      <c r="D6" s="42">
        <f t="array" ref="D6:D6">IFERROR(INDEX(통합!$C$1:$C$400,SMALL(IF(통합!$E$1:$E$400="5호차",ROW(통합!$E$1:$E$400)),3)),"")</f>
        <v/>
      </c>
      <c r="E6" s="42" t="n"/>
      <c r="F6" s="42" t="n"/>
      <c r="H6" s="41" t="n">
        <v>3</v>
      </c>
      <c r="I6" s="42">
        <f t="array" ref="I6:I6">IFERROR(INDEX(통합!$A$1:$A$400,SMALL(IF(통합!$F$1:$F$400="5호차",ROW(통합!$F$1:$F$400)),3)),"")</f>
        <v/>
      </c>
      <c r="J6" s="42">
        <f t="array" ref="J6:J6">IFERROR(INDEX(통합!$B$1:$B$400,SMALL(IF(통합!$F$1:$F$400="5호차",ROW(통합!$F$1:$F$400)),3)),"")</f>
        <v/>
      </c>
      <c r="K6" s="42">
        <f t="array" ref="K6:K6">IFERROR(INDEX(통합!$C$1:$C$400,SMALL(IF(통합!$F$1:$F$400="5호차",ROW(통합!$F$1:$F$400)),3)),"")</f>
        <v/>
      </c>
      <c r="L6" s="42" t="n"/>
      <c r="M6" s="42" t="n"/>
    </row>
    <row r="7" ht="21.75" customHeight="1" s="33">
      <c r="A7" s="43" t="n">
        <v>4</v>
      </c>
      <c r="B7" s="44">
        <f t="array" ref="B7:B7">IFERROR(INDEX(통합!$A$1:$A$400,SMALL(IF(통합!$E$1:$E$400="5호차",ROW(통합!$E$1:$E$400)),4)),"")</f>
        <v/>
      </c>
      <c r="C7" s="44">
        <f t="array" ref="C7:C7">IFERROR(INDEX(통합!$B$1:$B$400,SMALL(IF(통합!$E$1:$E$400="5호차",ROW(통합!$E$1:$E$400)),4)),"")</f>
        <v/>
      </c>
      <c r="D7" s="44">
        <f t="array" ref="D7:D7">IFERROR(INDEX(통합!$C$1:$C$400,SMALL(IF(통합!$E$1:$E$400="5호차",ROW(통합!$E$1:$E$400)),4)),"")</f>
        <v/>
      </c>
      <c r="E7" s="44" t="n"/>
      <c r="F7" s="44" t="n"/>
      <c r="H7" s="43" t="n">
        <v>4</v>
      </c>
      <c r="I7" s="44">
        <f t="array" ref="I7:I7">IFERROR(INDEX(통합!$A$1:$A$400,SMALL(IF(통합!$F$1:$F$400="5호차",ROW(통합!$F$1:$F$400)),4)),"")</f>
        <v/>
      </c>
      <c r="J7" s="44">
        <f t="array" ref="J7:J7">IFERROR(INDEX(통합!$B$1:$B$400,SMALL(IF(통합!$F$1:$F$400="5호차",ROW(통합!$F$1:$F$400)),4)),"")</f>
        <v/>
      </c>
      <c r="K7" s="44">
        <f t="array" ref="K7:K7">IFERROR(INDEX(통합!$C$1:$C$400,SMALL(IF(통합!$F$1:$F$400="5호차",ROW(통합!$F$1:$F$400)),4)),"")</f>
        <v/>
      </c>
      <c r="L7" s="44" t="n"/>
      <c r="M7" s="44" t="n"/>
    </row>
    <row r="8" ht="21.75" customHeight="1" s="33">
      <c r="A8" s="41" t="n">
        <v>5</v>
      </c>
      <c r="B8" s="42">
        <f t="array" ref="B8:B8">IFERROR(INDEX(통합!$A$1:$A$400,SMALL(IF(통합!$E$1:$E$400="5호차",ROW(통합!$E$1:$E$400)),5)),"")</f>
        <v/>
      </c>
      <c r="C8" s="42">
        <f t="array" ref="C8:C8">IFERROR(INDEX(통합!$B$1:$B$400,SMALL(IF(통합!$E$1:$E$400="5호차",ROW(통합!$E$1:$E$400)),5)),"")</f>
        <v/>
      </c>
      <c r="D8" s="42">
        <f t="array" ref="D8:D8">IFERROR(INDEX(통합!$C$1:$C$400,SMALL(IF(통합!$E$1:$E$400="5호차",ROW(통합!$E$1:$E$400)),5)),"")</f>
        <v/>
      </c>
      <c r="E8" s="42" t="n"/>
      <c r="F8" s="42" t="n"/>
      <c r="H8" s="41" t="n">
        <v>5</v>
      </c>
      <c r="I8" s="42">
        <f t="array" ref="I8:I8">IFERROR(INDEX(통합!$A$1:$A$400,SMALL(IF(통합!$F$1:$F$400="5호차",ROW(통합!$F$1:$F$400)),5)),"")</f>
        <v/>
      </c>
      <c r="J8" s="42">
        <f t="array" ref="J8:J8">IFERROR(INDEX(통합!$B$1:$B$400,SMALL(IF(통합!$F$1:$F$400="5호차",ROW(통합!$F$1:$F$400)),5)),"")</f>
        <v/>
      </c>
      <c r="K8" s="42">
        <f t="array" ref="K8:K8">IFERROR(INDEX(통합!$C$1:$C$400,SMALL(IF(통합!$F$1:$F$400="5호차",ROW(통합!$F$1:$F$400)),5)),"")</f>
        <v/>
      </c>
      <c r="L8" s="42" t="n"/>
      <c r="M8" s="42" t="n"/>
    </row>
    <row r="9" ht="21.75" customHeight="1" s="33">
      <c r="A9" s="43" t="n">
        <v>6</v>
      </c>
      <c r="B9" s="44">
        <f t="array" ref="B9:B9">IFERROR(INDEX(통합!$A$1:$A$400,SMALL(IF(통합!$E$1:$E$400="5호차",ROW(통합!$E$1:$E$400)),6)),"")</f>
        <v/>
      </c>
      <c r="C9" s="44">
        <f t="array" ref="C9:C9">IFERROR(INDEX(통합!$B$1:$B$400,SMALL(IF(통합!$E$1:$E$400="5호차",ROW(통합!$E$1:$E$400)),6)),"")</f>
        <v/>
      </c>
      <c r="D9" s="44">
        <f t="array" ref="D9:D9">IFERROR(INDEX(통합!$C$1:$C$400,SMALL(IF(통합!$E$1:$E$400="5호차",ROW(통합!$E$1:$E$400)),6)),"")</f>
        <v/>
      </c>
      <c r="E9" s="44" t="n"/>
      <c r="F9" s="44" t="n"/>
      <c r="H9" s="43" t="n">
        <v>6</v>
      </c>
      <c r="I9" s="44">
        <f t="array" ref="I9:I9">IFERROR(INDEX(통합!$A$1:$A$400,SMALL(IF(통합!$F$1:$F$400="5호차",ROW(통합!$F$1:$F$400)),6)),"")</f>
        <v/>
      </c>
      <c r="J9" s="44">
        <f t="array" ref="J9:J9">IFERROR(INDEX(통합!$B$1:$B$400,SMALL(IF(통합!$F$1:$F$400="5호차",ROW(통합!$F$1:$F$400)),6)),"")</f>
        <v/>
      </c>
      <c r="K9" s="44">
        <f t="array" ref="K9:K9">IFERROR(INDEX(통합!$C$1:$C$400,SMALL(IF(통합!$F$1:$F$400="5호차",ROW(통합!$F$1:$F$400)),6)),"")</f>
        <v/>
      </c>
      <c r="L9" s="44" t="n"/>
      <c r="M9" s="44" t="n"/>
    </row>
    <row r="10" ht="21.75" customHeight="1" s="33">
      <c r="A10" s="41" t="n">
        <v>7</v>
      </c>
      <c r="B10" s="42">
        <f t="array" ref="B10:B10">IFERROR(INDEX(통합!$A$1:$A$400,SMALL(IF(통합!$E$1:$E$400="5호차",ROW(통합!$E$1:$E$400)),7)),"")</f>
        <v/>
      </c>
      <c r="C10" s="42">
        <f t="array" ref="C10:C10">IFERROR(INDEX(통합!$B$1:$B$400,SMALL(IF(통합!$E$1:$E$400="5호차",ROW(통합!$E$1:$E$400)),7)),"")</f>
        <v/>
      </c>
      <c r="D10" s="42">
        <f t="array" ref="D10:D10">IFERROR(INDEX(통합!$C$1:$C$400,SMALL(IF(통합!$E$1:$E$400="5호차",ROW(통합!$E$1:$E$400)),7)),"")</f>
        <v/>
      </c>
      <c r="E10" s="42" t="n"/>
      <c r="F10" s="42" t="n"/>
      <c r="H10" s="41" t="n">
        <v>7</v>
      </c>
      <c r="I10" s="42">
        <f t="array" ref="I10:I10">IFERROR(INDEX(통합!$A$1:$A$400,SMALL(IF(통합!$F$1:$F$400="5호차",ROW(통합!$F$1:$F$400)),7)),"")</f>
        <v/>
      </c>
      <c r="J10" s="42">
        <f t="array" ref="J10:J10">IFERROR(INDEX(통합!$B$1:$B$400,SMALL(IF(통합!$F$1:$F$400="5호차",ROW(통합!$F$1:$F$400)),7)),"")</f>
        <v/>
      </c>
      <c r="K10" s="42">
        <f t="array" ref="K10:K10">IFERROR(INDEX(통합!$C$1:$C$400,SMALL(IF(통합!$F$1:$F$400="5호차",ROW(통합!$F$1:$F$400)),7)),"")</f>
        <v/>
      </c>
      <c r="L10" s="42" t="n"/>
      <c r="M10" s="42" t="n"/>
    </row>
    <row r="11" ht="21.75" customHeight="1" s="33">
      <c r="A11" s="43" t="n">
        <v>8</v>
      </c>
      <c r="B11" s="44">
        <f t="array" ref="B11:B11">IFERROR(INDEX(통합!$A$1:$A$400,SMALL(IF(통합!$E$1:$E$400="5호차",ROW(통합!$E$1:$E$400)),8)),"")</f>
        <v/>
      </c>
      <c r="C11" s="44">
        <f t="array" ref="C11:C11">IFERROR(INDEX(통합!$B$1:$B$400,SMALL(IF(통합!$E$1:$E$400="5호차",ROW(통합!$E$1:$E$400)),8)),"")</f>
        <v/>
      </c>
      <c r="D11" s="44">
        <f t="array" ref="D11:D11">IFERROR(INDEX(통합!$C$1:$C$400,SMALL(IF(통합!$E$1:$E$400="5호차",ROW(통합!$E$1:$E$400)),8)),"")</f>
        <v/>
      </c>
      <c r="E11" s="44" t="n"/>
      <c r="F11" s="44" t="n"/>
      <c r="H11" s="43" t="n">
        <v>8</v>
      </c>
      <c r="I11" s="44">
        <f t="array" ref="I11:I11">IFERROR(INDEX(통합!$A$1:$A$400,SMALL(IF(통합!$F$1:$F$400="5호차",ROW(통합!$F$1:$F$400)),8)),"")</f>
        <v/>
      </c>
      <c r="J11" s="44">
        <f t="array" ref="J11:J11">IFERROR(INDEX(통합!$B$1:$B$400,SMALL(IF(통합!$F$1:$F$400="5호차",ROW(통합!$F$1:$F$400)),8)),"")</f>
        <v/>
      </c>
      <c r="K11" s="44">
        <f t="array" ref="K11:K11">IFERROR(INDEX(통합!$C$1:$C$400,SMALL(IF(통합!$F$1:$F$400="5호차",ROW(통합!$F$1:$F$400)),8)),"")</f>
        <v/>
      </c>
      <c r="L11" s="44" t="n"/>
      <c r="M11" s="44" t="n"/>
    </row>
    <row r="12" ht="21.75" customHeight="1" s="33">
      <c r="A12" s="41" t="n">
        <v>9</v>
      </c>
      <c r="B12" s="42">
        <f t="array" ref="B12:B12">IFERROR(INDEX(통합!$A$1:$A$400,SMALL(IF(통합!$E$1:$E$400="5호차",ROW(통합!$E$1:$E$400)),9)),"")</f>
        <v/>
      </c>
      <c r="C12" s="42">
        <f t="array" ref="C12:C12">IFERROR(INDEX(통합!$B$1:$B$400,SMALL(IF(통합!$E$1:$E$400="5호차",ROW(통합!$E$1:$E$400)),9)),"")</f>
        <v/>
      </c>
      <c r="D12" s="42">
        <f t="array" ref="D12:D12">IFERROR(INDEX(통합!$C$1:$C$400,SMALL(IF(통합!$E$1:$E$400="5호차",ROW(통합!$E$1:$E$400)),9)),"")</f>
        <v/>
      </c>
      <c r="E12" s="42" t="n"/>
      <c r="F12" s="42" t="n"/>
      <c r="H12" s="41" t="n">
        <v>9</v>
      </c>
      <c r="I12" s="42">
        <f t="array" ref="I12:I12">IFERROR(INDEX(통합!$A$1:$A$400,SMALL(IF(통합!$F$1:$F$400="5호차",ROW(통합!$F$1:$F$400)),9)),"")</f>
        <v/>
      </c>
      <c r="J12" s="42">
        <f t="array" ref="J12:J12">IFERROR(INDEX(통합!$B$1:$B$400,SMALL(IF(통합!$F$1:$F$400="5호차",ROW(통합!$F$1:$F$400)),9)),"")</f>
        <v/>
      </c>
      <c r="K12" s="42">
        <f t="array" ref="K12:K12">IFERROR(INDEX(통합!$C$1:$C$400,SMALL(IF(통합!$F$1:$F$400="5호차",ROW(통합!$F$1:$F$400)),9)),"")</f>
        <v/>
      </c>
      <c r="L12" s="42" t="n"/>
      <c r="M12" s="42" t="n"/>
    </row>
    <row r="13" ht="21.75" customHeight="1" s="33">
      <c r="A13" s="43" t="n">
        <v>10</v>
      </c>
      <c r="B13" s="44">
        <f t="array" ref="B13:B13">IFERROR(INDEX(통합!$A$1:$A$400,SMALL(IF(통합!$E$1:$E$400="5호차",ROW(통합!$E$1:$E$400)),10)),"")</f>
        <v/>
      </c>
      <c r="C13" s="44">
        <f t="array" ref="C13:C13">IFERROR(INDEX(통합!$B$1:$B$400,SMALL(IF(통합!$E$1:$E$400="5호차",ROW(통합!$E$1:$E$400)),10)),"")</f>
        <v/>
      </c>
      <c r="D13" s="44">
        <f t="array" ref="D13:D13">IFERROR(INDEX(통합!$C$1:$C$400,SMALL(IF(통합!$E$1:$E$400="5호차",ROW(통합!$E$1:$E$400)),10)),"")</f>
        <v/>
      </c>
      <c r="E13" s="44" t="n"/>
      <c r="F13" s="44" t="n"/>
      <c r="H13" s="43" t="n">
        <v>10</v>
      </c>
      <c r="I13" s="44">
        <f t="array" ref="I13:I13">IFERROR(INDEX(통합!$A$1:$A$400,SMALL(IF(통합!$F$1:$F$400="5호차",ROW(통합!$F$1:$F$400)),10)),"")</f>
        <v/>
      </c>
      <c r="J13" s="44">
        <f t="array" ref="J13:J13">IFERROR(INDEX(통합!$B$1:$B$400,SMALL(IF(통합!$F$1:$F$400="5호차",ROW(통합!$F$1:$F$400)),10)),"")</f>
        <v/>
      </c>
      <c r="K13" s="44">
        <f t="array" ref="K13:K13">IFERROR(INDEX(통합!$C$1:$C$400,SMALL(IF(통합!$F$1:$F$400="5호차",ROW(통합!$F$1:$F$400)),10)),"")</f>
        <v/>
      </c>
      <c r="L13" s="44" t="n"/>
      <c r="M13" s="44" t="n"/>
    </row>
    <row r="14" ht="21.75" customHeight="1" s="33">
      <c r="A14" s="41" t="n">
        <v>11</v>
      </c>
      <c r="B14" s="42">
        <f t="array" ref="B14:B14">IFERROR(INDEX(통합!$A$1:$A$400,SMALL(IF(통합!$E$1:$E$400="5호차",ROW(통합!$E$1:$E$400)),11)),"")</f>
        <v/>
      </c>
      <c r="C14" s="42">
        <f t="array" ref="C14:C14">IFERROR(INDEX(통합!$B$1:$B$400,SMALL(IF(통합!$E$1:$E$400="5호차",ROW(통합!$E$1:$E$400)),11)),"")</f>
        <v/>
      </c>
      <c r="D14" s="42">
        <f t="array" ref="D14:D14">IFERROR(INDEX(통합!$C$1:$C$400,SMALL(IF(통합!$E$1:$E$400="5호차",ROW(통합!$E$1:$E$400)),11)),"")</f>
        <v/>
      </c>
      <c r="E14" s="42" t="n"/>
      <c r="F14" s="42" t="n"/>
      <c r="H14" s="41" t="n">
        <v>11</v>
      </c>
      <c r="I14" s="42">
        <f t="array" ref="I14:I14">IFERROR(INDEX(통합!$A$1:$A$400,SMALL(IF(통합!$F$1:$F$400="5호차",ROW(통합!$F$1:$F$400)),11)),"")</f>
        <v/>
      </c>
      <c r="J14" s="42">
        <f t="array" ref="J14:J14">IFERROR(INDEX(통합!$B$1:$B$400,SMALL(IF(통합!$F$1:$F$400="5호차",ROW(통합!$F$1:$F$400)),11)),"")</f>
        <v/>
      </c>
      <c r="K14" s="42">
        <f t="array" ref="K14:K14">IFERROR(INDEX(통합!$C$1:$C$400,SMALL(IF(통합!$F$1:$F$400="5호차",ROW(통합!$F$1:$F$400)),11)),"")</f>
        <v/>
      </c>
      <c r="L14" s="42" t="n"/>
      <c r="M14" s="42" t="n"/>
    </row>
    <row r="15" ht="21.75" customHeight="1" s="33">
      <c r="A15" s="43" t="n">
        <v>12</v>
      </c>
      <c r="B15" s="44">
        <f t="array" ref="B15:B15">IFERROR(INDEX(통합!$A$1:$A$400,SMALL(IF(통합!$E$1:$E$400="5호차",ROW(통합!$E$1:$E$400)),12)),"")</f>
        <v/>
      </c>
      <c r="C15" s="44">
        <f t="array" ref="C15:C15">IFERROR(INDEX(통합!$B$1:$B$400,SMALL(IF(통합!$E$1:$E$400="5호차",ROW(통합!$E$1:$E$400)),12)),"")</f>
        <v/>
      </c>
      <c r="D15" s="44">
        <f t="array" ref="D15:D15">IFERROR(INDEX(통합!$C$1:$C$400,SMALL(IF(통합!$E$1:$E$400="5호차",ROW(통합!$E$1:$E$400)),12)),"")</f>
        <v/>
      </c>
      <c r="E15" s="44" t="n"/>
      <c r="F15" s="44" t="n"/>
      <c r="H15" s="43" t="n">
        <v>12</v>
      </c>
      <c r="I15" s="44">
        <f t="array" ref="I15:I15">IFERROR(INDEX(통합!$A$1:$A$400,SMALL(IF(통합!$F$1:$F$400="5호차",ROW(통합!$F$1:$F$400)),12)),"")</f>
        <v/>
      </c>
      <c r="J15" s="44">
        <f t="array" ref="J15:J15">IFERROR(INDEX(통합!$B$1:$B$400,SMALL(IF(통합!$F$1:$F$400="5호차",ROW(통합!$F$1:$F$400)),12)),"")</f>
        <v/>
      </c>
      <c r="K15" s="44">
        <f t="array" ref="K15:K15">IFERROR(INDEX(통합!$C$1:$C$400,SMALL(IF(통합!$F$1:$F$400="5호차",ROW(통합!$F$1:$F$400)),12)),"")</f>
        <v/>
      </c>
      <c r="L15" s="44" t="n"/>
      <c r="M15" s="44" t="n"/>
    </row>
    <row r="16" ht="21.75" customHeight="1" s="33">
      <c r="A16" s="41" t="n">
        <v>13</v>
      </c>
      <c r="B16" s="42">
        <f t="array" ref="B16:B16">IFERROR(INDEX(통합!$A$1:$A$400,SMALL(IF(통합!$E$1:$E$400="5호차",ROW(통합!$E$1:$E$400)),13)),"")</f>
        <v/>
      </c>
      <c r="C16" s="42">
        <f t="array" ref="C16:C16">IFERROR(INDEX(통합!$B$1:$B$400,SMALL(IF(통합!$E$1:$E$400="5호차",ROW(통합!$E$1:$E$400)),13)),"")</f>
        <v/>
      </c>
      <c r="D16" s="42">
        <f t="array" ref="D16:D16">IFERROR(INDEX(통합!$C$1:$C$400,SMALL(IF(통합!$E$1:$E$400="5호차",ROW(통합!$E$1:$E$400)),13)),"")</f>
        <v/>
      </c>
      <c r="E16" s="42" t="n"/>
      <c r="F16" s="42" t="n"/>
      <c r="H16" s="41" t="n">
        <v>13</v>
      </c>
      <c r="I16" s="42">
        <f t="array" ref="I16:I16">IFERROR(INDEX(통합!$A$1:$A$400,SMALL(IF(통합!$F$1:$F$400="5호차",ROW(통합!$F$1:$F$400)),13)),"")</f>
        <v/>
      </c>
      <c r="J16" s="42">
        <f t="array" ref="J16:J16">IFERROR(INDEX(통합!$B$1:$B$400,SMALL(IF(통합!$F$1:$F$400="5호차",ROW(통합!$F$1:$F$400)),13)),"")</f>
        <v/>
      </c>
      <c r="K16" s="42">
        <f t="array" ref="K16:K16">IFERROR(INDEX(통합!$C$1:$C$400,SMALL(IF(통합!$F$1:$F$400="5호차",ROW(통합!$F$1:$F$400)),13)),"")</f>
        <v/>
      </c>
      <c r="L16" s="42" t="n"/>
      <c r="M16" s="42" t="n"/>
    </row>
    <row r="17" ht="21.75" customHeight="1" s="33">
      <c r="A17" s="43" t="n">
        <v>14</v>
      </c>
      <c r="B17" s="44">
        <f t="array" ref="B17:B17">IFERROR(INDEX(통합!$A$1:$A$400,SMALL(IF(통합!$E$1:$E$400="5호차",ROW(통합!$E$1:$E$400)),14)),"")</f>
        <v/>
      </c>
      <c r="C17" s="44">
        <f t="array" ref="C17:C17">IFERROR(INDEX(통합!$B$1:$B$400,SMALL(IF(통합!$E$1:$E$400="5호차",ROW(통합!$E$1:$E$400)),14)),"")</f>
        <v/>
      </c>
      <c r="D17" s="44">
        <f t="array" ref="D17:D17">IFERROR(INDEX(통합!$C$1:$C$400,SMALL(IF(통합!$E$1:$E$400="5호차",ROW(통합!$E$1:$E$400)),14)),"")</f>
        <v/>
      </c>
      <c r="E17" s="44" t="n"/>
      <c r="F17" s="44" t="n"/>
      <c r="H17" s="43" t="n">
        <v>14</v>
      </c>
      <c r="I17" s="44">
        <f t="array" ref="I17:I17">IFERROR(INDEX(통합!$A$1:$A$400,SMALL(IF(통합!$F$1:$F$400="5호차",ROW(통합!$F$1:$F$400)),14)),"")</f>
        <v/>
      </c>
      <c r="J17" s="44">
        <f t="array" ref="J17:J17">IFERROR(INDEX(통합!$B$1:$B$400,SMALL(IF(통합!$F$1:$F$400="5호차",ROW(통합!$F$1:$F$400)),14)),"")</f>
        <v/>
      </c>
      <c r="K17" s="44">
        <f t="array" ref="K17:K17">IFERROR(INDEX(통합!$C$1:$C$400,SMALL(IF(통합!$F$1:$F$400="5호차",ROW(통합!$F$1:$F$400)),14)),"")</f>
        <v/>
      </c>
      <c r="L17" s="44" t="n"/>
      <c r="M17" s="44" t="n"/>
    </row>
    <row r="18" ht="21.75" customHeight="1" s="33">
      <c r="A18" s="41" t="n">
        <v>15</v>
      </c>
      <c r="B18" s="42">
        <f t="array" ref="B18:B18">IFERROR(INDEX(통합!$A$1:$A$400,SMALL(IF(통합!$E$1:$E$400="5호차",ROW(통합!$E$1:$E$400)),15)),"")</f>
        <v/>
      </c>
      <c r="C18" s="42">
        <f t="array" ref="C18:C18">IFERROR(INDEX(통합!$B$1:$B$400,SMALL(IF(통합!$E$1:$E$400="5호차",ROW(통합!$E$1:$E$400)),15)),"")</f>
        <v/>
      </c>
      <c r="D18" s="42">
        <f t="array" ref="D18:D18">IFERROR(INDEX(통합!$C$1:$C$400,SMALL(IF(통합!$E$1:$E$400="5호차",ROW(통합!$E$1:$E$400)),15)),"")</f>
        <v/>
      </c>
      <c r="E18" s="42" t="n"/>
      <c r="F18" s="42" t="n"/>
      <c r="H18" s="41" t="n">
        <v>15</v>
      </c>
      <c r="I18" s="42">
        <f t="array" ref="I18:I18">IFERROR(INDEX(통합!$A$1:$A$400,SMALL(IF(통합!$F$1:$F$400="5호차",ROW(통합!$F$1:$F$400)),15)),"")</f>
        <v/>
      </c>
      <c r="J18" s="42">
        <f t="array" ref="J18:J18">IFERROR(INDEX(통합!$B$1:$B$400,SMALL(IF(통합!$F$1:$F$400="5호차",ROW(통합!$F$1:$F$400)),15)),"")</f>
        <v/>
      </c>
      <c r="K18" s="42">
        <f t="array" ref="K18:K18">IFERROR(INDEX(통합!$C$1:$C$400,SMALL(IF(통합!$F$1:$F$400="5호차",ROW(통합!$F$1:$F$400)),15)),"")</f>
        <v/>
      </c>
      <c r="L18" s="42" t="n"/>
      <c r="M18" s="42" t="n"/>
    </row>
    <row r="19" ht="21.75" customHeight="1" s="33">
      <c r="A19" s="43" t="n">
        <v>16</v>
      </c>
      <c r="B19" s="44">
        <f t="array" ref="B19:B19">IFERROR(INDEX(통합!$A$1:$A$400,SMALL(IF(통합!$E$1:$E$400="5호차",ROW(통합!$E$1:$E$400)),16)),"")</f>
        <v/>
      </c>
      <c r="C19" s="44">
        <f t="array" ref="C19:C19">IFERROR(INDEX(통합!$B$1:$B$400,SMALL(IF(통합!$E$1:$E$400="5호차",ROW(통합!$E$1:$E$400)),16)),"")</f>
        <v/>
      </c>
      <c r="D19" s="44">
        <f t="array" ref="D19:D19">IFERROR(INDEX(통합!$C$1:$C$400,SMALL(IF(통합!$E$1:$E$400="5호차",ROW(통합!$E$1:$E$400)),16)),"")</f>
        <v/>
      </c>
      <c r="E19" s="44" t="n"/>
      <c r="F19" s="44" t="n"/>
      <c r="H19" s="43" t="n">
        <v>16</v>
      </c>
      <c r="I19" s="44">
        <f t="array" ref="I19:I19">IFERROR(INDEX(통합!$A$1:$A$400,SMALL(IF(통합!$F$1:$F$400="5호차",ROW(통합!$F$1:$F$400)),16)),"")</f>
        <v/>
      </c>
      <c r="J19" s="44">
        <f t="array" ref="J19:J19">IFERROR(INDEX(통합!$B$1:$B$400,SMALL(IF(통합!$F$1:$F$400="5호차",ROW(통합!$F$1:$F$400)),16)),"")</f>
        <v/>
      </c>
      <c r="K19" s="44">
        <f t="array" ref="K19:K19">IFERROR(INDEX(통합!$C$1:$C$400,SMALL(IF(통합!$F$1:$F$400="5호차",ROW(통합!$F$1:$F$400)),16)),"")</f>
        <v/>
      </c>
      <c r="L19" s="44" t="n"/>
      <c r="M19" s="44" t="n"/>
    </row>
    <row r="20" ht="21.75" customHeight="1" s="33">
      <c r="A20" s="41" t="n">
        <v>17</v>
      </c>
      <c r="B20" s="42">
        <f t="array" ref="B20:B20">IFERROR(INDEX(통합!$A$1:$A$400,SMALL(IF(통합!$E$1:$E$400="5호차",ROW(통합!$E$1:$E$400)),17)),"")</f>
        <v/>
      </c>
      <c r="C20" s="42">
        <f t="array" ref="C20:C20">IFERROR(INDEX(통합!$B$1:$B$400,SMALL(IF(통합!$E$1:$E$400="5호차",ROW(통합!$E$1:$E$400)),17)),"")</f>
        <v/>
      </c>
      <c r="D20" s="42">
        <f t="array" ref="D20:D20">IFERROR(INDEX(통합!$C$1:$C$400,SMALL(IF(통합!$E$1:$E$400="5호차",ROW(통합!$E$1:$E$400)),17)),"")</f>
        <v/>
      </c>
      <c r="E20" s="42" t="n"/>
      <c r="F20" s="42" t="n"/>
      <c r="H20" s="41" t="n">
        <v>17</v>
      </c>
      <c r="I20" s="42">
        <f t="array" ref="I20:I20">IFERROR(INDEX(통합!$A$1:$A$400,SMALL(IF(통합!$F$1:$F$400="5호차",ROW(통합!$F$1:$F$400)),17)),"")</f>
        <v/>
      </c>
      <c r="J20" s="42">
        <f t="array" ref="J20:J20">IFERROR(INDEX(통합!$B$1:$B$400,SMALL(IF(통합!$F$1:$F$400="5호차",ROW(통합!$F$1:$F$400)),17)),"")</f>
        <v/>
      </c>
      <c r="K20" s="42">
        <f t="array" ref="K20:K20">IFERROR(INDEX(통합!$C$1:$C$400,SMALL(IF(통합!$F$1:$F$400="5호차",ROW(통합!$F$1:$F$400)),17)),"")</f>
        <v/>
      </c>
      <c r="L20" s="42" t="n"/>
      <c r="M20" s="42" t="n"/>
    </row>
    <row r="21" ht="21.75" customHeight="1" s="33">
      <c r="A21" s="43" t="n">
        <v>18</v>
      </c>
      <c r="B21" s="44">
        <f t="array" ref="B21:B21">IFERROR(INDEX(통합!$A$1:$A$400,SMALL(IF(통합!$E$1:$E$400="5호차",ROW(통합!$E$1:$E$400)),18)),"")</f>
        <v/>
      </c>
      <c r="C21" s="44">
        <f t="array" ref="C21:C21">IFERROR(INDEX(통합!$B$1:$B$400,SMALL(IF(통합!$E$1:$E$400="5호차",ROW(통합!$E$1:$E$400)),18)),"")</f>
        <v/>
      </c>
      <c r="D21" s="44">
        <f t="array" ref="D21:D21">IFERROR(INDEX(통합!$C$1:$C$400,SMALL(IF(통합!$E$1:$E$400="5호차",ROW(통합!$E$1:$E$400)),18)),"")</f>
        <v/>
      </c>
      <c r="E21" s="44" t="n"/>
      <c r="F21" s="44" t="n"/>
      <c r="H21" s="43" t="n">
        <v>18</v>
      </c>
      <c r="I21" s="44">
        <f t="array" ref="I21:I21">IFERROR(INDEX(통합!$A$1:$A$400,SMALL(IF(통합!$F$1:$F$400="5호차",ROW(통합!$F$1:$F$400)),18)),"")</f>
        <v/>
      </c>
      <c r="J21" s="44">
        <f t="array" ref="J21:J21">IFERROR(INDEX(통합!$B$1:$B$400,SMALL(IF(통합!$F$1:$F$400="5호차",ROW(통합!$F$1:$F$400)),18)),"")</f>
        <v/>
      </c>
      <c r="K21" s="44">
        <f t="array" ref="K21:K21">IFERROR(INDEX(통합!$C$1:$C$400,SMALL(IF(통합!$F$1:$F$400="5호차",ROW(통합!$F$1:$F$400)),18)),"")</f>
        <v/>
      </c>
      <c r="L21" s="44" t="n"/>
      <c r="M21" s="44" t="n"/>
    </row>
    <row r="22" ht="21.75" customHeight="1" s="33">
      <c r="A22" s="41" t="n">
        <v>19</v>
      </c>
      <c r="B22" s="42">
        <f t="array" ref="B22:B22">IFERROR(INDEX(통합!$A$1:$A$400,SMALL(IF(통합!$E$1:$E$400="5호차",ROW(통합!$E$1:$E$400)),19)),"")</f>
        <v/>
      </c>
      <c r="C22" s="42">
        <f t="array" ref="C22:C22">IFERROR(INDEX(통합!$B$1:$B$400,SMALL(IF(통합!$E$1:$E$400="5호차",ROW(통합!$E$1:$E$400)),19)),"")</f>
        <v/>
      </c>
      <c r="D22" s="42">
        <f t="array" ref="D22:D22">IFERROR(INDEX(통합!$C$1:$C$400,SMALL(IF(통합!$E$1:$E$400="5호차",ROW(통합!$E$1:$E$400)),19)),"")</f>
        <v/>
      </c>
      <c r="E22" s="42" t="n"/>
      <c r="F22" s="42" t="n"/>
      <c r="H22" s="41" t="n">
        <v>19</v>
      </c>
      <c r="I22" s="42">
        <f t="array" ref="I22:I22">IFERROR(INDEX(통합!$A$1:$A$400,SMALL(IF(통합!$F$1:$F$400="5호차",ROW(통합!$F$1:$F$400)),19)),"")</f>
        <v/>
      </c>
      <c r="J22" s="42">
        <f t="array" ref="J22:J22">IFERROR(INDEX(통합!$B$1:$B$400,SMALL(IF(통합!$F$1:$F$400="5호차",ROW(통합!$F$1:$F$400)),19)),"")</f>
        <v/>
      </c>
      <c r="K22" s="42">
        <f t="array" ref="K22:K22">IFERROR(INDEX(통합!$C$1:$C$400,SMALL(IF(통합!$F$1:$F$400="5호차",ROW(통합!$F$1:$F$400)),19)),"")</f>
        <v/>
      </c>
      <c r="L22" s="42" t="n"/>
      <c r="M22" s="42" t="n"/>
    </row>
    <row r="23" ht="21.75" customHeight="1" s="33">
      <c r="A23" s="43" t="n">
        <v>20</v>
      </c>
      <c r="B23" s="44">
        <f t="array" ref="B23:B23">IFERROR(INDEX(통합!$A$1:$A$400,SMALL(IF(통합!$E$1:$E$400="5호차",ROW(통합!$E$1:$E$400)),20)),"")</f>
        <v/>
      </c>
      <c r="C23" s="44">
        <f t="array" ref="C23:C23">IFERROR(INDEX(통합!$B$1:$B$400,SMALL(IF(통합!$E$1:$E$400="5호차",ROW(통합!$E$1:$E$400)),20)),"")</f>
        <v/>
      </c>
      <c r="D23" s="44">
        <f t="array" ref="D23:D23">IFERROR(INDEX(통합!$C$1:$C$400,SMALL(IF(통합!$E$1:$E$400="5호차",ROW(통합!$E$1:$E$400)),20)),"")</f>
        <v/>
      </c>
      <c r="E23" s="44" t="n"/>
      <c r="F23" s="44" t="n"/>
      <c r="H23" s="43" t="n">
        <v>20</v>
      </c>
      <c r="I23" s="44">
        <f t="array" ref="I23:I23">IFERROR(INDEX(통합!$A$1:$A$400,SMALL(IF(통합!$F$1:$F$400="5호차",ROW(통합!$F$1:$F$400)),20)),"")</f>
        <v/>
      </c>
      <c r="J23" s="44">
        <f t="array" ref="J23:J23">IFERROR(INDEX(통합!$B$1:$B$400,SMALL(IF(통합!$F$1:$F$400="5호차",ROW(통합!$F$1:$F$400)),20)),"")</f>
        <v/>
      </c>
      <c r="K23" s="44">
        <f t="array" ref="K23:K23">IFERROR(INDEX(통합!$C$1:$C$400,SMALL(IF(통합!$F$1:$F$400="5호차",ROW(통합!$F$1:$F$400)),20)),"")</f>
        <v/>
      </c>
      <c r="L23" s="44" t="n"/>
      <c r="M23" s="44" t="n"/>
    </row>
    <row r="24" ht="21.75" customHeight="1" s="33">
      <c r="A24" s="41" t="n">
        <v>21</v>
      </c>
      <c r="B24" s="42">
        <f t="array" ref="B24:B24">IFERROR(INDEX(통합!$A$1:$A$400,SMALL(IF(통합!$E$1:$E$400="5호차",ROW(통합!$E$1:$E$400)),21)),"")</f>
        <v/>
      </c>
      <c r="C24" s="42">
        <f t="array" ref="C24:C24">IFERROR(INDEX(통합!$B$1:$B$400,SMALL(IF(통합!$E$1:$E$400="5호차",ROW(통합!$E$1:$E$400)),21)),"")</f>
        <v/>
      </c>
      <c r="D24" s="42">
        <f t="array" ref="D24:D24">IFERROR(INDEX(통합!$C$1:$C$400,SMALL(IF(통합!$E$1:$E$400="5호차",ROW(통합!$E$1:$E$400)),21)),"")</f>
        <v/>
      </c>
      <c r="E24" s="42" t="n"/>
      <c r="F24" s="42" t="n"/>
      <c r="H24" s="41" t="n">
        <v>21</v>
      </c>
      <c r="I24" s="42">
        <f t="array" ref="I24:I24">IFERROR(INDEX(통합!$A$1:$A$400,SMALL(IF(통합!$F$1:$F$400="5호차",ROW(통합!$F$1:$F$400)),21)),"")</f>
        <v/>
      </c>
      <c r="J24" s="42">
        <f t="array" ref="J24:J24">IFERROR(INDEX(통합!$B$1:$B$400,SMALL(IF(통합!$F$1:$F$400="5호차",ROW(통합!$F$1:$F$400)),21)),"")</f>
        <v/>
      </c>
      <c r="K24" s="42">
        <f t="array" ref="K24:K24">IFERROR(INDEX(통합!$C$1:$C$400,SMALL(IF(통합!$F$1:$F$400="5호차",ROW(통합!$F$1:$F$400)),21)),"")</f>
        <v/>
      </c>
      <c r="L24" s="42" t="n"/>
      <c r="M24" s="42" t="n"/>
    </row>
    <row r="25" ht="21.75" customHeight="1" s="33">
      <c r="A25" s="43" t="n">
        <v>22</v>
      </c>
      <c r="B25" s="44">
        <f t="array" ref="B25:B25">IFERROR(INDEX(통합!$A$1:$A$400,SMALL(IF(통합!$E$1:$E$400="5호차",ROW(통합!$E$1:$E$400)),22)),"")</f>
        <v/>
      </c>
      <c r="C25" s="44">
        <f t="array" ref="C25:C25">IFERROR(INDEX(통합!$B$1:$B$400,SMALL(IF(통합!$E$1:$E$400="5호차",ROW(통합!$E$1:$E$400)),22)),"")</f>
        <v/>
      </c>
      <c r="D25" s="44">
        <f t="array" ref="D25:D25">IFERROR(INDEX(통합!$C$1:$C$400,SMALL(IF(통합!$E$1:$E$400="5호차",ROW(통합!$E$1:$E$400)),22)),"")</f>
        <v/>
      </c>
      <c r="E25" s="44" t="n"/>
      <c r="F25" s="44" t="n"/>
      <c r="H25" s="43" t="n">
        <v>22</v>
      </c>
      <c r="I25" s="44">
        <f t="array" ref="I25:I25">IFERROR(INDEX(통합!$A$1:$A$400,SMALL(IF(통합!$F$1:$F$400="5호차",ROW(통합!$F$1:$F$400)),22)),"")</f>
        <v/>
      </c>
      <c r="J25" s="44">
        <f t="array" ref="J25:J25">IFERROR(INDEX(통합!$B$1:$B$400,SMALL(IF(통합!$F$1:$F$400="5호차",ROW(통합!$F$1:$F$400)),22)),"")</f>
        <v/>
      </c>
      <c r="K25" s="44">
        <f t="array" ref="K25:K25">IFERROR(INDEX(통합!$C$1:$C$400,SMALL(IF(통합!$F$1:$F$400="5호차",ROW(통합!$F$1:$F$400)),22)),"")</f>
        <v/>
      </c>
      <c r="L25" s="44" t="n"/>
      <c r="M25" s="44" t="n"/>
    </row>
    <row r="26" ht="21.75" customHeight="1" s="33">
      <c r="A26" s="41" t="n">
        <v>23</v>
      </c>
      <c r="B26" s="42">
        <f t="array" ref="B26:B26">IFERROR(INDEX(통합!$A$1:$A$400,SMALL(IF(통합!$E$1:$E$400="5호차",ROW(통합!$E$1:$E$400)),23)),"")</f>
        <v/>
      </c>
      <c r="C26" s="42">
        <f t="array" ref="C26:C26">IFERROR(INDEX(통합!$B$1:$B$400,SMALL(IF(통합!$E$1:$E$400="5호차",ROW(통합!$E$1:$E$400)),23)),"")</f>
        <v/>
      </c>
      <c r="D26" s="42">
        <f t="array" ref="D26:D26">IFERROR(INDEX(통합!$C$1:$C$400,SMALL(IF(통합!$E$1:$E$400="5호차",ROW(통합!$E$1:$E$400)),23)),"")</f>
        <v/>
      </c>
      <c r="E26" s="42" t="n"/>
      <c r="F26" s="42" t="n"/>
      <c r="H26" s="41" t="n">
        <v>23</v>
      </c>
      <c r="I26" s="42">
        <f t="array" ref="I26:I26">IFERROR(INDEX(통합!$A$1:$A$400,SMALL(IF(통합!$F$1:$F$400="5호차",ROW(통합!$F$1:$F$400)),23)),"")</f>
        <v/>
      </c>
      <c r="J26" s="42">
        <f t="array" ref="J26:J26">IFERROR(INDEX(통합!$B$1:$B$400,SMALL(IF(통합!$F$1:$F$400="5호차",ROW(통합!$F$1:$F$400)),23)),"")</f>
        <v/>
      </c>
      <c r="K26" s="42">
        <f t="array" ref="K26:K26">IFERROR(INDEX(통합!$C$1:$C$400,SMALL(IF(통합!$F$1:$F$400="5호차",ROW(통합!$F$1:$F$400)),23)),"")</f>
        <v/>
      </c>
      <c r="L26" s="42" t="n"/>
      <c r="M26" s="42" t="n"/>
    </row>
    <row r="27" ht="21.75" customHeight="1" s="33">
      <c r="A27" s="43" t="n">
        <v>24</v>
      </c>
      <c r="B27" s="44">
        <f t="array" ref="B27:B27">IFERROR(INDEX(통합!$A$1:$A$400,SMALL(IF(통합!$E$1:$E$400="5호차",ROW(통합!$E$1:$E$400)),24)),"")</f>
        <v/>
      </c>
      <c r="C27" s="44">
        <f t="array" ref="C27:C27">IFERROR(INDEX(통합!$B$1:$B$400,SMALL(IF(통합!$E$1:$E$400="5호차",ROW(통합!$E$1:$E$400)),24)),"")</f>
        <v/>
      </c>
      <c r="D27" s="44">
        <f t="array" ref="D27:D27">IFERROR(INDEX(통합!$C$1:$C$400,SMALL(IF(통합!$E$1:$E$400="5호차",ROW(통합!$E$1:$E$400)),24)),"")</f>
        <v/>
      </c>
      <c r="E27" s="44" t="n"/>
      <c r="F27" s="44" t="n"/>
      <c r="H27" s="43" t="n">
        <v>24</v>
      </c>
      <c r="I27" s="44">
        <f t="array" ref="I27:I27">IFERROR(INDEX(통합!$A$1:$A$400,SMALL(IF(통합!$F$1:$F$400="5호차",ROW(통합!$F$1:$F$400)),24)),"")</f>
        <v/>
      </c>
      <c r="J27" s="44">
        <f t="array" ref="J27:J27">IFERROR(INDEX(통합!$B$1:$B$400,SMALL(IF(통합!$F$1:$F$400="5호차",ROW(통합!$F$1:$F$400)),24)),"")</f>
        <v/>
      </c>
      <c r="K27" s="44">
        <f t="array" ref="K27:K27">IFERROR(INDEX(통합!$C$1:$C$400,SMALL(IF(통합!$F$1:$F$400="5호차",ROW(통합!$F$1:$F$400)),24)),"")</f>
        <v/>
      </c>
      <c r="L27" s="44" t="n"/>
      <c r="M27" s="44" t="n"/>
    </row>
    <row r="28" ht="21.75" customHeight="1" s="33">
      <c r="A28" s="41" t="n">
        <v>25</v>
      </c>
      <c r="B28" s="42">
        <f t="array" ref="B28:B28">IFERROR(INDEX(통합!$A$1:$A$400,SMALL(IF(통합!$E$1:$E$400="5호차",ROW(통합!$E$1:$E$400)),25)),"")</f>
        <v/>
      </c>
      <c r="C28" s="42">
        <f t="array" ref="C28:C28">IFERROR(INDEX(통합!$B$1:$B$400,SMALL(IF(통합!$E$1:$E$400="5호차",ROW(통합!$E$1:$E$400)),25)),"")</f>
        <v/>
      </c>
      <c r="D28" s="42">
        <f t="array" ref="D28:D28">IFERROR(INDEX(통합!$C$1:$C$400,SMALL(IF(통합!$E$1:$E$400="5호차",ROW(통합!$E$1:$E$400)),25)),"")</f>
        <v/>
      </c>
      <c r="E28" s="42" t="n"/>
      <c r="F28" s="42" t="n"/>
      <c r="H28" s="41" t="n">
        <v>25</v>
      </c>
      <c r="I28" s="42">
        <f t="array" ref="I28:I28">IFERROR(INDEX(통합!$A$1:$A$400,SMALL(IF(통합!$F$1:$F$400="5호차",ROW(통합!$F$1:$F$400)),25)),"")</f>
        <v/>
      </c>
      <c r="J28" s="42">
        <f t="array" ref="J28:J28">IFERROR(INDEX(통합!$B$1:$B$400,SMALL(IF(통합!$F$1:$F$400="5호차",ROW(통합!$F$1:$F$400)),25)),"")</f>
        <v/>
      </c>
      <c r="K28" s="42">
        <f t="array" ref="K28:K28">IFERROR(INDEX(통합!$C$1:$C$400,SMALL(IF(통합!$F$1:$F$400="5호차",ROW(통합!$F$1:$F$400)),25)),"")</f>
        <v/>
      </c>
      <c r="L28" s="42" t="n"/>
      <c r="M28" s="42" t="n"/>
    </row>
    <row r="29" ht="21.75" customHeight="1" s="33">
      <c r="A29" s="43" t="n">
        <v>26</v>
      </c>
      <c r="B29" s="44">
        <f t="array" ref="B29:B29">IFERROR(INDEX(통합!$A$1:$A$400,SMALL(IF(통합!$E$1:$E$400="5호차",ROW(통합!$E$1:$E$400)),26)),"")</f>
        <v/>
      </c>
      <c r="C29" s="44">
        <f t="array" ref="C29:C29">IFERROR(INDEX(통합!$B$1:$B$400,SMALL(IF(통합!$E$1:$E$400="5호차",ROW(통합!$E$1:$E$400)),26)),"")</f>
        <v/>
      </c>
      <c r="D29" s="44">
        <f t="array" ref="D29:D29">IFERROR(INDEX(통합!$C$1:$C$400,SMALL(IF(통합!$E$1:$E$400="5호차",ROW(통합!$E$1:$E$400)),26)),"")</f>
        <v/>
      </c>
      <c r="E29" s="44" t="n"/>
      <c r="F29" s="44" t="n"/>
      <c r="H29" s="43" t="n">
        <v>26</v>
      </c>
      <c r="I29" s="44">
        <f t="array" ref="I29:I29">IFERROR(INDEX(통합!$A$1:$A$400,SMALL(IF(통합!$F$1:$F$400="5호차",ROW(통합!$F$1:$F$400)),26)),"")</f>
        <v/>
      </c>
      <c r="J29" s="44">
        <f t="array" ref="J29:J29">IFERROR(INDEX(통합!$B$1:$B$400,SMALL(IF(통합!$F$1:$F$400="5호차",ROW(통합!$F$1:$F$400)),26)),"")</f>
        <v/>
      </c>
      <c r="K29" s="44">
        <f t="array" ref="K29:K29">IFERROR(INDEX(통합!$C$1:$C$400,SMALL(IF(통합!$F$1:$F$400="5호차",ROW(통합!$F$1:$F$400)),26)),"")</f>
        <v/>
      </c>
      <c r="L29" s="44" t="n"/>
      <c r="M29" s="44" t="n"/>
    </row>
    <row r="30" ht="21.75" customHeight="1" s="33">
      <c r="A30" s="41" t="n">
        <v>27</v>
      </c>
      <c r="B30" s="42">
        <f t="array" ref="B30:B30">IFERROR(INDEX(통합!$A$1:$A$400,SMALL(IF(통합!$E$1:$E$400="5호차",ROW(통합!$E$1:$E$400)),27)),"")</f>
        <v/>
      </c>
      <c r="C30" s="42">
        <f t="array" ref="C30:C30">IFERROR(INDEX(통합!$B$1:$B$400,SMALL(IF(통합!$E$1:$E$400="5호차",ROW(통합!$E$1:$E$400)),27)),"")</f>
        <v/>
      </c>
      <c r="D30" s="42">
        <f t="array" ref="D30:D30">IFERROR(INDEX(통합!$C$1:$C$400,SMALL(IF(통합!$E$1:$E$400="5호차",ROW(통합!$E$1:$E$400)),27)),"")</f>
        <v/>
      </c>
      <c r="E30" s="42" t="n"/>
      <c r="F30" s="42" t="n"/>
      <c r="H30" s="41" t="n">
        <v>27</v>
      </c>
      <c r="I30" s="42">
        <f t="array" ref="I30:I30">IFERROR(INDEX(통합!$A$1:$A$400,SMALL(IF(통합!$F$1:$F$400="5호차",ROW(통합!$F$1:$F$400)),27)),"")</f>
        <v/>
      </c>
      <c r="J30" s="42">
        <f t="array" ref="J30:J30">IFERROR(INDEX(통합!$B$1:$B$400,SMALL(IF(통합!$F$1:$F$400="5호차",ROW(통합!$F$1:$F$400)),27)),"")</f>
        <v/>
      </c>
      <c r="K30" s="42">
        <f t="array" ref="K30:K30">IFERROR(INDEX(통합!$C$1:$C$400,SMALL(IF(통합!$F$1:$F$400="5호차",ROW(통합!$F$1:$F$400)),27)),"")</f>
        <v/>
      </c>
      <c r="L30" s="42" t="n"/>
      <c r="M30" s="42" t="n"/>
    </row>
    <row r="31" ht="21.75" customHeight="1" s="33">
      <c r="A31" s="43" t="n">
        <v>28</v>
      </c>
      <c r="B31" s="44">
        <f t="array" ref="B31:B31">IFERROR(INDEX(통합!$A$1:$A$400,SMALL(IF(통합!$E$1:$E$400="5호차",ROW(통합!$E$1:$E$400)),28)),"")</f>
        <v/>
      </c>
      <c r="C31" s="44">
        <f t="array" ref="C31:C31">IFERROR(INDEX(통합!$B$1:$B$400,SMALL(IF(통합!$E$1:$E$400="5호차",ROW(통합!$E$1:$E$400)),28)),"")</f>
        <v/>
      </c>
      <c r="D31" s="44">
        <f t="array" ref="D31:D31">IFERROR(INDEX(통합!$C$1:$C$400,SMALL(IF(통합!$E$1:$E$400="5호차",ROW(통합!$E$1:$E$400)),28)),"")</f>
        <v/>
      </c>
      <c r="E31" s="44" t="n"/>
      <c r="F31" s="44" t="n"/>
      <c r="H31" s="43" t="n">
        <v>28</v>
      </c>
      <c r="I31" s="44">
        <f t="array" ref="I31:I31">IFERROR(INDEX(통합!$A$1:$A$400,SMALL(IF(통합!$F$1:$F$400="5호차",ROW(통합!$F$1:$F$400)),28)),"")</f>
        <v/>
      </c>
      <c r="J31" s="44">
        <f t="array" ref="J31:J31">IFERROR(INDEX(통합!$B$1:$B$400,SMALL(IF(통합!$F$1:$F$400="5호차",ROW(통합!$F$1:$F$400)),28)),"")</f>
        <v/>
      </c>
      <c r="K31" s="44">
        <f t="array" ref="K31:K31">IFERROR(INDEX(통합!$C$1:$C$400,SMALL(IF(통합!$F$1:$F$400="5호차",ROW(통합!$F$1:$F$400)),28)),"")</f>
        <v/>
      </c>
      <c r="L31" s="44" t="n"/>
      <c r="M31" s="44" t="n"/>
    </row>
    <row r="32" ht="21.75" customHeight="1" s="33">
      <c r="A32" s="41" t="n">
        <v>29</v>
      </c>
      <c r="B32" s="42">
        <f t="array" ref="B32:B32">IFERROR(INDEX(통합!$A$1:$A$400,SMALL(IF(통합!$E$1:$E$400="5호차",ROW(통합!$E$1:$E$400)),29)),"")</f>
        <v/>
      </c>
      <c r="C32" s="42">
        <f t="array" ref="C32:C32">IFERROR(INDEX(통합!$B$1:$B$400,SMALL(IF(통합!$E$1:$E$400="5호차",ROW(통합!$E$1:$E$400)),29)),"")</f>
        <v/>
      </c>
      <c r="D32" s="42">
        <f t="array" ref="D32:D32">IFERROR(INDEX(통합!$C$1:$C$400,SMALL(IF(통합!$E$1:$E$400="5호차",ROW(통합!$E$1:$E$400)),29)),"")</f>
        <v/>
      </c>
      <c r="E32" s="42" t="n"/>
      <c r="F32" s="42" t="n"/>
      <c r="H32" s="41" t="n">
        <v>29</v>
      </c>
      <c r="I32" s="42">
        <f t="array" ref="I32:I32">IFERROR(INDEX(통합!$A$1:$A$400,SMALL(IF(통합!$F$1:$F$400="5호차",ROW(통합!$F$1:$F$400)),29)),"")</f>
        <v/>
      </c>
      <c r="J32" s="42">
        <f t="array" ref="J32:J32">IFERROR(INDEX(통합!$B$1:$B$400,SMALL(IF(통합!$F$1:$F$400="5호차",ROW(통합!$F$1:$F$400)),29)),"")</f>
        <v/>
      </c>
      <c r="K32" s="42">
        <f t="array" ref="K32:K32">IFERROR(INDEX(통합!$C$1:$C$400,SMALL(IF(통합!$F$1:$F$400="5호차",ROW(통합!$F$1:$F$400)),29)),"")</f>
        <v/>
      </c>
      <c r="L32" s="42" t="n"/>
      <c r="M32" s="42" t="n"/>
    </row>
    <row r="33" ht="21.75" customHeight="1" s="33">
      <c r="A33" s="43" t="n">
        <v>30</v>
      </c>
      <c r="B33" s="44">
        <f t="array" ref="B33:B33">IFERROR(INDEX(통합!$A$1:$A$400,SMALL(IF(통합!$E$1:$E$400="5호차",ROW(통합!$E$1:$E$400)),30)),"")</f>
        <v/>
      </c>
      <c r="C33" s="44">
        <f t="array" ref="C33:C33">IFERROR(INDEX(통합!$B$1:$B$400,SMALL(IF(통합!$E$1:$E$400="5호차",ROW(통합!$E$1:$E$400)),30)),"")</f>
        <v/>
      </c>
      <c r="D33" s="44">
        <f t="array" ref="D33:D33">IFERROR(INDEX(통합!$C$1:$C$400,SMALL(IF(통합!$E$1:$E$400="5호차",ROW(통합!$E$1:$E$400)),30)),"")</f>
        <v/>
      </c>
      <c r="E33" s="44" t="n"/>
      <c r="F33" s="44" t="n"/>
      <c r="H33" s="43" t="n">
        <v>30</v>
      </c>
      <c r="I33" s="44">
        <f t="array" ref="I33:I33">IFERROR(INDEX(통합!$A$1:$A$400,SMALL(IF(통합!$F$1:$F$400="5호차",ROW(통합!$F$1:$F$400)),30)),"")</f>
        <v/>
      </c>
      <c r="J33" s="44">
        <f t="array" ref="J33:J33">IFERROR(INDEX(통합!$B$1:$B$400,SMALL(IF(통합!$F$1:$F$400="5호차",ROW(통합!$F$1:$F$400)),30)),"")</f>
        <v/>
      </c>
      <c r="K33" s="44">
        <f t="array" ref="K33:K33">IFERROR(INDEX(통합!$C$1:$C$400,SMALL(IF(통합!$F$1:$F$400="5호차",ROW(통합!$F$1:$F$400)),30)),"")</f>
        <v/>
      </c>
      <c r="L33" s="44" t="n"/>
      <c r="M33" s="44" t="n"/>
    </row>
    <row r="34" ht="21.75" customHeight="1" s="33">
      <c r="A34" s="41" t="n">
        <v>31</v>
      </c>
      <c r="B34" s="42">
        <f t="array" ref="B34:B34">IFERROR(INDEX(통합!$A$1:$A$400,SMALL(IF(통합!$E$1:$E$400="5호차",ROW(통합!$E$1:$E$400)),31)),"")</f>
        <v/>
      </c>
      <c r="C34" s="42">
        <f t="array" ref="C34:C34">IFERROR(INDEX(통합!$B$1:$B$400,SMALL(IF(통합!$E$1:$E$400="5호차",ROW(통합!$E$1:$E$400)),31)),"")</f>
        <v/>
      </c>
      <c r="D34" s="42">
        <f t="array" ref="D34:D34">IFERROR(INDEX(통합!$C$1:$C$400,SMALL(IF(통합!$E$1:$E$400="5호차",ROW(통합!$E$1:$E$400)),31)),"")</f>
        <v/>
      </c>
      <c r="E34" s="42" t="n"/>
      <c r="F34" s="42" t="n"/>
      <c r="H34" s="41" t="n">
        <v>31</v>
      </c>
      <c r="I34" s="42">
        <f t="array" ref="I34:I34">IFERROR(INDEX(통합!$A$1:$A$400,SMALL(IF(통합!$F$1:$F$400="5호차",ROW(통합!$F$1:$F$400)),31)),"")</f>
        <v/>
      </c>
      <c r="J34" s="42">
        <f t="array" ref="J34:J34">IFERROR(INDEX(통합!$B$1:$B$400,SMALL(IF(통합!$F$1:$F$400="5호차",ROW(통합!$F$1:$F$400)),31)),"")</f>
        <v/>
      </c>
      <c r="K34" s="42">
        <f t="array" ref="K34:K34">IFERROR(INDEX(통합!$C$1:$C$400,SMALL(IF(통합!$F$1:$F$400="5호차",ROW(통합!$F$1:$F$400)),31)),"")</f>
        <v/>
      </c>
      <c r="L34" s="42" t="n"/>
      <c r="M34" s="42" t="n"/>
    </row>
    <row r="35" ht="21.75" customHeight="1" s="33">
      <c r="A35" s="43" t="n">
        <v>32</v>
      </c>
      <c r="B35" s="44">
        <f t="array" ref="B35:B35">IFERROR(INDEX(통합!$A$1:$A$400,SMALL(IF(통합!$E$1:$E$400="5호차",ROW(통합!$E$1:$E$400)),32)),"")</f>
        <v/>
      </c>
      <c r="C35" s="44">
        <f t="array" ref="C35:C35">IFERROR(INDEX(통합!$B$1:$B$400,SMALL(IF(통합!$E$1:$E$400="5호차",ROW(통합!$E$1:$E$400)),32)),"")</f>
        <v/>
      </c>
      <c r="D35" s="44">
        <f t="array" ref="D35:D35">IFERROR(INDEX(통합!$C$1:$C$400,SMALL(IF(통합!$E$1:$E$400="5호차",ROW(통합!$E$1:$E$400)),32)),"")</f>
        <v/>
      </c>
      <c r="E35" s="44" t="n"/>
      <c r="F35" s="44" t="n"/>
      <c r="H35" s="43" t="n">
        <v>32</v>
      </c>
      <c r="I35" s="44">
        <f t="array" ref="I35:I35">IFERROR(INDEX(통합!$A$1:$A$400,SMALL(IF(통합!$F$1:$F$400="5호차",ROW(통합!$F$1:$F$400)),32)),"")</f>
        <v/>
      </c>
      <c r="J35" s="44">
        <f t="array" ref="J35:J35">IFERROR(INDEX(통합!$B$1:$B$400,SMALL(IF(통합!$F$1:$F$400="5호차",ROW(통합!$F$1:$F$400)),32)),"")</f>
        <v/>
      </c>
      <c r="K35" s="44">
        <f t="array" ref="K35:K35">IFERROR(INDEX(통합!$C$1:$C$400,SMALL(IF(통합!$F$1:$F$400="5호차",ROW(통합!$F$1:$F$400)),32)),"")</f>
        <v/>
      </c>
      <c r="L35" s="44" t="n"/>
      <c r="M35" s="44" t="n"/>
    </row>
    <row r="36" ht="21.75" customHeight="1" s="33">
      <c r="A36" s="41" t="n">
        <v>33</v>
      </c>
      <c r="B36" s="42">
        <f t="array" ref="B36:B36">IFERROR(INDEX(통합!$A$1:$A$400,SMALL(IF(통합!$E$1:$E$400="5호차",ROW(통합!$E$1:$E$400)),33)),"")</f>
        <v/>
      </c>
      <c r="C36" s="42">
        <f t="array" ref="C36:C36">IFERROR(INDEX(통합!$B$1:$B$400,SMALL(IF(통합!$E$1:$E$400="5호차",ROW(통합!$E$1:$E$400)),33)),"")</f>
        <v/>
      </c>
      <c r="D36" s="42">
        <f t="array" ref="D36:D36">IFERROR(INDEX(통합!$C$1:$C$400,SMALL(IF(통합!$E$1:$E$400="5호차",ROW(통합!$E$1:$E$400)),33)),"")</f>
        <v/>
      </c>
      <c r="E36" s="42" t="n"/>
      <c r="F36" s="42" t="n"/>
      <c r="H36" s="41" t="n">
        <v>33</v>
      </c>
      <c r="I36" s="42">
        <f t="array" ref="I36:I36">IFERROR(INDEX(통합!$A$1:$A$400,SMALL(IF(통합!$F$1:$F$400="5호차",ROW(통합!$F$1:$F$400)),33)),"")</f>
        <v/>
      </c>
      <c r="J36" s="42">
        <f t="array" ref="J36:J36">IFERROR(INDEX(통합!$B$1:$B$400,SMALL(IF(통합!$F$1:$F$400="5호차",ROW(통합!$F$1:$F$400)),33)),"")</f>
        <v/>
      </c>
      <c r="K36" s="42">
        <f t="array" ref="K36:K36">IFERROR(INDEX(통합!$C$1:$C$400,SMALL(IF(통합!$F$1:$F$400="5호차",ROW(통합!$F$1:$F$400)),33)),"")</f>
        <v/>
      </c>
      <c r="L36" s="42" t="n"/>
      <c r="M36" s="42" t="n"/>
    </row>
    <row r="37" ht="21.75" customHeight="1" s="33">
      <c r="A37" s="43" t="n">
        <v>34</v>
      </c>
      <c r="B37" s="44">
        <f t="array" ref="B37:B37">IFERROR(INDEX(통합!$A$1:$A$400,SMALL(IF(통합!$E$1:$E$400="5호차",ROW(통합!$E$1:$E$400)),34)),"")</f>
        <v/>
      </c>
      <c r="C37" s="44">
        <f t="array" ref="C37:C37">IFERROR(INDEX(통합!$B$1:$B$400,SMALL(IF(통합!$E$1:$E$400="5호차",ROW(통합!$E$1:$E$400)),34)),"")</f>
        <v/>
      </c>
      <c r="D37" s="44">
        <f t="array" ref="D37:D37">IFERROR(INDEX(통합!$C$1:$C$400,SMALL(IF(통합!$E$1:$E$400="5호차",ROW(통합!$E$1:$E$400)),34)),"")</f>
        <v/>
      </c>
      <c r="E37" s="44" t="n"/>
      <c r="F37" s="44" t="n"/>
      <c r="H37" s="43" t="n">
        <v>34</v>
      </c>
      <c r="I37" s="44">
        <f t="array" ref="I37:I37">IFERROR(INDEX(통합!$A$1:$A$400,SMALL(IF(통합!$F$1:$F$400="5호차",ROW(통합!$F$1:$F$400)),34)),"")</f>
        <v/>
      </c>
      <c r="J37" s="44">
        <f t="array" ref="J37:J37">IFERROR(INDEX(통합!$B$1:$B$400,SMALL(IF(통합!$F$1:$F$400="5호차",ROW(통합!$F$1:$F$400)),34)),"")</f>
        <v/>
      </c>
      <c r="K37" s="44">
        <f t="array" ref="K37:K37">IFERROR(INDEX(통합!$C$1:$C$400,SMALL(IF(통합!$F$1:$F$400="5호차",ROW(통합!$F$1:$F$400)),34)),"")</f>
        <v/>
      </c>
      <c r="L37" s="44" t="n"/>
      <c r="M37" s="44" t="n"/>
    </row>
    <row r="38" ht="21.75" customHeight="1" s="33">
      <c r="A38" s="41" t="n">
        <v>35</v>
      </c>
      <c r="B38" s="42">
        <f t="array" ref="B38:B38">IFERROR(INDEX(통합!$A$1:$A$400,SMALL(IF(통합!$E$1:$E$400="5호차",ROW(통합!$E$1:$E$400)),35)),"")</f>
        <v/>
      </c>
      <c r="C38" s="42">
        <f t="array" ref="C38:C38">IFERROR(INDEX(통합!$B$1:$B$400,SMALL(IF(통합!$E$1:$E$400="5호차",ROW(통합!$E$1:$E$400)),35)),"")</f>
        <v/>
      </c>
      <c r="D38" s="42">
        <f t="array" ref="D38:D38">IFERROR(INDEX(통합!$C$1:$C$400,SMALL(IF(통합!$E$1:$E$400="5호차",ROW(통합!$E$1:$E$400)),35)),"")</f>
        <v/>
      </c>
      <c r="E38" s="42" t="n"/>
      <c r="F38" s="42" t="n"/>
      <c r="H38" s="41" t="n">
        <v>35</v>
      </c>
      <c r="I38" s="42">
        <f t="array" ref="I38:I38">IFERROR(INDEX(통합!$A$1:$A$400,SMALL(IF(통합!$F$1:$F$400="5호차",ROW(통합!$F$1:$F$400)),35)),"")</f>
        <v/>
      </c>
      <c r="J38" s="42">
        <f t="array" ref="J38:J38">IFERROR(INDEX(통합!$B$1:$B$400,SMALL(IF(통합!$F$1:$F$400="5호차",ROW(통합!$F$1:$F$400)),35)),"")</f>
        <v/>
      </c>
      <c r="K38" s="42">
        <f t="array" ref="K38:K38">IFERROR(INDEX(통합!$C$1:$C$400,SMALL(IF(통합!$F$1:$F$400="5호차",ROW(통합!$F$1:$F$400)),35)),"")</f>
        <v/>
      </c>
      <c r="L38" s="42" t="n"/>
      <c r="M38" s="42" t="n"/>
    </row>
    <row r="39" ht="21.75" customHeight="1" s="33">
      <c r="A39" s="43" t="n">
        <v>36</v>
      </c>
      <c r="B39" s="44">
        <f t="array" ref="B39:B39">IFERROR(INDEX(통합!$A$1:$A$400,SMALL(IF(통합!$E$1:$E$400="5호차",ROW(통합!$E$1:$E$400)),36)),"")</f>
        <v/>
      </c>
      <c r="C39" s="44">
        <f t="array" ref="C39:C39">IFERROR(INDEX(통합!$B$1:$B$400,SMALL(IF(통합!$E$1:$E$400="5호차",ROW(통합!$E$1:$E$400)),36)),"")</f>
        <v/>
      </c>
      <c r="D39" s="44">
        <f t="array" ref="D39:D39">IFERROR(INDEX(통합!$C$1:$C$400,SMALL(IF(통합!$E$1:$E$400="5호차",ROW(통합!$E$1:$E$400)),36)),"")</f>
        <v/>
      </c>
      <c r="E39" s="44" t="n"/>
      <c r="F39" s="44" t="n"/>
      <c r="H39" s="43" t="n">
        <v>36</v>
      </c>
      <c r="I39" s="44">
        <f t="array" ref="I39:I39">IFERROR(INDEX(통합!$A$1:$A$400,SMALL(IF(통합!$F$1:$F$400="5호차",ROW(통합!$F$1:$F$400)),36)),"")</f>
        <v/>
      </c>
      <c r="J39" s="44">
        <f t="array" ref="J39:J39">IFERROR(INDEX(통합!$B$1:$B$400,SMALL(IF(통합!$F$1:$F$400="5호차",ROW(통합!$F$1:$F$400)),36)),"")</f>
        <v/>
      </c>
      <c r="K39" s="44">
        <f t="array" ref="K39:K39">IFERROR(INDEX(통합!$C$1:$C$400,SMALL(IF(통합!$F$1:$F$400="5호차",ROW(통합!$F$1:$F$400)),36)),"")</f>
        <v/>
      </c>
      <c r="L39" s="44" t="n"/>
      <c r="M39" s="44" t="n"/>
    </row>
    <row r="40" ht="21.75" customHeight="1" s="33">
      <c r="A40" s="41" t="n">
        <v>37</v>
      </c>
      <c r="B40" s="42">
        <f t="array" ref="B40:B40">IFERROR(INDEX(통합!$A$1:$A$400,SMALL(IF(통합!$E$1:$E$400="5호차",ROW(통합!$E$1:$E$400)),37)),"")</f>
        <v/>
      </c>
      <c r="C40" s="42">
        <f t="array" ref="C40:C40">IFERROR(INDEX(통합!$B$1:$B$400,SMALL(IF(통합!$E$1:$E$400="5호차",ROW(통합!$E$1:$E$400)),37)),"")</f>
        <v/>
      </c>
      <c r="D40" s="42">
        <f t="array" ref="D40:D40">IFERROR(INDEX(통합!$C$1:$C$400,SMALL(IF(통합!$E$1:$E$400="5호차",ROW(통합!$E$1:$E$400)),37)),"")</f>
        <v/>
      </c>
      <c r="E40" s="42" t="n"/>
      <c r="F40" s="42" t="n"/>
      <c r="H40" s="41" t="n">
        <v>37</v>
      </c>
      <c r="I40" s="42">
        <f t="array" ref="I40:I40">IFERROR(INDEX(통합!$A$1:$A$400,SMALL(IF(통합!$F$1:$F$400="5호차",ROW(통합!$F$1:$F$400)),37)),"")</f>
        <v/>
      </c>
      <c r="J40" s="42">
        <f t="array" ref="J40:J40">IFERROR(INDEX(통합!$B$1:$B$400,SMALL(IF(통합!$F$1:$F$400="5호차",ROW(통합!$F$1:$F$400)),37)),"")</f>
        <v/>
      </c>
      <c r="K40" s="42">
        <f t="array" ref="K40:K40">IFERROR(INDEX(통합!$C$1:$C$400,SMALL(IF(통합!$F$1:$F$400="5호차",ROW(통합!$F$1:$F$400)),37)),"")</f>
        <v/>
      </c>
      <c r="L40" s="42" t="n"/>
      <c r="M40" s="42" t="n"/>
    </row>
    <row r="41" ht="21.75" customHeight="1" s="33">
      <c r="A41" s="43" t="n">
        <v>38</v>
      </c>
      <c r="B41" s="44">
        <f t="array" ref="B41:B41">IFERROR(INDEX(통합!$A$1:$A$400,SMALL(IF(통합!$E$1:$E$400="5호차",ROW(통합!$E$1:$E$400)),38)),"")</f>
        <v/>
      </c>
      <c r="C41" s="44">
        <f t="array" ref="C41:C41">IFERROR(INDEX(통합!$B$1:$B$400,SMALL(IF(통합!$E$1:$E$400="5호차",ROW(통합!$E$1:$E$400)),38)),"")</f>
        <v/>
      </c>
      <c r="D41" s="44">
        <f t="array" ref="D41:D41">IFERROR(INDEX(통합!$C$1:$C$400,SMALL(IF(통합!$E$1:$E$400="5호차",ROW(통합!$E$1:$E$400)),38)),"")</f>
        <v/>
      </c>
      <c r="E41" s="44" t="n"/>
      <c r="F41" s="44" t="n"/>
      <c r="H41" s="43" t="n">
        <v>38</v>
      </c>
      <c r="I41" s="44">
        <f t="array" ref="I41:I41">IFERROR(INDEX(통합!$A$1:$A$400,SMALL(IF(통합!$F$1:$F$400="5호차",ROW(통합!$F$1:$F$400)),38)),"")</f>
        <v/>
      </c>
      <c r="J41" s="44">
        <f t="array" ref="J41:J41">IFERROR(INDEX(통합!$B$1:$B$400,SMALL(IF(통합!$F$1:$F$400="5호차",ROW(통합!$F$1:$F$400)),38)),"")</f>
        <v/>
      </c>
      <c r="K41" s="44">
        <f t="array" ref="K41:K41">IFERROR(INDEX(통합!$C$1:$C$400,SMALL(IF(통합!$F$1:$F$400="5호차",ROW(통합!$F$1:$F$400)),38)),"")</f>
        <v/>
      </c>
      <c r="L41" s="44" t="n"/>
      <c r="M41" s="44" t="n"/>
    </row>
    <row r="42" ht="21.75" customHeight="1" s="33">
      <c r="A42" s="41" t="n">
        <v>39</v>
      </c>
      <c r="B42" s="42">
        <f t="array" ref="B42:B42">IFERROR(INDEX(통합!$A$1:$A$400,SMALL(IF(통합!$E$1:$E$400="5호차",ROW(통합!$E$1:$E$400)),39)),"")</f>
        <v/>
      </c>
      <c r="C42" s="42">
        <f t="array" ref="C42:C42">IFERROR(INDEX(통합!$B$1:$B$400,SMALL(IF(통합!$E$1:$E$400="5호차",ROW(통합!$E$1:$E$400)),39)),"")</f>
        <v/>
      </c>
      <c r="D42" s="42">
        <f t="array" ref="D42:D42">IFERROR(INDEX(통합!$C$1:$C$400,SMALL(IF(통합!$E$1:$E$400="5호차",ROW(통합!$E$1:$E$400)),39)),"")</f>
        <v/>
      </c>
      <c r="E42" s="42" t="n"/>
      <c r="F42" s="42" t="n"/>
      <c r="H42" s="41" t="n">
        <v>39</v>
      </c>
      <c r="I42" s="42">
        <f t="array" ref="I42:I42">IFERROR(INDEX(통합!$A$1:$A$400,SMALL(IF(통합!$F$1:$F$400="5호차",ROW(통합!$F$1:$F$400)),39)),"")</f>
        <v/>
      </c>
      <c r="J42" s="42">
        <f t="array" ref="J42:J42">IFERROR(INDEX(통합!$B$1:$B$400,SMALL(IF(통합!$F$1:$F$400="5호차",ROW(통합!$F$1:$F$400)),39)),"")</f>
        <v/>
      </c>
      <c r="K42" s="42">
        <f t="array" ref="K42:K42">IFERROR(INDEX(통합!$C$1:$C$400,SMALL(IF(통합!$F$1:$F$400="5호차",ROW(통합!$F$1:$F$400)),39)),"")</f>
        <v/>
      </c>
      <c r="L42" s="42" t="n"/>
      <c r="M42" s="42" t="n"/>
    </row>
    <row r="43" ht="21.75" customHeight="1" s="33">
      <c r="A43" s="43" t="n">
        <v>40</v>
      </c>
      <c r="B43" s="44">
        <f t="array" ref="B43:B43">IFERROR(INDEX(통합!$A$1:$A$400,SMALL(IF(통합!$E$1:$E$400="5호차",ROW(통합!$E$1:$E$400)),40)),"")</f>
        <v/>
      </c>
      <c r="C43" s="44">
        <f t="array" ref="C43:C43">IFERROR(INDEX(통합!$B$1:$B$400,SMALL(IF(통합!$E$1:$E$400="5호차",ROW(통합!$E$1:$E$400)),40)),"")</f>
        <v/>
      </c>
      <c r="D43" s="44">
        <f t="array" ref="D43:D43">IFERROR(INDEX(통합!$C$1:$C$400,SMALL(IF(통합!$E$1:$E$400="5호차",ROW(통합!$E$1:$E$400)),40)),"")</f>
        <v/>
      </c>
      <c r="E43" s="44" t="n"/>
      <c r="F43" s="44" t="n"/>
      <c r="H43" s="43" t="n">
        <v>40</v>
      </c>
      <c r="I43" s="44">
        <f t="array" ref="I43:I43">IFERROR(INDEX(통합!$A$1:$A$400,SMALL(IF(통합!$F$1:$F$400="5호차",ROW(통합!$F$1:$F$400)),40)),"")</f>
        <v/>
      </c>
      <c r="J43" s="44">
        <f t="array" ref="J43:J43">IFERROR(INDEX(통합!$B$1:$B$400,SMALL(IF(통합!$F$1:$F$400="5호차",ROW(통합!$F$1:$F$400)),40)),"")</f>
        <v/>
      </c>
      <c r="K43" s="44">
        <f t="array" ref="K43:K43">IFERROR(INDEX(통합!$C$1:$C$400,SMALL(IF(통합!$F$1:$F$400="5호차",ROW(통합!$F$1:$F$400)),40)),"")</f>
        <v/>
      </c>
      <c r="L43" s="44" t="n"/>
      <c r="M43" s="44" t="n"/>
    </row>
    <row r="44" ht="21.75" customHeight="1" s="33">
      <c r="A44" s="41" t="n">
        <v>41</v>
      </c>
      <c r="B44" s="42">
        <f t="array" ref="B44:B44">IFERROR(INDEX(통합!$A$1:$A$400,SMALL(IF(통합!$E$1:$E$400="5호차",ROW(통합!$E$1:$E$400)),41)),"")</f>
        <v/>
      </c>
      <c r="C44" s="42">
        <f t="array" ref="C44:C44">IFERROR(INDEX(통합!$B$1:$B$400,SMALL(IF(통합!$E$1:$E$400="5호차",ROW(통합!$E$1:$E$400)),41)),"")</f>
        <v/>
      </c>
      <c r="D44" s="42">
        <f t="array" ref="D44:D44">IFERROR(INDEX(통합!$C$1:$C$400,SMALL(IF(통합!$E$1:$E$400="5호차",ROW(통합!$E$1:$E$400)),41)),"")</f>
        <v/>
      </c>
      <c r="E44" s="42" t="n"/>
      <c r="F44" s="42" t="n"/>
      <c r="H44" s="41" t="n">
        <v>41</v>
      </c>
      <c r="I44" s="42">
        <f t="array" ref="I44:I44">IFERROR(INDEX(통합!$A$1:$A$400,SMALL(IF(통합!$F$1:$F$400="5호차",ROW(통합!$F$1:$F$400)),41)),"")</f>
        <v/>
      </c>
      <c r="J44" s="42">
        <f t="array" ref="J44:J44">IFERROR(INDEX(통합!$B$1:$B$400,SMALL(IF(통합!$F$1:$F$400="5호차",ROW(통합!$F$1:$F$400)),41)),"")</f>
        <v/>
      </c>
      <c r="K44" s="42">
        <f t="array" ref="K44:K44">IFERROR(INDEX(통합!$C$1:$C$400,SMALL(IF(통합!$F$1:$F$400="5호차",ROW(통합!$F$1:$F$400)),41)),"")</f>
        <v/>
      </c>
      <c r="L44" s="42" t="n"/>
      <c r="M44" s="42" t="n"/>
    </row>
    <row r="45" ht="21.75" customHeight="1" s="33">
      <c r="A45" s="43" t="n">
        <v>42</v>
      </c>
      <c r="B45" s="44">
        <f t="array" ref="B45:B45">IFERROR(INDEX(통합!$A$1:$A$400,SMALL(IF(통합!$E$1:$E$400="5호차",ROW(통합!$E$1:$E$400)),42)),"")</f>
        <v/>
      </c>
      <c r="C45" s="44">
        <f t="array" ref="C45:C45">IFERROR(INDEX(통합!$B$1:$B$400,SMALL(IF(통합!$E$1:$E$400="5호차",ROW(통합!$E$1:$E$400)),42)),"")</f>
        <v/>
      </c>
      <c r="D45" s="44">
        <f t="array" ref="D45:D45">IFERROR(INDEX(통합!$C$1:$C$400,SMALL(IF(통합!$E$1:$E$400="5호차",ROW(통합!$E$1:$E$400)),42)),"")</f>
        <v/>
      </c>
      <c r="E45" s="44" t="n"/>
      <c r="F45" s="44" t="n"/>
      <c r="H45" s="43" t="n">
        <v>42</v>
      </c>
      <c r="I45" s="44">
        <f t="array" ref="I45:I45">IFERROR(INDEX(통합!$A$1:$A$400,SMALL(IF(통합!$F$1:$F$400="5호차",ROW(통합!$F$1:$F$400)),42)),"")</f>
        <v/>
      </c>
      <c r="J45" s="44">
        <f t="array" ref="J45:J45">IFERROR(INDEX(통합!$B$1:$B$400,SMALL(IF(통합!$F$1:$F$400="5호차",ROW(통합!$F$1:$F$400)),42)),"")</f>
        <v/>
      </c>
      <c r="K45" s="44">
        <f t="array" ref="K45:K45">IFERROR(INDEX(통합!$C$1:$C$400,SMALL(IF(통합!$F$1:$F$400="5호차",ROW(통합!$F$1:$F$400)),42)),"")</f>
        <v/>
      </c>
      <c r="L45" s="44" t="n"/>
      <c r="M45" s="44" t="n"/>
    </row>
    <row r="46" ht="21.75" customHeight="1" s="33">
      <c r="A46" s="41" t="n">
        <v>43</v>
      </c>
      <c r="B46" s="42">
        <f t="array" ref="B46:B46">IFERROR(INDEX(통합!$A$1:$A$400,SMALL(IF(통합!$E$1:$E$400="5호차",ROW(통합!$E$1:$E$400)),43)),"")</f>
        <v/>
      </c>
      <c r="C46" s="42">
        <f t="array" ref="C46:C46">IFERROR(INDEX(통합!$B$1:$B$400,SMALL(IF(통합!$E$1:$E$400="5호차",ROW(통합!$E$1:$E$400)),43)),"")</f>
        <v/>
      </c>
      <c r="D46" s="42">
        <f t="array" ref="D46:D46">IFERROR(INDEX(통합!$C$1:$C$400,SMALL(IF(통합!$E$1:$E$400="5호차",ROW(통합!$E$1:$E$400)),43)),"")</f>
        <v/>
      </c>
      <c r="E46" s="42" t="n"/>
      <c r="F46" s="42" t="n"/>
      <c r="H46" s="41" t="n">
        <v>43</v>
      </c>
      <c r="I46" s="42">
        <f t="array" ref="I46:I46">IFERROR(INDEX(통합!$A$1:$A$400,SMALL(IF(통합!$F$1:$F$400="5호차",ROW(통합!$F$1:$F$400)),43)),"")</f>
        <v/>
      </c>
      <c r="J46" s="42">
        <f t="array" ref="J46:J46">IFERROR(INDEX(통합!$B$1:$B$400,SMALL(IF(통합!$F$1:$F$400="5호차",ROW(통합!$F$1:$F$400)),43)),"")</f>
        <v/>
      </c>
      <c r="K46" s="42">
        <f t="array" ref="K46:K46">IFERROR(INDEX(통합!$C$1:$C$400,SMALL(IF(통합!$F$1:$F$400="5호차",ROW(통합!$F$1:$F$400)),43)),"")</f>
        <v/>
      </c>
      <c r="L46" s="42" t="n"/>
      <c r="M46" s="42" t="n"/>
    </row>
    <row r="47" ht="15" customHeight="1" s="33">
      <c r="A47" s="45" t="inlineStr">
        <is>
          <t>합  계</t>
        </is>
      </c>
      <c r="B47" s="35" t="n"/>
      <c r="C47" s="35" t="n"/>
      <c r="D47" s="61">
        <f t="array" ref="D47:D47">IF(SUMPRODUCT((D4:D46&lt;&gt;"")*1)=0,"",SUMPRODUCT((D4:D46&lt;&gt;"")*1))</f>
        <v/>
      </c>
      <c r="E47" s="61" t="n"/>
      <c r="F47" s="61" t="n"/>
      <c r="H47" s="45" t="inlineStr">
        <is>
          <t>합  계</t>
        </is>
      </c>
      <c r="I47" s="35" t="n"/>
      <c r="J47" s="35" t="n"/>
      <c r="K47" s="61">
        <f t="array" ref="K47:K47">IF(SUMPRODUCT((K4:K46&lt;&gt;"")*1)=0,"",SUMPRODUCT((K4:K46&lt;&gt;"")*1))</f>
        <v/>
      </c>
      <c r="L47" s="61" t="n"/>
      <c r="M47" s="61" t="n"/>
    </row>
  </sheetData>
  <mergeCells count="6">
    <mergeCell ref="A2:B2"/>
    <mergeCell ref="H1:M1"/>
    <mergeCell ref="H2:I2"/>
    <mergeCell ref="A47:C47"/>
    <mergeCell ref="A1:F1"/>
    <mergeCell ref="H47:J4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M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5.51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5.51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6호차</t>
        </is>
      </c>
      <c r="B1" s="35" t="n"/>
      <c r="C1" s="35" t="n"/>
      <c r="D1" s="35" t="n"/>
      <c r="E1" s="35" t="n"/>
      <c r="F1" s="35" t="n"/>
      <c r="H1" s="47" t="inlineStr">
        <is>
          <t>하행  6호차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H2" s="63" t="inlineStr">
        <is>
          <t>선탑자:</t>
        </is>
      </c>
      <c r="I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>
        <f t="array" ref="B4:B4">IFERROR(INDEX(통합!$A$1:$A$400,SMALL(IF(통합!$E$1:$E$400="6호차",ROW(통합!$E$1:$E$400)),1)),"")</f>
        <v/>
      </c>
      <c r="C4" s="42">
        <f t="array" ref="C4:C4">IFERROR(INDEX(통합!$B$1:$B$400,SMALL(IF(통합!$E$1:$E$400="6호차",ROW(통합!$E$1:$E$400)),1)),"")</f>
        <v/>
      </c>
      <c r="D4" s="42">
        <f t="array" ref="D4:D4">IFERROR(INDEX(통합!$C$1:$C$400,SMALL(IF(통합!$E$1:$E$400="6호차",ROW(통합!$E$1:$E$400)),1)),"")</f>
        <v/>
      </c>
      <c r="E4" s="42" t="n"/>
      <c r="F4" s="42" t="n"/>
      <c r="H4" s="41" t="n">
        <v>1</v>
      </c>
      <c r="I4" s="42">
        <f t="array" ref="I4:I4">IFERROR(INDEX(통합!$A$1:$A$400,SMALL(IF(통합!$F$1:$F$400="6호차",ROW(통합!$F$1:$F$400)),1)),"")</f>
        <v/>
      </c>
      <c r="J4" s="42">
        <f t="array" ref="J4:J4">IFERROR(INDEX(통합!$B$1:$B$400,SMALL(IF(통합!$F$1:$F$400="6호차",ROW(통합!$F$1:$F$400)),1)),"")</f>
        <v/>
      </c>
      <c r="K4" s="42">
        <f t="array" ref="K4:K4">IFERROR(INDEX(통합!$C$1:$C$400,SMALL(IF(통합!$F$1:$F$400="6호차",ROW(통합!$F$1:$F$400)),1)),"")</f>
        <v/>
      </c>
      <c r="L4" s="42" t="n"/>
      <c r="M4" s="42" t="n"/>
    </row>
    <row r="5" ht="21.75" customHeight="1" s="33">
      <c r="A5" s="43" t="n">
        <v>2</v>
      </c>
      <c r="B5" s="44">
        <f t="array" ref="B5:B5">IFERROR(INDEX(통합!$A$1:$A$400,SMALL(IF(통합!$E$1:$E$400="6호차",ROW(통합!$E$1:$E$400)),2)),"")</f>
        <v/>
      </c>
      <c r="C5" s="44">
        <f t="array" ref="C5:C5">IFERROR(INDEX(통합!$B$1:$B$400,SMALL(IF(통합!$E$1:$E$400="6호차",ROW(통합!$E$1:$E$400)),2)),"")</f>
        <v/>
      </c>
      <c r="D5" s="44">
        <f t="array" ref="D5:D5">IFERROR(INDEX(통합!$C$1:$C$400,SMALL(IF(통합!$E$1:$E$400="6호차",ROW(통합!$E$1:$E$400)),2)),"")</f>
        <v/>
      </c>
      <c r="E5" s="44" t="n"/>
      <c r="F5" s="44" t="n"/>
      <c r="H5" s="43" t="n">
        <v>2</v>
      </c>
      <c r="I5" s="44">
        <f t="array" ref="I5:I5">IFERROR(INDEX(통합!$A$1:$A$400,SMALL(IF(통합!$F$1:$F$400="6호차",ROW(통합!$F$1:$F$400)),2)),"")</f>
        <v/>
      </c>
      <c r="J5" s="44">
        <f t="array" ref="J5:J5">IFERROR(INDEX(통합!$B$1:$B$400,SMALL(IF(통합!$F$1:$F$400="6호차",ROW(통합!$F$1:$F$400)),2)),"")</f>
        <v/>
      </c>
      <c r="K5" s="44">
        <f t="array" ref="K5:K5">IFERROR(INDEX(통합!$C$1:$C$400,SMALL(IF(통합!$F$1:$F$400="6호차",ROW(통합!$F$1:$F$400)),2)),"")</f>
        <v/>
      </c>
      <c r="L5" s="44" t="n"/>
      <c r="M5" s="44" t="n"/>
    </row>
    <row r="6" ht="21.75" customHeight="1" s="33">
      <c r="A6" s="41" t="n">
        <v>3</v>
      </c>
      <c r="B6" s="42">
        <f t="array" ref="B6:B6">IFERROR(INDEX(통합!$A$1:$A$400,SMALL(IF(통합!$E$1:$E$400="6호차",ROW(통합!$E$1:$E$400)),3)),"")</f>
        <v/>
      </c>
      <c r="C6" s="42">
        <f t="array" ref="C6:C6">IFERROR(INDEX(통합!$B$1:$B$400,SMALL(IF(통합!$E$1:$E$400="6호차",ROW(통합!$E$1:$E$400)),3)),"")</f>
        <v/>
      </c>
      <c r="D6" s="42">
        <f t="array" ref="D6:D6">IFERROR(INDEX(통합!$C$1:$C$400,SMALL(IF(통합!$E$1:$E$400="6호차",ROW(통합!$E$1:$E$400)),3)),"")</f>
        <v/>
      </c>
      <c r="E6" s="42" t="n"/>
      <c r="F6" s="42" t="n"/>
      <c r="H6" s="41" t="n">
        <v>3</v>
      </c>
      <c r="I6" s="42">
        <f t="array" ref="I6:I6">IFERROR(INDEX(통합!$A$1:$A$400,SMALL(IF(통합!$F$1:$F$400="6호차",ROW(통합!$F$1:$F$400)),3)),"")</f>
        <v/>
      </c>
      <c r="J6" s="42">
        <f t="array" ref="J6:J6">IFERROR(INDEX(통합!$B$1:$B$400,SMALL(IF(통합!$F$1:$F$400="6호차",ROW(통합!$F$1:$F$400)),3)),"")</f>
        <v/>
      </c>
      <c r="K6" s="42">
        <f t="array" ref="K6:K6">IFERROR(INDEX(통합!$C$1:$C$400,SMALL(IF(통합!$F$1:$F$400="6호차",ROW(통합!$F$1:$F$400)),3)),"")</f>
        <v/>
      </c>
      <c r="L6" s="42" t="n"/>
      <c r="M6" s="42" t="n"/>
    </row>
    <row r="7" ht="21.75" customHeight="1" s="33">
      <c r="A7" s="43" t="n">
        <v>4</v>
      </c>
      <c r="B7" s="44">
        <f t="array" ref="B7:B7">IFERROR(INDEX(통합!$A$1:$A$400,SMALL(IF(통합!$E$1:$E$400="6호차",ROW(통합!$E$1:$E$400)),4)),"")</f>
        <v/>
      </c>
      <c r="C7" s="44">
        <f t="array" ref="C7:C7">IFERROR(INDEX(통합!$B$1:$B$400,SMALL(IF(통합!$E$1:$E$400="6호차",ROW(통합!$E$1:$E$400)),4)),"")</f>
        <v/>
      </c>
      <c r="D7" s="44">
        <f t="array" ref="D7:D7">IFERROR(INDEX(통합!$C$1:$C$400,SMALL(IF(통합!$E$1:$E$400="6호차",ROW(통합!$E$1:$E$400)),4)),"")</f>
        <v/>
      </c>
      <c r="E7" s="44" t="n"/>
      <c r="F7" s="44" t="n"/>
      <c r="H7" s="43" t="n">
        <v>4</v>
      </c>
      <c r="I7" s="44">
        <f t="array" ref="I7:I7">IFERROR(INDEX(통합!$A$1:$A$400,SMALL(IF(통합!$F$1:$F$400="6호차",ROW(통합!$F$1:$F$400)),4)),"")</f>
        <v/>
      </c>
      <c r="J7" s="44">
        <f t="array" ref="J7:J7">IFERROR(INDEX(통합!$B$1:$B$400,SMALL(IF(통합!$F$1:$F$400="6호차",ROW(통합!$F$1:$F$400)),4)),"")</f>
        <v/>
      </c>
      <c r="K7" s="44">
        <f t="array" ref="K7:K7">IFERROR(INDEX(통합!$C$1:$C$400,SMALL(IF(통합!$F$1:$F$400="6호차",ROW(통합!$F$1:$F$400)),4)),"")</f>
        <v/>
      </c>
      <c r="L7" s="44" t="n"/>
      <c r="M7" s="44" t="n"/>
    </row>
    <row r="8" ht="21.75" customHeight="1" s="33">
      <c r="A8" s="41" t="n">
        <v>5</v>
      </c>
      <c r="B8" s="42">
        <f t="array" ref="B8:B8">IFERROR(INDEX(통합!$A$1:$A$400,SMALL(IF(통합!$E$1:$E$400="6호차",ROW(통합!$E$1:$E$400)),5)),"")</f>
        <v/>
      </c>
      <c r="C8" s="42">
        <f t="array" ref="C8:C8">IFERROR(INDEX(통합!$B$1:$B$400,SMALL(IF(통합!$E$1:$E$400="6호차",ROW(통합!$E$1:$E$400)),5)),"")</f>
        <v/>
      </c>
      <c r="D8" s="42">
        <f t="array" ref="D8:D8">IFERROR(INDEX(통합!$C$1:$C$400,SMALL(IF(통합!$E$1:$E$400="6호차",ROW(통합!$E$1:$E$400)),5)),"")</f>
        <v/>
      </c>
      <c r="E8" s="42" t="n"/>
      <c r="F8" s="42" t="n"/>
      <c r="H8" s="41" t="n">
        <v>5</v>
      </c>
      <c r="I8" s="42">
        <f t="array" ref="I8:I8">IFERROR(INDEX(통합!$A$1:$A$400,SMALL(IF(통합!$F$1:$F$400="6호차",ROW(통합!$F$1:$F$400)),5)),"")</f>
        <v/>
      </c>
      <c r="J8" s="42">
        <f t="array" ref="J8:J8">IFERROR(INDEX(통합!$B$1:$B$400,SMALL(IF(통합!$F$1:$F$400="6호차",ROW(통합!$F$1:$F$400)),5)),"")</f>
        <v/>
      </c>
      <c r="K8" s="42">
        <f t="array" ref="K8:K8">IFERROR(INDEX(통합!$C$1:$C$400,SMALL(IF(통합!$F$1:$F$400="6호차",ROW(통합!$F$1:$F$400)),5)),"")</f>
        <v/>
      </c>
      <c r="L8" s="42" t="n"/>
      <c r="M8" s="42" t="n"/>
    </row>
    <row r="9" ht="21.75" customHeight="1" s="33">
      <c r="A9" s="43" t="n">
        <v>6</v>
      </c>
      <c r="B9" s="44">
        <f t="array" ref="B9:B9">IFERROR(INDEX(통합!$A$1:$A$400,SMALL(IF(통합!$E$1:$E$400="6호차",ROW(통합!$E$1:$E$400)),6)),"")</f>
        <v/>
      </c>
      <c r="C9" s="44">
        <f t="array" ref="C9:C9">IFERROR(INDEX(통합!$B$1:$B$400,SMALL(IF(통합!$E$1:$E$400="6호차",ROW(통합!$E$1:$E$400)),6)),"")</f>
        <v/>
      </c>
      <c r="D9" s="44">
        <f t="array" ref="D9:D9">IFERROR(INDEX(통합!$C$1:$C$400,SMALL(IF(통합!$E$1:$E$400="6호차",ROW(통합!$E$1:$E$400)),6)),"")</f>
        <v/>
      </c>
      <c r="E9" s="44" t="n"/>
      <c r="F9" s="44" t="n"/>
      <c r="H9" s="43" t="n">
        <v>6</v>
      </c>
      <c r="I9" s="44">
        <f t="array" ref="I9:I9">IFERROR(INDEX(통합!$A$1:$A$400,SMALL(IF(통합!$F$1:$F$400="6호차",ROW(통합!$F$1:$F$400)),6)),"")</f>
        <v/>
      </c>
      <c r="J9" s="44">
        <f t="array" ref="J9:J9">IFERROR(INDEX(통합!$B$1:$B$400,SMALL(IF(통합!$F$1:$F$400="6호차",ROW(통합!$F$1:$F$400)),6)),"")</f>
        <v/>
      </c>
      <c r="K9" s="44">
        <f t="array" ref="K9:K9">IFERROR(INDEX(통합!$C$1:$C$400,SMALL(IF(통합!$F$1:$F$400="6호차",ROW(통합!$F$1:$F$400)),6)),"")</f>
        <v/>
      </c>
      <c r="L9" s="44" t="n"/>
      <c r="M9" s="44" t="n"/>
    </row>
    <row r="10" ht="21.75" customHeight="1" s="33">
      <c r="A10" s="41" t="n">
        <v>7</v>
      </c>
      <c r="B10" s="42">
        <f t="array" ref="B10:B10">IFERROR(INDEX(통합!$A$1:$A$400,SMALL(IF(통합!$E$1:$E$400="6호차",ROW(통합!$E$1:$E$400)),7)),"")</f>
        <v/>
      </c>
      <c r="C10" s="42">
        <f t="array" ref="C10:C10">IFERROR(INDEX(통합!$B$1:$B$400,SMALL(IF(통합!$E$1:$E$400="6호차",ROW(통합!$E$1:$E$400)),7)),"")</f>
        <v/>
      </c>
      <c r="D10" s="42">
        <f t="array" ref="D10:D10">IFERROR(INDEX(통합!$C$1:$C$400,SMALL(IF(통합!$E$1:$E$400="6호차",ROW(통합!$E$1:$E$400)),7)),"")</f>
        <v/>
      </c>
      <c r="E10" s="42" t="n"/>
      <c r="F10" s="42" t="n"/>
      <c r="H10" s="41" t="n">
        <v>7</v>
      </c>
      <c r="I10" s="42">
        <f t="array" ref="I10:I10">IFERROR(INDEX(통합!$A$1:$A$400,SMALL(IF(통합!$F$1:$F$400="6호차",ROW(통합!$F$1:$F$400)),7)),"")</f>
        <v/>
      </c>
      <c r="J10" s="42">
        <f t="array" ref="J10:J10">IFERROR(INDEX(통합!$B$1:$B$400,SMALL(IF(통합!$F$1:$F$400="6호차",ROW(통합!$F$1:$F$400)),7)),"")</f>
        <v/>
      </c>
      <c r="K10" s="42">
        <f t="array" ref="K10:K10">IFERROR(INDEX(통합!$C$1:$C$400,SMALL(IF(통합!$F$1:$F$400="6호차",ROW(통합!$F$1:$F$400)),7)),"")</f>
        <v/>
      </c>
      <c r="L10" s="42" t="n"/>
      <c r="M10" s="42" t="n"/>
    </row>
    <row r="11" ht="21.75" customHeight="1" s="33">
      <c r="A11" s="43" t="n">
        <v>8</v>
      </c>
      <c r="B11" s="44">
        <f t="array" ref="B11:B11">IFERROR(INDEX(통합!$A$1:$A$400,SMALL(IF(통합!$E$1:$E$400="6호차",ROW(통합!$E$1:$E$400)),8)),"")</f>
        <v/>
      </c>
      <c r="C11" s="44">
        <f t="array" ref="C11:C11">IFERROR(INDEX(통합!$B$1:$B$400,SMALL(IF(통합!$E$1:$E$400="6호차",ROW(통합!$E$1:$E$400)),8)),"")</f>
        <v/>
      </c>
      <c r="D11" s="44">
        <f t="array" ref="D11:D11">IFERROR(INDEX(통합!$C$1:$C$400,SMALL(IF(통합!$E$1:$E$400="6호차",ROW(통합!$E$1:$E$400)),8)),"")</f>
        <v/>
      </c>
      <c r="E11" s="44" t="n"/>
      <c r="F11" s="44" t="n"/>
      <c r="H11" s="43" t="n">
        <v>8</v>
      </c>
      <c r="I11" s="44">
        <f t="array" ref="I11:I11">IFERROR(INDEX(통합!$A$1:$A$400,SMALL(IF(통합!$F$1:$F$400="6호차",ROW(통합!$F$1:$F$400)),8)),"")</f>
        <v/>
      </c>
      <c r="J11" s="44">
        <f t="array" ref="J11:J11">IFERROR(INDEX(통합!$B$1:$B$400,SMALL(IF(통합!$F$1:$F$400="6호차",ROW(통합!$F$1:$F$400)),8)),"")</f>
        <v/>
      </c>
      <c r="K11" s="44">
        <f t="array" ref="K11:K11">IFERROR(INDEX(통합!$C$1:$C$400,SMALL(IF(통합!$F$1:$F$400="6호차",ROW(통합!$F$1:$F$400)),8)),"")</f>
        <v/>
      </c>
      <c r="L11" s="44" t="n"/>
      <c r="M11" s="44" t="n"/>
    </row>
    <row r="12" ht="21.75" customHeight="1" s="33">
      <c r="A12" s="41" t="n">
        <v>9</v>
      </c>
      <c r="B12" s="42">
        <f t="array" ref="B12:B12">IFERROR(INDEX(통합!$A$1:$A$400,SMALL(IF(통합!$E$1:$E$400="6호차",ROW(통합!$E$1:$E$400)),9)),"")</f>
        <v/>
      </c>
      <c r="C12" s="42">
        <f t="array" ref="C12:C12">IFERROR(INDEX(통합!$B$1:$B$400,SMALL(IF(통합!$E$1:$E$400="6호차",ROW(통합!$E$1:$E$400)),9)),"")</f>
        <v/>
      </c>
      <c r="D12" s="42">
        <f t="array" ref="D12:D12">IFERROR(INDEX(통합!$C$1:$C$400,SMALL(IF(통합!$E$1:$E$400="6호차",ROW(통합!$E$1:$E$400)),9)),"")</f>
        <v/>
      </c>
      <c r="E12" s="42" t="n"/>
      <c r="F12" s="42" t="n"/>
      <c r="H12" s="41" t="n">
        <v>9</v>
      </c>
      <c r="I12" s="42">
        <f t="array" ref="I12:I12">IFERROR(INDEX(통합!$A$1:$A$400,SMALL(IF(통합!$F$1:$F$400="6호차",ROW(통합!$F$1:$F$400)),9)),"")</f>
        <v/>
      </c>
      <c r="J12" s="42">
        <f t="array" ref="J12:J12">IFERROR(INDEX(통합!$B$1:$B$400,SMALL(IF(통합!$F$1:$F$400="6호차",ROW(통합!$F$1:$F$400)),9)),"")</f>
        <v/>
      </c>
      <c r="K12" s="42">
        <f t="array" ref="K12:K12">IFERROR(INDEX(통합!$C$1:$C$400,SMALL(IF(통합!$F$1:$F$400="6호차",ROW(통합!$F$1:$F$400)),9)),"")</f>
        <v/>
      </c>
      <c r="L12" s="42" t="n"/>
      <c r="M12" s="42" t="n"/>
    </row>
    <row r="13" ht="21.75" customHeight="1" s="33">
      <c r="A13" s="43" t="n">
        <v>10</v>
      </c>
      <c r="B13" s="44">
        <f t="array" ref="B13:B13">IFERROR(INDEX(통합!$A$1:$A$400,SMALL(IF(통합!$E$1:$E$400="6호차",ROW(통합!$E$1:$E$400)),10)),"")</f>
        <v/>
      </c>
      <c r="C13" s="44">
        <f t="array" ref="C13:C13">IFERROR(INDEX(통합!$B$1:$B$400,SMALL(IF(통합!$E$1:$E$400="6호차",ROW(통합!$E$1:$E$400)),10)),"")</f>
        <v/>
      </c>
      <c r="D13" s="44">
        <f t="array" ref="D13:D13">IFERROR(INDEX(통합!$C$1:$C$400,SMALL(IF(통합!$E$1:$E$400="6호차",ROW(통합!$E$1:$E$400)),10)),"")</f>
        <v/>
      </c>
      <c r="E13" s="44" t="n"/>
      <c r="F13" s="44" t="n"/>
      <c r="H13" s="43" t="n">
        <v>10</v>
      </c>
      <c r="I13" s="44">
        <f t="array" ref="I13:I13">IFERROR(INDEX(통합!$A$1:$A$400,SMALL(IF(통합!$F$1:$F$400="6호차",ROW(통합!$F$1:$F$400)),10)),"")</f>
        <v/>
      </c>
      <c r="J13" s="44">
        <f t="array" ref="J13:J13">IFERROR(INDEX(통합!$B$1:$B$400,SMALL(IF(통합!$F$1:$F$400="6호차",ROW(통합!$F$1:$F$400)),10)),"")</f>
        <v/>
      </c>
      <c r="K13" s="44">
        <f t="array" ref="K13:K13">IFERROR(INDEX(통합!$C$1:$C$400,SMALL(IF(통합!$F$1:$F$400="6호차",ROW(통합!$F$1:$F$400)),10)),"")</f>
        <v/>
      </c>
      <c r="L13" s="44" t="n"/>
      <c r="M13" s="44" t="n"/>
    </row>
    <row r="14" ht="21.75" customHeight="1" s="33">
      <c r="A14" s="41" t="n">
        <v>11</v>
      </c>
      <c r="B14" s="42">
        <f t="array" ref="B14:B14">IFERROR(INDEX(통합!$A$1:$A$400,SMALL(IF(통합!$E$1:$E$400="6호차",ROW(통합!$E$1:$E$400)),11)),"")</f>
        <v/>
      </c>
      <c r="C14" s="42">
        <f t="array" ref="C14:C14">IFERROR(INDEX(통합!$B$1:$B$400,SMALL(IF(통합!$E$1:$E$400="6호차",ROW(통합!$E$1:$E$400)),11)),"")</f>
        <v/>
      </c>
      <c r="D14" s="42">
        <f t="array" ref="D14:D14">IFERROR(INDEX(통합!$C$1:$C$400,SMALL(IF(통합!$E$1:$E$400="6호차",ROW(통합!$E$1:$E$400)),11)),"")</f>
        <v/>
      </c>
      <c r="E14" s="42" t="n"/>
      <c r="F14" s="42" t="n"/>
      <c r="H14" s="41" t="n">
        <v>11</v>
      </c>
      <c r="I14" s="42">
        <f t="array" ref="I14:I14">IFERROR(INDEX(통합!$A$1:$A$400,SMALL(IF(통합!$F$1:$F$400="6호차",ROW(통합!$F$1:$F$400)),11)),"")</f>
        <v/>
      </c>
      <c r="J14" s="42">
        <f t="array" ref="J14:J14">IFERROR(INDEX(통합!$B$1:$B$400,SMALL(IF(통합!$F$1:$F$400="6호차",ROW(통합!$F$1:$F$400)),11)),"")</f>
        <v/>
      </c>
      <c r="K14" s="42">
        <f t="array" ref="K14:K14">IFERROR(INDEX(통합!$C$1:$C$400,SMALL(IF(통합!$F$1:$F$400="6호차",ROW(통합!$F$1:$F$400)),11)),"")</f>
        <v/>
      </c>
      <c r="L14" s="42" t="n"/>
      <c r="M14" s="42" t="n"/>
    </row>
    <row r="15" ht="21.75" customHeight="1" s="33">
      <c r="A15" s="43" t="n">
        <v>12</v>
      </c>
      <c r="B15" s="44">
        <f t="array" ref="B15:B15">IFERROR(INDEX(통합!$A$1:$A$400,SMALL(IF(통합!$E$1:$E$400="6호차",ROW(통합!$E$1:$E$400)),12)),"")</f>
        <v/>
      </c>
      <c r="C15" s="44">
        <f t="array" ref="C15:C15">IFERROR(INDEX(통합!$B$1:$B$400,SMALL(IF(통합!$E$1:$E$400="6호차",ROW(통합!$E$1:$E$400)),12)),"")</f>
        <v/>
      </c>
      <c r="D15" s="44">
        <f t="array" ref="D15:D15">IFERROR(INDEX(통합!$C$1:$C$400,SMALL(IF(통합!$E$1:$E$400="6호차",ROW(통합!$E$1:$E$400)),12)),"")</f>
        <v/>
      </c>
      <c r="E15" s="44" t="n"/>
      <c r="F15" s="44" t="n"/>
      <c r="H15" s="43" t="n">
        <v>12</v>
      </c>
      <c r="I15" s="44">
        <f t="array" ref="I15:I15">IFERROR(INDEX(통합!$A$1:$A$400,SMALL(IF(통합!$F$1:$F$400="6호차",ROW(통합!$F$1:$F$400)),12)),"")</f>
        <v/>
      </c>
      <c r="J15" s="44">
        <f t="array" ref="J15:J15">IFERROR(INDEX(통합!$B$1:$B$400,SMALL(IF(통합!$F$1:$F$400="6호차",ROW(통합!$F$1:$F$400)),12)),"")</f>
        <v/>
      </c>
      <c r="K15" s="44">
        <f t="array" ref="K15:K15">IFERROR(INDEX(통합!$C$1:$C$400,SMALL(IF(통합!$F$1:$F$400="6호차",ROW(통합!$F$1:$F$400)),12)),"")</f>
        <v/>
      </c>
      <c r="L15" s="44" t="n"/>
      <c r="M15" s="44" t="n"/>
    </row>
    <row r="16" ht="21.75" customHeight="1" s="33">
      <c r="A16" s="41" t="n">
        <v>13</v>
      </c>
      <c r="B16" s="42">
        <f t="array" ref="B16:B16">IFERROR(INDEX(통합!$A$1:$A$400,SMALL(IF(통합!$E$1:$E$400="6호차",ROW(통합!$E$1:$E$400)),13)),"")</f>
        <v/>
      </c>
      <c r="C16" s="42">
        <f t="array" ref="C16:C16">IFERROR(INDEX(통합!$B$1:$B$400,SMALL(IF(통합!$E$1:$E$400="6호차",ROW(통합!$E$1:$E$400)),13)),"")</f>
        <v/>
      </c>
      <c r="D16" s="42">
        <f t="array" ref="D16:D16">IFERROR(INDEX(통합!$C$1:$C$400,SMALL(IF(통합!$E$1:$E$400="6호차",ROW(통합!$E$1:$E$400)),13)),"")</f>
        <v/>
      </c>
      <c r="E16" s="42" t="n"/>
      <c r="F16" s="42" t="n"/>
      <c r="H16" s="41" t="n">
        <v>13</v>
      </c>
      <c r="I16" s="42">
        <f t="array" ref="I16:I16">IFERROR(INDEX(통합!$A$1:$A$400,SMALL(IF(통합!$F$1:$F$400="6호차",ROW(통합!$F$1:$F$400)),13)),"")</f>
        <v/>
      </c>
      <c r="J16" s="42">
        <f t="array" ref="J16:J16">IFERROR(INDEX(통합!$B$1:$B$400,SMALL(IF(통합!$F$1:$F$400="6호차",ROW(통합!$F$1:$F$400)),13)),"")</f>
        <v/>
      </c>
      <c r="K16" s="42">
        <f t="array" ref="K16:K16">IFERROR(INDEX(통합!$C$1:$C$400,SMALL(IF(통합!$F$1:$F$400="6호차",ROW(통합!$F$1:$F$400)),13)),"")</f>
        <v/>
      </c>
      <c r="L16" s="42" t="n"/>
      <c r="M16" s="42" t="n"/>
    </row>
    <row r="17" ht="21.75" customHeight="1" s="33">
      <c r="A17" s="43" t="n">
        <v>14</v>
      </c>
      <c r="B17" s="44">
        <f t="array" ref="B17:B17">IFERROR(INDEX(통합!$A$1:$A$400,SMALL(IF(통합!$E$1:$E$400="6호차",ROW(통합!$E$1:$E$400)),14)),"")</f>
        <v/>
      </c>
      <c r="C17" s="44">
        <f t="array" ref="C17:C17">IFERROR(INDEX(통합!$B$1:$B$400,SMALL(IF(통합!$E$1:$E$400="6호차",ROW(통합!$E$1:$E$400)),14)),"")</f>
        <v/>
      </c>
      <c r="D17" s="44">
        <f t="array" ref="D17:D17">IFERROR(INDEX(통합!$C$1:$C$400,SMALL(IF(통합!$E$1:$E$400="6호차",ROW(통합!$E$1:$E$400)),14)),"")</f>
        <v/>
      </c>
      <c r="E17" s="44" t="n"/>
      <c r="F17" s="44" t="n"/>
      <c r="H17" s="43" t="n">
        <v>14</v>
      </c>
      <c r="I17" s="44">
        <f t="array" ref="I17:I17">IFERROR(INDEX(통합!$A$1:$A$400,SMALL(IF(통합!$F$1:$F$400="6호차",ROW(통합!$F$1:$F$400)),14)),"")</f>
        <v/>
      </c>
      <c r="J17" s="44">
        <f t="array" ref="J17:J17">IFERROR(INDEX(통합!$B$1:$B$400,SMALL(IF(통합!$F$1:$F$400="6호차",ROW(통합!$F$1:$F$400)),14)),"")</f>
        <v/>
      </c>
      <c r="K17" s="44">
        <f t="array" ref="K17:K17">IFERROR(INDEX(통합!$C$1:$C$400,SMALL(IF(통합!$F$1:$F$400="6호차",ROW(통합!$F$1:$F$400)),14)),"")</f>
        <v/>
      </c>
      <c r="L17" s="44" t="n"/>
      <c r="M17" s="44" t="n"/>
    </row>
    <row r="18" ht="21.75" customHeight="1" s="33">
      <c r="A18" s="41" t="n">
        <v>15</v>
      </c>
      <c r="B18" s="42">
        <f t="array" ref="B18:B18">IFERROR(INDEX(통합!$A$1:$A$400,SMALL(IF(통합!$E$1:$E$400="6호차",ROW(통합!$E$1:$E$400)),15)),"")</f>
        <v/>
      </c>
      <c r="C18" s="42">
        <f t="array" ref="C18:C18">IFERROR(INDEX(통합!$B$1:$B$400,SMALL(IF(통합!$E$1:$E$400="6호차",ROW(통합!$E$1:$E$400)),15)),"")</f>
        <v/>
      </c>
      <c r="D18" s="42">
        <f t="array" ref="D18:D18">IFERROR(INDEX(통합!$C$1:$C$400,SMALL(IF(통합!$E$1:$E$400="6호차",ROW(통합!$E$1:$E$400)),15)),"")</f>
        <v/>
      </c>
      <c r="E18" s="42" t="n"/>
      <c r="F18" s="42" t="n"/>
      <c r="H18" s="41" t="n">
        <v>15</v>
      </c>
      <c r="I18" s="42">
        <f t="array" ref="I18:I18">IFERROR(INDEX(통합!$A$1:$A$400,SMALL(IF(통합!$F$1:$F$400="6호차",ROW(통합!$F$1:$F$400)),15)),"")</f>
        <v/>
      </c>
      <c r="J18" s="42">
        <f t="array" ref="J18:J18">IFERROR(INDEX(통합!$B$1:$B$400,SMALL(IF(통합!$F$1:$F$400="6호차",ROW(통합!$F$1:$F$400)),15)),"")</f>
        <v/>
      </c>
      <c r="K18" s="42">
        <f t="array" ref="K18:K18">IFERROR(INDEX(통합!$C$1:$C$400,SMALL(IF(통합!$F$1:$F$400="6호차",ROW(통합!$F$1:$F$400)),15)),"")</f>
        <v/>
      </c>
      <c r="L18" s="42" t="n"/>
      <c r="M18" s="42" t="n"/>
    </row>
    <row r="19" ht="21.75" customHeight="1" s="33">
      <c r="A19" s="43" t="n">
        <v>16</v>
      </c>
      <c r="B19" s="44">
        <f t="array" ref="B19:B19">IFERROR(INDEX(통합!$A$1:$A$400,SMALL(IF(통합!$E$1:$E$400="6호차",ROW(통합!$E$1:$E$400)),16)),"")</f>
        <v/>
      </c>
      <c r="C19" s="44">
        <f t="array" ref="C19:C19">IFERROR(INDEX(통합!$B$1:$B$400,SMALL(IF(통합!$E$1:$E$400="6호차",ROW(통합!$E$1:$E$400)),16)),"")</f>
        <v/>
      </c>
      <c r="D19" s="44">
        <f t="array" ref="D19:D19">IFERROR(INDEX(통합!$C$1:$C$400,SMALL(IF(통합!$E$1:$E$400="6호차",ROW(통합!$E$1:$E$400)),16)),"")</f>
        <v/>
      </c>
      <c r="E19" s="44" t="n"/>
      <c r="F19" s="44" t="n"/>
      <c r="H19" s="43" t="n">
        <v>16</v>
      </c>
      <c r="I19" s="44">
        <f t="array" ref="I19:I19">IFERROR(INDEX(통합!$A$1:$A$400,SMALL(IF(통합!$F$1:$F$400="6호차",ROW(통합!$F$1:$F$400)),16)),"")</f>
        <v/>
      </c>
      <c r="J19" s="44">
        <f t="array" ref="J19:J19">IFERROR(INDEX(통합!$B$1:$B$400,SMALL(IF(통합!$F$1:$F$400="6호차",ROW(통합!$F$1:$F$400)),16)),"")</f>
        <v/>
      </c>
      <c r="K19" s="44">
        <f t="array" ref="K19:K19">IFERROR(INDEX(통합!$C$1:$C$400,SMALL(IF(통합!$F$1:$F$400="6호차",ROW(통합!$F$1:$F$400)),16)),"")</f>
        <v/>
      </c>
      <c r="L19" s="44" t="n"/>
      <c r="M19" s="44" t="n"/>
    </row>
    <row r="20" ht="21.75" customHeight="1" s="33">
      <c r="A20" s="41" t="n">
        <v>17</v>
      </c>
      <c r="B20" s="42">
        <f t="array" ref="B20:B20">IFERROR(INDEX(통합!$A$1:$A$400,SMALL(IF(통합!$E$1:$E$400="6호차",ROW(통합!$E$1:$E$400)),17)),"")</f>
        <v/>
      </c>
      <c r="C20" s="42">
        <f t="array" ref="C20:C20">IFERROR(INDEX(통합!$B$1:$B$400,SMALL(IF(통합!$E$1:$E$400="6호차",ROW(통합!$E$1:$E$400)),17)),"")</f>
        <v/>
      </c>
      <c r="D20" s="42">
        <f t="array" ref="D20:D20">IFERROR(INDEX(통합!$C$1:$C$400,SMALL(IF(통합!$E$1:$E$400="6호차",ROW(통합!$E$1:$E$400)),17)),"")</f>
        <v/>
      </c>
      <c r="E20" s="42" t="n"/>
      <c r="F20" s="42" t="n"/>
      <c r="H20" s="41" t="n">
        <v>17</v>
      </c>
      <c r="I20" s="42">
        <f t="array" ref="I20:I20">IFERROR(INDEX(통합!$A$1:$A$400,SMALL(IF(통합!$F$1:$F$400="6호차",ROW(통합!$F$1:$F$400)),17)),"")</f>
        <v/>
      </c>
      <c r="J20" s="42">
        <f t="array" ref="J20:J20">IFERROR(INDEX(통합!$B$1:$B$400,SMALL(IF(통합!$F$1:$F$400="6호차",ROW(통합!$F$1:$F$400)),17)),"")</f>
        <v/>
      </c>
      <c r="K20" s="42">
        <f t="array" ref="K20:K20">IFERROR(INDEX(통합!$C$1:$C$400,SMALL(IF(통합!$F$1:$F$400="6호차",ROW(통합!$F$1:$F$400)),17)),"")</f>
        <v/>
      </c>
      <c r="L20" s="42" t="n"/>
      <c r="M20" s="42" t="n"/>
    </row>
    <row r="21" ht="21.75" customHeight="1" s="33">
      <c r="A21" s="43" t="n">
        <v>18</v>
      </c>
      <c r="B21" s="44">
        <f t="array" ref="B21:B21">IFERROR(INDEX(통합!$A$1:$A$400,SMALL(IF(통합!$E$1:$E$400="6호차",ROW(통합!$E$1:$E$400)),18)),"")</f>
        <v/>
      </c>
      <c r="C21" s="44">
        <f t="array" ref="C21:C21">IFERROR(INDEX(통합!$B$1:$B$400,SMALL(IF(통합!$E$1:$E$400="6호차",ROW(통합!$E$1:$E$400)),18)),"")</f>
        <v/>
      </c>
      <c r="D21" s="44">
        <f t="array" ref="D21:D21">IFERROR(INDEX(통합!$C$1:$C$400,SMALL(IF(통합!$E$1:$E$400="6호차",ROW(통합!$E$1:$E$400)),18)),"")</f>
        <v/>
      </c>
      <c r="E21" s="44" t="n"/>
      <c r="F21" s="44" t="n"/>
      <c r="H21" s="43" t="n">
        <v>18</v>
      </c>
      <c r="I21" s="44">
        <f t="array" ref="I21:I21">IFERROR(INDEX(통합!$A$1:$A$400,SMALL(IF(통합!$F$1:$F$400="6호차",ROW(통합!$F$1:$F$400)),18)),"")</f>
        <v/>
      </c>
      <c r="J21" s="44">
        <f t="array" ref="J21:J21">IFERROR(INDEX(통합!$B$1:$B$400,SMALL(IF(통합!$F$1:$F$400="6호차",ROW(통합!$F$1:$F$400)),18)),"")</f>
        <v/>
      </c>
      <c r="K21" s="44">
        <f t="array" ref="K21:K21">IFERROR(INDEX(통합!$C$1:$C$400,SMALL(IF(통합!$F$1:$F$400="6호차",ROW(통합!$F$1:$F$400)),18)),"")</f>
        <v/>
      </c>
      <c r="L21" s="44" t="n"/>
      <c r="M21" s="44" t="n"/>
    </row>
    <row r="22" ht="21.75" customHeight="1" s="33">
      <c r="A22" s="41" t="n">
        <v>19</v>
      </c>
      <c r="B22" s="42">
        <f t="array" ref="B22:B22">IFERROR(INDEX(통합!$A$1:$A$400,SMALL(IF(통합!$E$1:$E$400="6호차",ROW(통합!$E$1:$E$400)),19)),"")</f>
        <v/>
      </c>
      <c r="C22" s="42">
        <f t="array" ref="C22:C22">IFERROR(INDEX(통합!$B$1:$B$400,SMALL(IF(통합!$E$1:$E$400="6호차",ROW(통합!$E$1:$E$400)),19)),"")</f>
        <v/>
      </c>
      <c r="D22" s="42">
        <f t="array" ref="D22:D22">IFERROR(INDEX(통합!$C$1:$C$400,SMALL(IF(통합!$E$1:$E$400="6호차",ROW(통합!$E$1:$E$400)),19)),"")</f>
        <v/>
      </c>
      <c r="E22" s="42" t="n"/>
      <c r="F22" s="42" t="n"/>
      <c r="H22" s="41" t="n">
        <v>19</v>
      </c>
      <c r="I22" s="42">
        <f t="array" ref="I22:I22">IFERROR(INDEX(통합!$A$1:$A$400,SMALL(IF(통합!$F$1:$F$400="6호차",ROW(통합!$F$1:$F$400)),19)),"")</f>
        <v/>
      </c>
      <c r="J22" s="42">
        <f t="array" ref="J22:J22">IFERROR(INDEX(통합!$B$1:$B$400,SMALL(IF(통합!$F$1:$F$400="6호차",ROW(통합!$F$1:$F$400)),19)),"")</f>
        <v/>
      </c>
      <c r="K22" s="42">
        <f t="array" ref="K22:K22">IFERROR(INDEX(통합!$C$1:$C$400,SMALL(IF(통합!$F$1:$F$400="6호차",ROW(통합!$F$1:$F$400)),19)),"")</f>
        <v/>
      </c>
      <c r="L22" s="42" t="n"/>
      <c r="M22" s="42" t="n"/>
    </row>
    <row r="23" ht="21.75" customHeight="1" s="33">
      <c r="A23" s="43" t="n">
        <v>20</v>
      </c>
      <c r="B23" s="44">
        <f t="array" ref="B23:B23">IFERROR(INDEX(통합!$A$1:$A$400,SMALL(IF(통합!$E$1:$E$400="6호차",ROW(통합!$E$1:$E$400)),20)),"")</f>
        <v/>
      </c>
      <c r="C23" s="44">
        <f t="array" ref="C23:C23">IFERROR(INDEX(통합!$B$1:$B$400,SMALL(IF(통합!$E$1:$E$400="6호차",ROW(통합!$E$1:$E$400)),20)),"")</f>
        <v/>
      </c>
      <c r="D23" s="44">
        <f t="array" ref="D23:D23">IFERROR(INDEX(통합!$C$1:$C$400,SMALL(IF(통합!$E$1:$E$400="6호차",ROW(통합!$E$1:$E$400)),20)),"")</f>
        <v/>
      </c>
      <c r="E23" s="44" t="n"/>
      <c r="F23" s="44" t="n"/>
      <c r="H23" s="43" t="n">
        <v>20</v>
      </c>
      <c r="I23" s="44">
        <f t="array" ref="I23:I23">IFERROR(INDEX(통합!$A$1:$A$400,SMALL(IF(통합!$F$1:$F$400="6호차",ROW(통합!$F$1:$F$400)),20)),"")</f>
        <v/>
      </c>
      <c r="J23" s="44">
        <f t="array" ref="J23:J23">IFERROR(INDEX(통합!$B$1:$B$400,SMALL(IF(통합!$F$1:$F$400="6호차",ROW(통합!$F$1:$F$400)),20)),"")</f>
        <v/>
      </c>
      <c r="K23" s="44">
        <f t="array" ref="K23:K23">IFERROR(INDEX(통합!$C$1:$C$400,SMALL(IF(통합!$F$1:$F$400="6호차",ROW(통합!$F$1:$F$400)),20)),"")</f>
        <v/>
      </c>
      <c r="L23" s="44" t="n"/>
      <c r="M23" s="44" t="n"/>
    </row>
    <row r="24" ht="21.75" customHeight="1" s="33">
      <c r="A24" s="41" t="n">
        <v>21</v>
      </c>
      <c r="B24" s="42">
        <f t="array" ref="B24:B24">IFERROR(INDEX(통합!$A$1:$A$400,SMALL(IF(통합!$E$1:$E$400="6호차",ROW(통합!$E$1:$E$400)),21)),"")</f>
        <v/>
      </c>
      <c r="C24" s="42">
        <f t="array" ref="C24:C24">IFERROR(INDEX(통합!$B$1:$B$400,SMALL(IF(통합!$E$1:$E$400="6호차",ROW(통합!$E$1:$E$400)),21)),"")</f>
        <v/>
      </c>
      <c r="D24" s="42">
        <f t="array" ref="D24:D24">IFERROR(INDEX(통합!$C$1:$C$400,SMALL(IF(통합!$E$1:$E$400="6호차",ROW(통합!$E$1:$E$400)),21)),"")</f>
        <v/>
      </c>
      <c r="E24" s="42" t="n"/>
      <c r="F24" s="42" t="n"/>
      <c r="H24" s="41" t="n">
        <v>21</v>
      </c>
      <c r="I24" s="42">
        <f t="array" ref="I24:I24">IFERROR(INDEX(통합!$A$1:$A$400,SMALL(IF(통합!$F$1:$F$400="6호차",ROW(통합!$F$1:$F$400)),21)),"")</f>
        <v/>
      </c>
      <c r="J24" s="42">
        <f t="array" ref="J24:J24">IFERROR(INDEX(통합!$B$1:$B$400,SMALL(IF(통합!$F$1:$F$400="6호차",ROW(통합!$F$1:$F$400)),21)),"")</f>
        <v/>
      </c>
      <c r="K24" s="42">
        <f t="array" ref="K24:K24">IFERROR(INDEX(통합!$C$1:$C$400,SMALL(IF(통합!$F$1:$F$400="6호차",ROW(통합!$F$1:$F$400)),21)),"")</f>
        <v/>
      </c>
      <c r="L24" s="42" t="n"/>
      <c r="M24" s="42" t="n"/>
    </row>
    <row r="25" ht="21.75" customHeight="1" s="33">
      <c r="A25" s="43" t="n">
        <v>22</v>
      </c>
      <c r="B25" s="44">
        <f t="array" ref="B25:B25">IFERROR(INDEX(통합!$A$1:$A$400,SMALL(IF(통합!$E$1:$E$400="6호차",ROW(통합!$E$1:$E$400)),22)),"")</f>
        <v/>
      </c>
      <c r="C25" s="44">
        <f t="array" ref="C25:C25">IFERROR(INDEX(통합!$B$1:$B$400,SMALL(IF(통합!$E$1:$E$400="6호차",ROW(통합!$E$1:$E$400)),22)),"")</f>
        <v/>
      </c>
      <c r="D25" s="44">
        <f t="array" ref="D25:D25">IFERROR(INDEX(통합!$C$1:$C$400,SMALL(IF(통합!$E$1:$E$400="6호차",ROW(통합!$E$1:$E$400)),22)),"")</f>
        <v/>
      </c>
      <c r="E25" s="44" t="n"/>
      <c r="F25" s="44" t="n"/>
      <c r="H25" s="43" t="n">
        <v>22</v>
      </c>
      <c r="I25" s="44">
        <f t="array" ref="I25:I25">IFERROR(INDEX(통합!$A$1:$A$400,SMALL(IF(통합!$F$1:$F$400="6호차",ROW(통합!$F$1:$F$400)),22)),"")</f>
        <v/>
      </c>
      <c r="J25" s="44">
        <f t="array" ref="J25:J25">IFERROR(INDEX(통합!$B$1:$B$400,SMALL(IF(통합!$F$1:$F$400="6호차",ROW(통합!$F$1:$F$400)),22)),"")</f>
        <v/>
      </c>
      <c r="K25" s="44">
        <f t="array" ref="K25:K25">IFERROR(INDEX(통합!$C$1:$C$400,SMALL(IF(통합!$F$1:$F$400="6호차",ROW(통합!$F$1:$F$400)),22)),"")</f>
        <v/>
      </c>
      <c r="L25" s="44" t="n"/>
      <c r="M25" s="44" t="n"/>
    </row>
    <row r="26" ht="21.75" customHeight="1" s="33">
      <c r="A26" s="41" t="n">
        <v>23</v>
      </c>
      <c r="B26" s="42">
        <f t="array" ref="B26:B26">IFERROR(INDEX(통합!$A$1:$A$400,SMALL(IF(통합!$E$1:$E$400="6호차",ROW(통합!$E$1:$E$400)),23)),"")</f>
        <v/>
      </c>
      <c r="C26" s="42">
        <f t="array" ref="C26:C26">IFERROR(INDEX(통합!$B$1:$B$400,SMALL(IF(통합!$E$1:$E$400="6호차",ROW(통합!$E$1:$E$400)),23)),"")</f>
        <v/>
      </c>
      <c r="D26" s="42">
        <f t="array" ref="D26:D26">IFERROR(INDEX(통합!$C$1:$C$400,SMALL(IF(통합!$E$1:$E$400="6호차",ROW(통합!$E$1:$E$400)),23)),"")</f>
        <v/>
      </c>
      <c r="E26" s="42" t="n"/>
      <c r="F26" s="42" t="n"/>
      <c r="H26" s="41" t="n">
        <v>23</v>
      </c>
      <c r="I26" s="42">
        <f t="array" ref="I26:I26">IFERROR(INDEX(통합!$A$1:$A$400,SMALL(IF(통합!$F$1:$F$400="6호차",ROW(통합!$F$1:$F$400)),23)),"")</f>
        <v/>
      </c>
      <c r="J26" s="42">
        <f t="array" ref="J26:J26">IFERROR(INDEX(통합!$B$1:$B$400,SMALL(IF(통합!$F$1:$F$400="6호차",ROW(통합!$F$1:$F$400)),23)),"")</f>
        <v/>
      </c>
      <c r="K26" s="42">
        <f t="array" ref="K26:K26">IFERROR(INDEX(통합!$C$1:$C$400,SMALL(IF(통합!$F$1:$F$400="6호차",ROW(통합!$F$1:$F$400)),23)),"")</f>
        <v/>
      </c>
      <c r="L26" s="42" t="n"/>
      <c r="M26" s="42" t="n"/>
    </row>
    <row r="27" ht="21.75" customHeight="1" s="33">
      <c r="A27" s="43" t="n">
        <v>24</v>
      </c>
      <c r="B27" s="44">
        <f t="array" ref="B27:B27">IFERROR(INDEX(통합!$A$1:$A$400,SMALL(IF(통합!$E$1:$E$400="6호차",ROW(통합!$E$1:$E$400)),24)),"")</f>
        <v/>
      </c>
      <c r="C27" s="44">
        <f t="array" ref="C27:C27">IFERROR(INDEX(통합!$B$1:$B$400,SMALL(IF(통합!$E$1:$E$400="6호차",ROW(통합!$E$1:$E$400)),24)),"")</f>
        <v/>
      </c>
      <c r="D27" s="44">
        <f t="array" ref="D27:D27">IFERROR(INDEX(통합!$C$1:$C$400,SMALL(IF(통합!$E$1:$E$400="6호차",ROW(통합!$E$1:$E$400)),24)),"")</f>
        <v/>
      </c>
      <c r="E27" s="44" t="n"/>
      <c r="F27" s="44" t="n"/>
      <c r="H27" s="43" t="n">
        <v>24</v>
      </c>
      <c r="I27" s="44">
        <f t="array" ref="I27:I27">IFERROR(INDEX(통합!$A$1:$A$400,SMALL(IF(통합!$F$1:$F$400="6호차",ROW(통합!$F$1:$F$400)),24)),"")</f>
        <v/>
      </c>
      <c r="J27" s="44">
        <f t="array" ref="J27:J27">IFERROR(INDEX(통합!$B$1:$B$400,SMALL(IF(통합!$F$1:$F$400="6호차",ROW(통합!$F$1:$F$400)),24)),"")</f>
        <v/>
      </c>
      <c r="K27" s="44">
        <f t="array" ref="K27:K27">IFERROR(INDEX(통합!$C$1:$C$400,SMALL(IF(통합!$F$1:$F$400="6호차",ROW(통합!$F$1:$F$400)),24)),"")</f>
        <v/>
      </c>
      <c r="L27" s="44" t="n"/>
      <c r="M27" s="44" t="n"/>
    </row>
    <row r="28" ht="21.75" customHeight="1" s="33">
      <c r="A28" s="41" t="n">
        <v>25</v>
      </c>
      <c r="B28" s="42">
        <f t="array" ref="B28:B28">IFERROR(INDEX(통합!$A$1:$A$400,SMALL(IF(통합!$E$1:$E$400="6호차",ROW(통합!$E$1:$E$400)),25)),"")</f>
        <v/>
      </c>
      <c r="C28" s="42">
        <f t="array" ref="C28:C28">IFERROR(INDEX(통합!$B$1:$B$400,SMALL(IF(통합!$E$1:$E$400="6호차",ROW(통합!$E$1:$E$400)),25)),"")</f>
        <v/>
      </c>
      <c r="D28" s="42">
        <f t="array" ref="D28:D28">IFERROR(INDEX(통합!$C$1:$C$400,SMALL(IF(통합!$E$1:$E$400="6호차",ROW(통합!$E$1:$E$400)),25)),"")</f>
        <v/>
      </c>
      <c r="E28" s="42" t="n"/>
      <c r="F28" s="42" t="n"/>
      <c r="H28" s="41" t="n">
        <v>25</v>
      </c>
      <c r="I28" s="42">
        <f t="array" ref="I28:I28">IFERROR(INDEX(통합!$A$1:$A$400,SMALL(IF(통합!$F$1:$F$400="6호차",ROW(통합!$F$1:$F$400)),25)),"")</f>
        <v/>
      </c>
      <c r="J28" s="42">
        <f t="array" ref="J28:J28">IFERROR(INDEX(통합!$B$1:$B$400,SMALL(IF(통합!$F$1:$F$400="6호차",ROW(통합!$F$1:$F$400)),25)),"")</f>
        <v/>
      </c>
      <c r="K28" s="42">
        <f t="array" ref="K28:K28">IFERROR(INDEX(통합!$C$1:$C$400,SMALL(IF(통합!$F$1:$F$400="6호차",ROW(통합!$F$1:$F$400)),25)),"")</f>
        <v/>
      </c>
      <c r="L28" s="42" t="n"/>
      <c r="M28" s="42" t="n"/>
    </row>
    <row r="29" ht="21.75" customHeight="1" s="33">
      <c r="A29" s="43" t="n">
        <v>26</v>
      </c>
      <c r="B29" s="44">
        <f t="array" ref="B29:B29">IFERROR(INDEX(통합!$A$1:$A$400,SMALL(IF(통합!$E$1:$E$400="6호차",ROW(통합!$E$1:$E$400)),26)),"")</f>
        <v/>
      </c>
      <c r="C29" s="44">
        <f t="array" ref="C29:C29">IFERROR(INDEX(통합!$B$1:$B$400,SMALL(IF(통합!$E$1:$E$400="6호차",ROW(통합!$E$1:$E$400)),26)),"")</f>
        <v/>
      </c>
      <c r="D29" s="44">
        <f t="array" ref="D29:D29">IFERROR(INDEX(통합!$C$1:$C$400,SMALL(IF(통합!$E$1:$E$400="6호차",ROW(통합!$E$1:$E$400)),26)),"")</f>
        <v/>
      </c>
      <c r="E29" s="44" t="n"/>
      <c r="F29" s="44" t="n"/>
      <c r="H29" s="43" t="n">
        <v>26</v>
      </c>
      <c r="I29" s="44">
        <f t="array" ref="I29:I29">IFERROR(INDEX(통합!$A$1:$A$400,SMALL(IF(통합!$F$1:$F$400="6호차",ROW(통합!$F$1:$F$400)),26)),"")</f>
        <v/>
      </c>
      <c r="J29" s="44">
        <f t="array" ref="J29:J29">IFERROR(INDEX(통합!$B$1:$B$400,SMALL(IF(통합!$F$1:$F$400="6호차",ROW(통합!$F$1:$F$400)),26)),"")</f>
        <v/>
      </c>
      <c r="K29" s="44">
        <f t="array" ref="K29:K29">IFERROR(INDEX(통합!$C$1:$C$400,SMALL(IF(통합!$F$1:$F$400="6호차",ROW(통합!$F$1:$F$400)),26)),"")</f>
        <v/>
      </c>
      <c r="L29" s="44" t="n"/>
      <c r="M29" s="44" t="n"/>
    </row>
    <row r="30" ht="21.75" customHeight="1" s="33">
      <c r="A30" s="41" t="n">
        <v>27</v>
      </c>
      <c r="B30" s="42">
        <f t="array" ref="B30:B30">IFERROR(INDEX(통합!$A$1:$A$400,SMALL(IF(통합!$E$1:$E$400="6호차",ROW(통합!$E$1:$E$400)),27)),"")</f>
        <v/>
      </c>
      <c r="C30" s="42">
        <f t="array" ref="C30:C30">IFERROR(INDEX(통합!$B$1:$B$400,SMALL(IF(통합!$E$1:$E$400="6호차",ROW(통합!$E$1:$E$400)),27)),"")</f>
        <v/>
      </c>
      <c r="D30" s="42">
        <f t="array" ref="D30:D30">IFERROR(INDEX(통합!$C$1:$C$400,SMALL(IF(통합!$E$1:$E$400="6호차",ROW(통합!$E$1:$E$400)),27)),"")</f>
        <v/>
      </c>
      <c r="E30" s="42" t="n"/>
      <c r="F30" s="42" t="n"/>
      <c r="H30" s="41" t="n">
        <v>27</v>
      </c>
      <c r="I30" s="42">
        <f t="array" ref="I30:I30">IFERROR(INDEX(통합!$A$1:$A$400,SMALL(IF(통합!$F$1:$F$400="6호차",ROW(통합!$F$1:$F$400)),27)),"")</f>
        <v/>
      </c>
      <c r="J30" s="42">
        <f t="array" ref="J30:J30">IFERROR(INDEX(통합!$B$1:$B$400,SMALL(IF(통합!$F$1:$F$400="6호차",ROW(통합!$F$1:$F$400)),27)),"")</f>
        <v/>
      </c>
      <c r="K30" s="42">
        <f t="array" ref="K30:K30">IFERROR(INDEX(통합!$C$1:$C$400,SMALL(IF(통합!$F$1:$F$400="6호차",ROW(통합!$F$1:$F$400)),27)),"")</f>
        <v/>
      </c>
      <c r="L30" s="42" t="n"/>
      <c r="M30" s="42" t="n"/>
    </row>
    <row r="31" ht="21.75" customHeight="1" s="33">
      <c r="A31" s="43" t="n">
        <v>28</v>
      </c>
      <c r="B31" s="44">
        <f t="array" ref="B31:B31">IFERROR(INDEX(통합!$A$1:$A$400,SMALL(IF(통합!$E$1:$E$400="6호차",ROW(통합!$E$1:$E$400)),28)),"")</f>
        <v/>
      </c>
      <c r="C31" s="44">
        <f t="array" ref="C31:C31">IFERROR(INDEX(통합!$B$1:$B$400,SMALL(IF(통합!$E$1:$E$400="6호차",ROW(통합!$E$1:$E$400)),28)),"")</f>
        <v/>
      </c>
      <c r="D31" s="44">
        <f t="array" ref="D31:D31">IFERROR(INDEX(통합!$C$1:$C$400,SMALL(IF(통합!$E$1:$E$400="6호차",ROW(통합!$E$1:$E$400)),28)),"")</f>
        <v/>
      </c>
      <c r="E31" s="44" t="n"/>
      <c r="F31" s="44" t="n"/>
      <c r="H31" s="43" t="n">
        <v>28</v>
      </c>
      <c r="I31" s="44">
        <f t="array" ref="I31:I31">IFERROR(INDEX(통합!$A$1:$A$400,SMALL(IF(통합!$F$1:$F$400="6호차",ROW(통합!$F$1:$F$400)),28)),"")</f>
        <v/>
      </c>
      <c r="J31" s="44">
        <f t="array" ref="J31:J31">IFERROR(INDEX(통합!$B$1:$B$400,SMALL(IF(통합!$F$1:$F$400="6호차",ROW(통합!$F$1:$F$400)),28)),"")</f>
        <v/>
      </c>
      <c r="K31" s="44">
        <f t="array" ref="K31:K31">IFERROR(INDEX(통합!$C$1:$C$400,SMALL(IF(통합!$F$1:$F$400="6호차",ROW(통합!$F$1:$F$400)),28)),"")</f>
        <v/>
      </c>
      <c r="L31" s="44" t="n"/>
      <c r="M31" s="44" t="n"/>
    </row>
    <row r="32" ht="21.75" customHeight="1" s="33">
      <c r="A32" s="41" t="n">
        <v>29</v>
      </c>
      <c r="B32" s="42">
        <f t="array" ref="B32:B32">IFERROR(INDEX(통합!$A$1:$A$400,SMALL(IF(통합!$E$1:$E$400="6호차",ROW(통합!$E$1:$E$400)),29)),"")</f>
        <v/>
      </c>
      <c r="C32" s="42">
        <f t="array" ref="C32:C32">IFERROR(INDEX(통합!$B$1:$B$400,SMALL(IF(통합!$E$1:$E$400="6호차",ROW(통합!$E$1:$E$400)),29)),"")</f>
        <v/>
      </c>
      <c r="D32" s="42">
        <f t="array" ref="D32:D32">IFERROR(INDEX(통합!$C$1:$C$400,SMALL(IF(통합!$E$1:$E$400="6호차",ROW(통합!$E$1:$E$400)),29)),"")</f>
        <v/>
      </c>
      <c r="E32" s="42" t="n"/>
      <c r="F32" s="42" t="n"/>
      <c r="H32" s="41" t="n">
        <v>29</v>
      </c>
      <c r="I32" s="42">
        <f t="array" ref="I32:I32">IFERROR(INDEX(통합!$A$1:$A$400,SMALL(IF(통합!$F$1:$F$400="6호차",ROW(통합!$F$1:$F$400)),29)),"")</f>
        <v/>
      </c>
      <c r="J32" s="42">
        <f t="array" ref="J32:J32">IFERROR(INDEX(통합!$B$1:$B$400,SMALL(IF(통합!$F$1:$F$400="6호차",ROW(통합!$F$1:$F$400)),29)),"")</f>
        <v/>
      </c>
      <c r="K32" s="42">
        <f t="array" ref="K32:K32">IFERROR(INDEX(통합!$C$1:$C$400,SMALL(IF(통합!$F$1:$F$400="6호차",ROW(통합!$F$1:$F$400)),29)),"")</f>
        <v/>
      </c>
      <c r="L32" s="42" t="n"/>
      <c r="M32" s="42" t="n"/>
    </row>
    <row r="33" ht="21.75" customHeight="1" s="33">
      <c r="A33" s="43" t="n">
        <v>30</v>
      </c>
      <c r="B33" s="44">
        <f t="array" ref="B33:B33">IFERROR(INDEX(통합!$A$1:$A$400,SMALL(IF(통합!$E$1:$E$400="6호차",ROW(통합!$E$1:$E$400)),30)),"")</f>
        <v/>
      </c>
      <c r="C33" s="44">
        <f t="array" ref="C33:C33">IFERROR(INDEX(통합!$B$1:$B$400,SMALL(IF(통합!$E$1:$E$400="6호차",ROW(통합!$E$1:$E$400)),30)),"")</f>
        <v/>
      </c>
      <c r="D33" s="44">
        <f t="array" ref="D33:D33">IFERROR(INDEX(통합!$C$1:$C$400,SMALL(IF(통합!$E$1:$E$400="6호차",ROW(통합!$E$1:$E$400)),30)),"")</f>
        <v/>
      </c>
      <c r="E33" s="44" t="n"/>
      <c r="F33" s="44" t="n"/>
      <c r="H33" s="43" t="n">
        <v>30</v>
      </c>
      <c r="I33" s="44">
        <f t="array" ref="I33:I33">IFERROR(INDEX(통합!$A$1:$A$400,SMALL(IF(통합!$F$1:$F$400="6호차",ROW(통합!$F$1:$F$400)),30)),"")</f>
        <v/>
      </c>
      <c r="J33" s="44">
        <f t="array" ref="J33:J33">IFERROR(INDEX(통합!$B$1:$B$400,SMALL(IF(통합!$F$1:$F$400="6호차",ROW(통합!$F$1:$F$400)),30)),"")</f>
        <v/>
      </c>
      <c r="K33" s="44">
        <f t="array" ref="K33:K33">IFERROR(INDEX(통합!$C$1:$C$400,SMALL(IF(통합!$F$1:$F$400="6호차",ROW(통합!$F$1:$F$400)),30)),"")</f>
        <v/>
      </c>
      <c r="L33" s="44" t="n"/>
      <c r="M33" s="44" t="n"/>
    </row>
    <row r="34" ht="21.75" customHeight="1" s="33">
      <c r="A34" s="41" t="n">
        <v>31</v>
      </c>
      <c r="B34" s="42">
        <f t="array" ref="B34:B34">IFERROR(INDEX(통합!$A$1:$A$400,SMALL(IF(통합!$E$1:$E$400="6호차",ROW(통합!$E$1:$E$400)),31)),"")</f>
        <v/>
      </c>
      <c r="C34" s="42">
        <f t="array" ref="C34:C34">IFERROR(INDEX(통합!$B$1:$B$400,SMALL(IF(통합!$E$1:$E$400="6호차",ROW(통합!$E$1:$E$400)),31)),"")</f>
        <v/>
      </c>
      <c r="D34" s="42">
        <f t="array" ref="D34:D34">IFERROR(INDEX(통합!$C$1:$C$400,SMALL(IF(통합!$E$1:$E$400="6호차",ROW(통합!$E$1:$E$400)),31)),"")</f>
        <v/>
      </c>
      <c r="E34" s="42" t="n"/>
      <c r="F34" s="42" t="n"/>
      <c r="H34" s="41" t="n">
        <v>31</v>
      </c>
      <c r="I34" s="42">
        <f t="array" ref="I34:I34">IFERROR(INDEX(통합!$A$1:$A$400,SMALL(IF(통합!$F$1:$F$400="6호차",ROW(통합!$F$1:$F$400)),31)),"")</f>
        <v/>
      </c>
      <c r="J34" s="42">
        <f t="array" ref="J34:J34">IFERROR(INDEX(통합!$B$1:$B$400,SMALL(IF(통합!$F$1:$F$400="6호차",ROW(통합!$F$1:$F$400)),31)),"")</f>
        <v/>
      </c>
      <c r="K34" s="42">
        <f t="array" ref="K34:K34">IFERROR(INDEX(통합!$C$1:$C$400,SMALL(IF(통합!$F$1:$F$400="6호차",ROW(통합!$F$1:$F$400)),31)),"")</f>
        <v/>
      </c>
      <c r="L34" s="42" t="n"/>
      <c r="M34" s="42" t="n"/>
    </row>
    <row r="35" ht="21.75" customHeight="1" s="33">
      <c r="A35" s="43" t="n">
        <v>32</v>
      </c>
      <c r="B35" s="44">
        <f t="array" ref="B35:B35">IFERROR(INDEX(통합!$A$1:$A$400,SMALL(IF(통합!$E$1:$E$400="6호차",ROW(통합!$E$1:$E$400)),32)),"")</f>
        <v/>
      </c>
      <c r="C35" s="44">
        <f t="array" ref="C35:C35">IFERROR(INDEX(통합!$B$1:$B$400,SMALL(IF(통합!$E$1:$E$400="6호차",ROW(통합!$E$1:$E$400)),32)),"")</f>
        <v/>
      </c>
      <c r="D35" s="44">
        <f t="array" ref="D35:D35">IFERROR(INDEX(통합!$C$1:$C$400,SMALL(IF(통합!$E$1:$E$400="6호차",ROW(통합!$E$1:$E$400)),32)),"")</f>
        <v/>
      </c>
      <c r="E35" s="44" t="n"/>
      <c r="F35" s="44" t="n"/>
      <c r="H35" s="43" t="n">
        <v>32</v>
      </c>
      <c r="I35" s="44">
        <f t="array" ref="I35:I35">IFERROR(INDEX(통합!$A$1:$A$400,SMALL(IF(통합!$F$1:$F$400="6호차",ROW(통합!$F$1:$F$400)),32)),"")</f>
        <v/>
      </c>
      <c r="J35" s="44">
        <f t="array" ref="J35:J35">IFERROR(INDEX(통합!$B$1:$B$400,SMALL(IF(통합!$F$1:$F$400="6호차",ROW(통합!$F$1:$F$400)),32)),"")</f>
        <v/>
      </c>
      <c r="K35" s="44">
        <f t="array" ref="K35:K35">IFERROR(INDEX(통합!$C$1:$C$400,SMALL(IF(통합!$F$1:$F$400="6호차",ROW(통합!$F$1:$F$400)),32)),"")</f>
        <v/>
      </c>
      <c r="L35" s="44" t="n"/>
      <c r="M35" s="44" t="n"/>
    </row>
    <row r="36" ht="21.75" customHeight="1" s="33">
      <c r="A36" s="41" t="n">
        <v>33</v>
      </c>
      <c r="B36" s="42">
        <f t="array" ref="B36:B36">IFERROR(INDEX(통합!$A$1:$A$400,SMALL(IF(통합!$E$1:$E$400="6호차",ROW(통합!$E$1:$E$400)),33)),"")</f>
        <v/>
      </c>
      <c r="C36" s="42">
        <f t="array" ref="C36:C36">IFERROR(INDEX(통합!$B$1:$B$400,SMALL(IF(통합!$E$1:$E$400="6호차",ROW(통합!$E$1:$E$400)),33)),"")</f>
        <v/>
      </c>
      <c r="D36" s="42">
        <f t="array" ref="D36:D36">IFERROR(INDEX(통합!$C$1:$C$400,SMALL(IF(통합!$E$1:$E$400="6호차",ROW(통합!$E$1:$E$400)),33)),"")</f>
        <v/>
      </c>
      <c r="E36" s="42" t="n"/>
      <c r="F36" s="42" t="n"/>
      <c r="H36" s="41" t="n">
        <v>33</v>
      </c>
      <c r="I36" s="42">
        <f t="array" ref="I36:I36">IFERROR(INDEX(통합!$A$1:$A$400,SMALL(IF(통합!$F$1:$F$400="6호차",ROW(통합!$F$1:$F$400)),33)),"")</f>
        <v/>
      </c>
      <c r="J36" s="42">
        <f t="array" ref="J36:J36">IFERROR(INDEX(통합!$B$1:$B$400,SMALL(IF(통합!$F$1:$F$400="6호차",ROW(통합!$F$1:$F$400)),33)),"")</f>
        <v/>
      </c>
      <c r="K36" s="42">
        <f t="array" ref="K36:K36">IFERROR(INDEX(통합!$C$1:$C$400,SMALL(IF(통합!$F$1:$F$400="6호차",ROW(통합!$F$1:$F$400)),33)),"")</f>
        <v/>
      </c>
      <c r="L36" s="42" t="n"/>
      <c r="M36" s="42" t="n"/>
    </row>
    <row r="37" ht="21.75" customHeight="1" s="33">
      <c r="A37" s="43" t="n">
        <v>34</v>
      </c>
      <c r="B37" s="44">
        <f t="array" ref="B37:B37">IFERROR(INDEX(통합!$A$1:$A$400,SMALL(IF(통합!$E$1:$E$400="6호차",ROW(통합!$E$1:$E$400)),34)),"")</f>
        <v/>
      </c>
      <c r="C37" s="44">
        <f t="array" ref="C37:C37">IFERROR(INDEX(통합!$B$1:$B$400,SMALL(IF(통합!$E$1:$E$400="6호차",ROW(통합!$E$1:$E$400)),34)),"")</f>
        <v/>
      </c>
      <c r="D37" s="44">
        <f t="array" ref="D37:D37">IFERROR(INDEX(통합!$C$1:$C$400,SMALL(IF(통합!$E$1:$E$400="6호차",ROW(통합!$E$1:$E$400)),34)),"")</f>
        <v/>
      </c>
      <c r="E37" s="44" t="n"/>
      <c r="F37" s="44" t="n"/>
      <c r="H37" s="43" t="n">
        <v>34</v>
      </c>
      <c r="I37" s="44">
        <f t="array" ref="I37:I37">IFERROR(INDEX(통합!$A$1:$A$400,SMALL(IF(통합!$F$1:$F$400="6호차",ROW(통합!$F$1:$F$400)),34)),"")</f>
        <v/>
      </c>
      <c r="J37" s="44">
        <f t="array" ref="J37:J37">IFERROR(INDEX(통합!$B$1:$B$400,SMALL(IF(통합!$F$1:$F$400="6호차",ROW(통합!$F$1:$F$400)),34)),"")</f>
        <v/>
      </c>
      <c r="K37" s="44">
        <f t="array" ref="K37:K37">IFERROR(INDEX(통합!$C$1:$C$400,SMALL(IF(통합!$F$1:$F$400="6호차",ROW(통합!$F$1:$F$400)),34)),"")</f>
        <v/>
      </c>
      <c r="L37" s="44" t="n"/>
      <c r="M37" s="44" t="n"/>
    </row>
    <row r="38" ht="21.75" customHeight="1" s="33">
      <c r="A38" s="41" t="n">
        <v>35</v>
      </c>
      <c r="B38" s="42">
        <f t="array" ref="B38:B38">IFERROR(INDEX(통합!$A$1:$A$400,SMALL(IF(통합!$E$1:$E$400="6호차",ROW(통합!$E$1:$E$400)),35)),"")</f>
        <v/>
      </c>
      <c r="C38" s="42">
        <f t="array" ref="C38:C38">IFERROR(INDEX(통합!$B$1:$B$400,SMALL(IF(통합!$E$1:$E$400="6호차",ROW(통합!$E$1:$E$400)),35)),"")</f>
        <v/>
      </c>
      <c r="D38" s="42">
        <f t="array" ref="D38:D38">IFERROR(INDEX(통합!$C$1:$C$400,SMALL(IF(통합!$E$1:$E$400="6호차",ROW(통합!$E$1:$E$400)),35)),"")</f>
        <v/>
      </c>
      <c r="E38" s="42" t="n"/>
      <c r="F38" s="42" t="n"/>
      <c r="H38" s="41" t="n">
        <v>35</v>
      </c>
      <c r="I38" s="42">
        <f t="array" ref="I38:I38">IFERROR(INDEX(통합!$A$1:$A$400,SMALL(IF(통합!$F$1:$F$400="6호차",ROW(통합!$F$1:$F$400)),35)),"")</f>
        <v/>
      </c>
      <c r="J38" s="42">
        <f t="array" ref="J38:J38">IFERROR(INDEX(통합!$B$1:$B$400,SMALL(IF(통합!$F$1:$F$400="6호차",ROW(통합!$F$1:$F$400)),35)),"")</f>
        <v/>
      </c>
      <c r="K38" s="42">
        <f t="array" ref="K38:K38">IFERROR(INDEX(통합!$C$1:$C$400,SMALL(IF(통합!$F$1:$F$400="6호차",ROW(통합!$F$1:$F$400)),35)),"")</f>
        <v/>
      </c>
      <c r="L38" s="42" t="n"/>
      <c r="M38" s="42" t="n"/>
    </row>
    <row r="39" ht="21.75" customHeight="1" s="33">
      <c r="A39" s="43" t="n">
        <v>36</v>
      </c>
      <c r="B39" s="44">
        <f t="array" ref="B39:B39">IFERROR(INDEX(통합!$A$1:$A$400,SMALL(IF(통합!$E$1:$E$400="6호차",ROW(통합!$E$1:$E$400)),36)),"")</f>
        <v/>
      </c>
      <c r="C39" s="44">
        <f t="array" ref="C39:C39">IFERROR(INDEX(통합!$B$1:$B$400,SMALL(IF(통합!$E$1:$E$400="6호차",ROW(통합!$E$1:$E$400)),36)),"")</f>
        <v/>
      </c>
      <c r="D39" s="44">
        <f t="array" ref="D39:D39">IFERROR(INDEX(통합!$C$1:$C$400,SMALL(IF(통합!$E$1:$E$400="6호차",ROW(통합!$E$1:$E$400)),36)),"")</f>
        <v/>
      </c>
      <c r="E39" s="44" t="n"/>
      <c r="F39" s="44" t="n"/>
      <c r="H39" s="43" t="n">
        <v>36</v>
      </c>
      <c r="I39" s="44">
        <f t="array" ref="I39:I39">IFERROR(INDEX(통합!$A$1:$A$400,SMALL(IF(통합!$F$1:$F$400="6호차",ROW(통합!$F$1:$F$400)),36)),"")</f>
        <v/>
      </c>
      <c r="J39" s="44">
        <f t="array" ref="J39:J39">IFERROR(INDEX(통합!$B$1:$B$400,SMALL(IF(통합!$F$1:$F$400="6호차",ROW(통합!$F$1:$F$400)),36)),"")</f>
        <v/>
      </c>
      <c r="K39" s="44">
        <f t="array" ref="K39:K39">IFERROR(INDEX(통합!$C$1:$C$400,SMALL(IF(통합!$F$1:$F$400="6호차",ROW(통합!$F$1:$F$400)),36)),"")</f>
        <v/>
      </c>
      <c r="L39" s="44" t="n"/>
      <c r="M39" s="44" t="n"/>
    </row>
    <row r="40" ht="21.75" customHeight="1" s="33">
      <c r="A40" s="41" t="n">
        <v>37</v>
      </c>
      <c r="B40" s="42">
        <f t="array" ref="B40:B40">IFERROR(INDEX(통합!$A$1:$A$400,SMALL(IF(통합!$E$1:$E$400="6호차",ROW(통합!$E$1:$E$400)),37)),"")</f>
        <v/>
      </c>
      <c r="C40" s="42">
        <f t="array" ref="C40:C40">IFERROR(INDEX(통합!$B$1:$B$400,SMALL(IF(통합!$E$1:$E$400="6호차",ROW(통합!$E$1:$E$400)),37)),"")</f>
        <v/>
      </c>
      <c r="D40" s="42">
        <f t="array" ref="D40:D40">IFERROR(INDEX(통합!$C$1:$C$400,SMALL(IF(통합!$E$1:$E$400="6호차",ROW(통합!$E$1:$E$400)),37)),"")</f>
        <v/>
      </c>
      <c r="E40" s="42" t="n"/>
      <c r="F40" s="42" t="n"/>
      <c r="H40" s="41" t="n">
        <v>37</v>
      </c>
      <c r="I40" s="42">
        <f t="array" ref="I40:I40">IFERROR(INDEX(통합!$A$1:$A$400,SMALL(IF(통합!$F$1:$F$400="6호차",ROW(통합!$F$1:$F$400)),37)),"")</f>
        <v/>
      </c>
      <c r="J40" s="42">
        <f t="array" ref="J40:J40">IFERROR(INDEX(통합!$B$1:$B$400,SMALL(IF(통합!$F$1:$F$400="6호차",ROW(통합!$F$1:$F$400)),37)),"")</f>
        <v/>
      </c>
      <c r="K40" s="42">
        <f t="array" ref="K40:K40">IFERROR(INDEX(통합!$C$1:$C$400,SMALL(IF(통합!$F$1:$F$400="6호차",ROW(통합!$F$1:$F$400)),37)),"")</f>
        <v/>
      </c>
      <c r="L40" s="42" t="n"/>
      <c r="M40" s="42" t="n"/>
    </row>
    <row r="41" ht="21.75" customHeight="1" s="33">
      <c r="A41" s="43" t="n">
        <v>38</v>
      </c>
      <c r="B41" s="44">
        <f t="array" ref="B41:B41">IFERROR(INDEX(통합!$A$1:$A$400,SMALL(IF(통합!$E$1:$E$400="6호차",ROW(통합!$E$1:$E$400)),38)),"")</f>
        <v/>
      </c>
      <c r="C41" s="44">
        <f t="array" ref="C41:C41">IFERROR(INDEX(통합!$B$1:$B$400,SMALL(IF(통합!$E$1:$E$400="6호차",ROW(통합!$E$1:$E$400)),38)),"")</f>
        <v/>
      </c>
      <c r="D41" s="44">
        <f t="array" ref="D41:D41">IFERROR(INDEX(통합!$C$1:$C$400,SMALL(IF(통합!$E$1:$E$400="6호차",ROW(통합!$E$1:$E$400)),38)),"")</f>
        <v/>
      </c>
      <c r="E41" s="44" t="n"/>
      <c r="F41" s="44" t="n"/>
      <c r="H41" s="43" t="n">
        <v>38</v>
      </c>
      <c r="I41" s="44">
        <f t="array" ref="I41:I41">IFERROR(INDEX(통합!$A$1:$A$400,SMALL(IF(통합!$F$1:$F$400="6호차",ROW(통합!$F$1:$F$400)),38)),"")</f>
        <v/>
      </c>
      <c r="J41" s="44">
        <f t="array" ref="J41:J41">IFERROR(INDEX(통합!$B$1:$B$400,SMALL(IF(통합!$F$1:$F$400="6호차",ROW(통합!$F$1:$F$400)),38)),"")</f>
        <v/>
      </c>
      <c r="K41" s="44">
        <f t="array" ref="K41:K41">IFERROR(INDEX(통합!$C$1:$C$400,SMALL(IF(통합!$F$1:$F$400="6호차",ROW(통합!$F$1:$F$400)),38)),"")</f>
        <v/>
      </c>
      <c r="L41" s="44" t="n"/>
      <c r="M41" s="44" t="n"/>
    </row>
    <row r="42" ht="21.75" customHeight="1" s="33">
      <c r="A42" s="41" t="n">
        <v>39</v>
      </c>
      <c r="B42" s="42">
        <f t="array" ref="B42:B42">IFERROR(INDEX(통합!$A$1:$A$400,SMALL(IF(통합!$E$1:$E$400="6호차",ROW(통합!$E$1:$E$400)),39)),"")</f>
        <v/>
      </c>
      <c r="C42" s="42">
        <f t="array" ref="C42:C42">IFERROR(INDEX(통합!$B$1:$B$400,SMALL(IF(통합!$E$1:$E$400="6호차",ROW(통합!$E$1:$E$400)),39)),"")</f>
        <v/>
      </c>
      <c r="D42" s="42">
        <f t="array" ref="D42:D42">IFERROR(INDEX(통합!$C$1:$C$400,SMALL(IF(통합!$E$1:$E$400="6호차",ROW(통합!$E$1:$E$400)),39)),"")</f>
        <v/>
      </c>
      <c r="E42" s="42" t="n"/>
      <c r="F42" s="42" t="n"/>
      <c r="H42" s="41" t="n">
        <v>39</v>
      </c>
      <c r="I42" s="42">
        <f t="array" ref="I42:I42">IFERROR(INDEX(통합!$A$1:$A$400,SMALL(IF(통합!$F$1:$F$400="6호차",ROW(통합!$F$1:$F$400)),39)),"")</f>
        <v/>
      </c>
      <c r="J42" s="42">
        <f t="array" ref="J42:J42">IFERROR(INDEX(통합!$B$1:$B$400,SMALL(IF(통합!$F$1:$F$400="6호차",ROW(통합!$F$1:$F$400)),39)),"")</f>
        <v/>
      </c>
      <c r="K42" s="42">
        <f t="array" ref="K42:K42">IFERROR(INDEX(통합!$C$1:$C$400,SMALL(IF(통합!$F$1:$F$400="6호차",ROW(통합!$F$1:$F$400)),39)),"")</f>
        <v/>
      </c>
      <c r="L42" s="42" t="n"/>
      <c r="M42" s="42" t="n"/>
    </row>
    <row r="43" ht="21.75" customHeight="1" s="33">
      <c r="A43" s="43" t="n">
        <v>40</v>
      </c>
      <c r="B43" s="44">
        <f t="array" ref="B43:B43">IFERROR(INDEX(통합!$A$1:$A$400,SMALL(IF(통합!$E$1:$E$400="6호차",ROW(통합!$E$1:$E$400)),40)),"")</f>
        <v/>
      </c>
      <c r="C43" s="44">
        <f t="array" ref="C43:C43">IFERROR(INDEX(통합!$B$1:$B$400,SMALL(IF(통합!$E$1:$E$400="6호차",ROW(통합!$E$1:$E$400)),40)),"")</f>
        <v/>
      </c>
      <c r="D43" s="44">
        <f t="array" ref="D43:D43">IFERROR(INDEX(통합!$C$1:$C$400,SMALL(IF(통합!$E$1:$E$400="6호차",ROW(통합!$E$1:$E$400)),40)),"")</f>
        <v/>
      </c>
      <c r="E43" s="44" t="n"/>
      <c r="F43" s="44" t="n"/>
      <c r="H43" s="43" t="n">
        <v>40</v>
      </c>
      <c r="I43" s="44">
        <f t="array" ref="I43:I43">IFERROR(INDEX(통합!$A$1:$A$400,SMALL(IF(통합!$F$1:$F$400="6호차",ROW(통합!$F$1:$F$400)),40)),"")</f>
        <v/>
      </c>
      <c r="J43" s="44">
        <f t="array" ref="J43:J43">IFERROR(INDEX(통합!$B$1:$B$400,SMALL(IF(통합!$F$1:$F$400="6호차",ROW(통합!$F$1:$F$400)),40)),"")</f>
        <v/>
      </c>
      <c r="K43" s="44">
        <f t="array" ref="K43:K43">IFERROR(INDEX(통합!$C$1:$C$400,SMALL(IF(통합!$F$1:$F$400="6호차",ROW(통합!$F$1:$F$400)),40)),"")</f>
        <v/>
      </c>
      <c r="L43" s="44" t="n"/>
      <c r="M43" s="44" t="n"/>
    </row>
    <row r="44" ht="21.75" customHeight="1" s="33">
      <c r="A44" s="41" t="n">
        <v>41</v>
      </c>
      <c r="B44" s="42">
        <f t="array" ref="B44:B44">IFERROR(INDEX(통합!$A$1:$A$400,SMALL(IF(통합!$E$1:$E$400="6호차",ROW(통합!$E$1:$E$400)),41)),"")</f>
        <v/>
      </c>
      <c r="C44" s="42">
        <f t="array" ref="C44:C44">IFERROR(INDEX(통합!$B$1:$B$400,SMALL(IF(통합!$E$1:$E$400="6호차",ROW(통합!$E$1:$E$400)),41)),"")</f>
        <v/>
      </c>
      <c r="D44" s="42">
        <f t="array" ref="D44:D44">IFERROR(INDEX(통합!$C$1:$C$400,SMALL(IF(통합!$E$1:$E$400="6호차",ROW(통합!$E$1:$E$400)),41)),"")</f>
        <v/>
      </c>
      <c r="E44" s="42" t="n"/>
      <c r="F44" s="42" t="n"/>
      <c r="H44" s="41" t="n">
        <v>41</v>
      </c>
      <c r="I44" s="42">
        <f t="array" ref="I44:I44">IFERROR(INDEX(통합!$A$1:$A$400,SMALL(IF(통합!$F$1:$F$400="6호차",ROW(통합!$F$1:$F$400)),41)),"")</f>
        <v/>
      </c>
      <c r="J44" s="42">
        <f t="array" ref="J44:J44">IFERROR(INDEX(통합!$B$1:$B$400,SMALL(IF(통합!$F$1:$F$400="6호차",ROW(통합!$F$1:$F$400)),41)),"")</f>
        <v/>
      </c>
      <c r="K44" s="42">
        <f t="array" ref="K44:K44">IFERROR(INDEX(통합!$C$1:$C$400,SMALL(IF(통합!$F$1:$F$400="6호차",ROW(통합!$F$1:$F$400)),41)),"")</f>
        <v/>
      </c>
      <c r="L44" s="42" t="n"/>
      <c r="M44" s="42" t="n"/>
    </row>
    <row r="45" ht="21.75" customHeight="1" s="33">
      <c r="A45" s="43" t="n">
        <v>42</v>
      </c>
      <c r="B45" s="44">
        <f t="array" ref="B45:B45">IFERROR(INDEX(통합!$A$1:$A$400,SMALL(IF(통합!$E$1:$E$400="6호차",ROW(통합!$E$1:$E$400)),42)),"")</f>
        <v/>
      </c>
      <c r="C45" s="44">
        <f t="array" ref="C45:C45">IFERROR(INDEX(통합!$B$1:$B$400,SMALL(IF(통합!$E$1:$E$400="6호차",ROW(통합!$E$1:$E$400)),42)),"")</f>
        <v/>
      </c>
      <c r="D45" s="44">
        <f t="array" ref="D45:D45">IFERROR(INDEX(통합!$C$1:$C$400,SMALL(IF(통합!$E$1:$E$400="6호차",ROW(통합!$E$1:$E$400)),42)),"")</f>
        <v/>
      </c>
      <c r="E45" s="44" t="n"/>
      <c r="F45" s="44" t="n"/>
      <c r="H45" s="43" t="n">
        <v>42</v>
      </c>
      <c r="I45" s="44">
        <f t="array" ref="I45:I45">IFERROR(INDEX(통합!$A$1:$A$400,SMALL(IF(통합!$F$1:$F$400="6호차",ROW(통합!$F$1:$F$400)),42)),"")</f>
        <v/>
      </c>
      <c r="J45" s="44">
        <f t="array" ref="J45:J45">IFERROR(INDEX(통합!$B$1:$B$400,SMALL(IF(통합!$F$1:$F$400="6호차",ROW(통합!$F$1:$F$400)),42)),"")</f>
        <v/>
      </c>
      <c r="K45" s="44">
        <f t="array" ref="K45:K45">IFERROR(INDEX(통합!$C$1:$C$400,SMALL(IF(통합!$F$1:$F$400="6호차",ROW(통합!$F$1:$F$400)),42)),"")</f>
        <v/>
      </c>
      <c r="L45" s="44" t="n"/>
      <c r="M45" s="44" t="n"/>
    </row>
    <row r="46" ht="21.75" customHeight="1" s="33">
      <c r="A46" s="41" t="n">
        <v>43</v>
      </c>
      <c r="B46" s="42">
        <f t="array" ref="B46:B46">IFERROR(INDEX(통합!$A$1:$A$400,SMALL(IF(통합!$E$1:$E$400="6호차",ROW(통합!$E$1:$E$400)),43)),"")</f>
        <v/>
      </c>
      <c r="C46" s="42">
        <f t="array" ref="C46:C46">IFERROR(INDEX(통합!$B$1:$B$400,SMALL(IF(통합!$E$1:$E$400="6호차",ROW(통합!$E$1:$E$400)),43)),"")</f>
        <v/>
      </c>
      <c r="D46" s="42">
        <f t="array" ref="D46:D46">IFERROR(INDEX(통합!$C$1:$C$400,SMALL(IF(통합!$E$1:$E$400="6호차",ROW(통합!$E$1:$E$400)),43)),"")</f>
        <v/>
      </c>
      <c r="E46" s="42" t="n"/>
      <c r="F46" s="42" t="n"/>
      <c r="H46" s="41" t="n">
        <v>43</v>
      </c>
      <c r="I46" s="42">
        <f t="array" ref="I46:I46">IFERROR(INDEX(통합!$A$1:$A$400,SMALL(IF(통합!$F$1:$F$400="6호차",ROW(통합!$F$1:$F$400)),43)),"")</f>
        <v/>
      </c>
      <c r="J46" s="42">
        <f t="array" ref="J46:J46">IFERROR(INDEX(통합!$B$1:$B$400,SMALL(IF(통합!$F$1:$F$400="6호차",ROW(통합!$F$1:$F$400)),43)),"")</f>
        <v/>
      </c>
      <c r="K46" s="42">
        <f t="array" ref="K46:K46">IFERROR(INDEX(통합!$C$1:$C$400,SMALL(IF(통합!$F$1:$F$400="6호차",ROW(통합!$F$1:$F$400)),43)),"")</f>
        <v/>
      </c>
      <c r="L46" s="42" t="n"/>
      <c r="M46" s="42" t="n"/>
    </row>
    <row r="47" ht="15" customHeight="1" s="33">
      <c r="A47" s="45" t="inlineStr">
        <is>
          <t>합  계</t>
        </is>
      </c>
      <c r="B47" s="35" t="n"/>
      <c r="C47" s="35" t="n"/>
      <c r="D47" s="61">
        <f t="array" ref="D47:D47">IF(SUMPRODUCT((D4:D46&lt;&gt;"")*1)=0,"",SUMPRODUCT((D4:D46&lt;&gt;"")*1))</f>
        <v/>
      </c>
      <c r="E47" s="61" t="n"/>
      <c r="F47" s="61" t="n"/>
      <c r="H47" s="45" t="inlineStr">
        <is>
          <t>합  계</t>
        </is>
      </c>
      <c r="I47" s="35" t="n"/>
      <c r="J47" s="35" t="n"/>
      <c r="K47" s="61">
        <f t="array" ref="K47:K47">IF(SUMPRODUCT((K4:K46&lt;&gt;"")*1)=0,"",SUMPRODUCT((K4:K46&lt;&gt;"")*1))</f>
        <v/>
      </c>
      <c r="L47" s="61" t="n"/>
      <c r="M47" s="61" t="n"/>
    </row>
  </sheetData>
  <mergeCells count="6">
    <mergeCell ref="A2:B2"/>
    <mergeCell ref="H1:M1"/>
    <mergeCell ref="H2:I2"/>
    <mergeCell ref="A47:C47"/>
    <mergeCell ref="A1:F1"/>
    <mergeCell ref="H47:J4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M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5.51" customWidth="1" style="32" min="2" max="2"/>
    <col width="9" customWidth="1" style="32" min="3" max="3"/>
    <col width="8" customWidth="1" style="32" min="4" max="4"/>
    <col width="13" customWidth="1" style="32" min="5" max="5"/>
    <col width="12.61" customWidth="1" style="32" min="6" max="6"/>
    <col width="2" customWidth="1" style="32" min="7" max="7"/>
    <col width="4" customWidth="1" style="32" min="8" max="8"/>
    <col width="5.51" customWidth="1" style="32" min="9" max="9"/>
    <col width="9" customWidth="1" style="32" min="10" max="10"/>
    <col width="8" customWidth="1" style="32" min="11" max="11"/>
    <col width="13" customWidth="1" style="32" min="12" max="12"/>
    <col width="12.61" customWidth="1" style="32" min="13" max="13"/>
  </cols>
  <sheetData>
    <row r="1" ht="36" customHeight="1" s="33">
      <c r="A1" s="47" t="inlineStr">
        <is>
          <t>상행  7호차</t>
        </is>
      </c>
      <c r="B1" s="35" t="n"/>
      <c r="C1" s="35" t="n"/>
      <c r="D1" s="35" t="n"/>
      <c r="E1" s="35" t="n"/>
      <c r="F1" s="35" t="n"/>
      <c r="H1" s="47" t="inlineStr">
        <is>
          <t>하행  7호차</t>
        </is>
      </c>
      <c r="I1" s="35" t="n"/>
      <c r="J1" s="35" t="n"/>
      <c r="K1" s="35" t="n"/>
      <c r="L1" s="35" t="n"/>
      <c r="M1" s="35" t="n"/>
    </row>
    <row r="2" ht="24" customHeight="1" s="33">
      <c r="A2" s="63" t="inlineStr">
        <is>
          <t>선탑자:</t>
        </is>
      </c>
      <c r="B2" s="35" t="n"/>
      <c r="H2" s="63" t="inlineStr">
        <is>
          <t>선탑자:</t>
        </is>
      </c>
      <c r="I2" s="35" t="n"/>
    </row>
    <row r="3" ht="24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확인</t>
        </is>
      </c>
      <c r="F3" s="49" t="inlineStr">
        <is>
          <t>비고</t>
        </is>
      </c>
      <c r="H3" s="48" t="inlineStr">
        <is>
          <t>NO</t>
        </is>
      </c>
      <c r="I3" s="49" t="inlineStr">
        <is>
          <t>구역</t>
        </is>
      </c>
      <c r="J3" s="49" t="inlineStr">
        <is>
          <t>회(부서)</t>
        </is>
      </c>
      <c r="K3" s="49" t="inlineStr">
        <is>
          <t>성 명</t>
        </is>
      </c>
      <c r="L3" s="49" t="inlineStr">
        <is>
          <t>확인</t>
        </is>
      </c>
      <c r="M3" s="49" t="inlineStr">
        <is>
          <t>비고</t>
        </is>
      </c>
    </row>
    <row r="4" ht="21.75" customHeight="1" s="33">
      <c r="A4" s="41" t="n">
        <v>1</v>
      </c>
      <c r="B4" s="42">
        <f t="array" ref="B4:B4">IFERROR(INDEX(통합!$A$1:$A$400,SMALL(IF(통합!$E$1:$E$400="7호차",ROW(통합!$E$1:$E$400)),1)),"")</f>
        <v/>
      </c>
      <c r="C4" s="42">
        <f t="array" ref="C4:C4">IFERROR(INDEX(통합!$B$1:$B$400,SMALL(IF(통합!$E$1:$E$400="7호차",ROW(통합!$E$1:$E$400)),1)),"")</f>
        <v/>
      </c>
      <c r="D4" s="42">
        <f t="array" ref="D4:D4">IFERROR(INDEX(통합!$C$1:$C$400,SMALL(IF(통합!$E$1:$E$400="7호차",ROW(통합!$E$1:$E$400)),1)),"")</f>
        <v/>
      </c>
      <c r="E4" s="42" t="n"/>
      <c r="F4" s="42" t="n"/>
      <c r="H4" s="41" t="n">
        <v>1</v>
      </c>
      <c r="I4" s="42">
        <f t="array" ref="I4:I4">IFERROR(INDEX(통합!$A$1:$A$400,SMALL(IF(통합!$F$1:$F$400="7호차",ROW(통합!$F$1:$F$400)),1)),"")</f>
        <v/>
      </c>
      <c r="J4" s="42">
        <f t="array" ref="J4:J4">IFERROR(INDEX(통합!$B$1:$B$400,SMALL(IF(통합!$F$1:$F$400="7호차",ROW(통합!$F$1:$F$400)),1)),"")</f>
        <v/>
      </c>
      <c r="K4" s="42">
        <f t="array" ref="K4:K4">IFERROR(INDEX(통합!$C$1:$C$400,SMALL(IF(통합!$F$1:$F$400="7호차",ROW(통합!$F$1:$F$400)),1)),"")</f>
        <v/>
      </c>
      <c r="L4" s="42" t="n"/>
      <c r="M4" s="42" t="n"/>
    </row>
    <row r="5" ht="21.75" customHeight="1" s="33">
      <c r="A5" s="43" t="n">
        <v>2</v>
      </c>
      <c r="B5" s="44">
        <f t="array" ref="B5:B5">IFERROR(INDEX(통합!$A$1:$A$400,SMALL(IF(통합!$E$1:$E$400="7호차",ROW(통합!$E$1:$E$400)),2)),"")</f>
        <v/>
      </c>
      <c r="C5" s="44">
        <f t="array" ref="C5:C5">IFERROR(INDEX(통합!$B$1:$B$400,SMALL(IF(통합!$E$1:$E$400="7호차",ROW(통합!$E$1:$E$400)),2)),"")</f>
        <v/>
      </c>
      <c r="D5" s="44">
        <f t="array" ref="D5:D5">IFERROR(INDEX(통합!$C$1:$C$400,SMALL(IF(통합!$E$1:$E$400="7호차",ROW(통합!$E$1:$E$400)),2)),"")</f>
        <v/>
      </c>
      <c r="E5" s="44" t="n"/>
      <c r="F5" s="44" t="n"/>
      <c r="H5" s="43" t="n">
        <v>2</v>
      </c>
      <c r="I5" s="44">
        <f t="array" ref="I5:I5">IFERROR(INDEX(통합!$A$1:$A$400,SMALL(IF(통합!$F$1:$F$400="7호차",ROW(통합!$F$1:$F$400)),2)),"")</f>
        <v/>
      </c>
      <c r="J5" s="44">
        <f t="array" ref="J5:J5">IFERROR(INDEX(통합!$B$1:$B$400,SMALL(IF(통합!$F$1:$F$400="7호차",ROW(통합!$F$1:$F$400)),2)),"")</f>
        <v/>
      </c>
      <c r="K5" s="44">
        <f t="array" ref="K5:K5">IFERROR(INDEX(통합!$C$1:$C$400,SMALL(IF(통합!$F$1:$F$400="7호차",ROW(통합!$F$1:$F$400)),2)),"")</f>
        <v/>
      </c>
      <c r="L5" s="44" t="n"/>
      <c r="M5" s="44" t="n"/>
    </row>
    <row r="6" ht="21.75" customHeight="1" s="33">
      <c r="A6" s="41" t="n">
        <v>3</v>
      </c>
      <c r="B6" s="42">
        <f t="array" ref="B6:B6">IFERROR(INDEX(통합!$A$1:$A$400,SMALL(IF(통합!$E$1:$E$400="7호차",ROW(통합!$E$1:$E$400)),3)),"")</f>
        <v/>
      </c>
      <c r="C6" s="42">
        <f t="array" ref="C6:C6">IFERROR(INDEX(통합!$B$1:$B$400,SMALL(IF(통합!$E$1:$E$400="7호차",ROW(통합!$E$1:$E$400)),3)),"")</f>
        <v/>
      </c>
      <c r="D6" s="42">
        <f t="array" ref="D6:D6">IFERROR(INDEX(통합!$C$1:$C$400,SMALL(IF(통합!$E$1:$E$400="7호차",ROW(통합!$E$1:$E$400)),3)),"")</f>
        <v/>
      </c>
      <c r="E6" s="42" t="n"/>
      <c r="F6" s="42" t="n"/>
      <c r="H6" s="41" t="n">
        <v>3</v>
      </c>
      <c r="I6" s="42">
        <f t="array" ref="I6:I6">IFERROR(INDEX(통합!$A$1:$A$400,SMALL(IF(통합!$F$1:$F$400="7호차",ROW(통합!$F$1:$F$400)),3)),"")</f>
        <v/>
      </c>
      <c r="J6" s="42">
        <f t="array" ref="J6:J6">IFERROR(INDEX(통합!$B$1:$B$400,SMALL(IF(통합!$F$1:$F$400="7호차",ROW(통합!$F$1:$F$400)),3)),"")</f>
        <v/>
      </c>
      <c r="K6" s="42">
        <f t="array" ref="K6:K6">IFERROR(INDEX(통합!$C$1:$C$400,SMALL(IF(통합!$F$1:$F$400="7호차",ROW(통합!$F$1:$F$400)),3)),"")</f>
        <v/>
      </c>
      <c r="L6" s="42" t="n"/>
      <c r="M6" s="42" t="n"/>
    </row>
    <row r="7" ht="21.75" customHeight="1" s="33">
      <c r="A7" s="43" t="n">
        <v>4</v>
      </c>
      <c r="B7" s="44">
        <f t="array" ref="B7:B7">IFERROR(INDEX(통합!$A$1:$A$400,SMALL(IF(통합!$E$1:$E$400="7호차",ROW(통합!$E$1:$E$400)),4)),"")</f>
        <v/>
      </c>
      <c r="C7" s="44">
        <f t="array" ref="C7:C7">IFERROR(INDEX(통합!$B$1:$B$400,SMALL(IF(통합!$E$1:$E$400="7호차",ROW(통합!$E$1:$E$400)),4)),"")</f>
        <v/>
      </c>
      <c r="D7" s="44">
        <f t="array" ref="D7:D7">IFERROR(INDEX(통합!$C$1:$C$400,SMALL(IF(통합!$E$1:$E$400="7호차",ROW(통합!$E$1:$E$400)),4)),"")</f>
        <v/>
      </c>
      <c r="E7" s="44" t="n"/>
      <c r="F7" s="44" t="n"/>
      <c r="H7" s="43" t="n">
        <v>4</v>
      </c>
      <c r="I7" s="44">
        <f t="array" ref="I7:I7">IFERROR(INDEX(통합!$A$1:$A$400,SMALL(IF(통합!$F$1:$F$400="7호차",ROW(통합!$F$1:$F$400)),4)),"")</f>
        <v/>
      </c>
      <c r="J7" s="44">
        <f t="array" ref="J7:J7">IFERROR(INDEX(통합!$B$1:$B$400,SMALL(IF(통합!$F$1:$F$400="7호차",ROW(통합!$F$1:$F$400)),4)),"")</f>
        <v/>
      </c>
      <c r="K7" s="44">
        <f t="array" ref="K7:K7">IFERROR(INDEX(통합!$C$1:$C$400,SMALL(IF(통합!$F$1:$F$400="7호차",ROW(통합!$F$1:$F$400)),4)),"")</f>
        <v/>
      </c>
      <c r="L7" s="44" t="n"/>
      <c r="M7" s="44" t="n"/>
    </row>
    <row r="8" ht="21.75" customHeight="1" s="33">
      <c r="A8" s="41" t="n">
        <v>5</v>
      </c>
      <c r="B8" s="42">
        <f t="array" ref="B8:B8">IFERROR(INDEX(통합!$A$1:$A$400,SMALL(IF(통합!$E$1:$E$400="7호차",ROW(통합!$E$1:$E$400)),5)),"")</f>
        <v/>
      </c>
      <c r="C8" s="42">
        <f t="array" ref="C8:C8">IFERROR(INDEX(통합!$B$1:$B$400,SMALL(IF(통합!$E$1:$E$400="7호차",ROW(통합!$E$1:$E$400)),5)),"")</f>
        <v/>
      </c>
      <c r="D8" s="42">
        <f t="array" ref="D8:D8">IFERROR(INDEX(통합!$C$1:$C$400,SMALL(IF(통합!$E$1:$E$400="7호차",ROW(통합!$E$1:$E$400)),5)),"")</f>
        <v/>
      </c>
      <c r="E8" s="42" t="n"/>
      <c r="F8" s="42" t="n"/>
      <c r="H8" s="41" t="n">
        <v>5</v>
      </c>
      <c r="I8" s="42">
        <f t="array" ref="I8:I8">IFERROR(INDEX(통합!$A$1:$A$400,SMALL(IF(통합!$F$1:$F$400="7호차",ROW(통합!$F$1:$F$400)),5)),"")</f>
        <v/>
      </c>
      <c r="J8" s="42">
        <f t="array" ref="J8:J8">IFERROR(INDEX(통합!$B$1:$B$400,SMALL(IF(통합!$F$1:$F$400="7호차",ROW(통합!$F$1:$F$400)),5)),"")</f>
        <v/>
      </c>
      <c r="K8" s="42">
        <f t="array" ref="K8:K8">IFERROR(INDEX(통합!$C$1:$C$400,SMALL(IF(통합!$F$1:$F$400="7호차",ROW(통합!$F$1:$F$400)),5)),"")</f>
        <v/>
      </c>
      <c r="L8" s="42" t="n"/>
      <c r="M8" s="42" t="n"/>
    </row>
    <row r="9" ht="21.75" customHeight="1" s="33">
      <c r="A9" s="43" t="n">
        <v>6</v>
      </c>
      <c r="B9" s="44">
        <f t="array" ref="B9:B9">IFERROR(INDEX(통합!$A$1:$A$400,SMALL(IF(통합!$E$1:$E$400="7호차",ROW(통합!$E$1:$E$400)),6)),"")</f>
        <v/>
      </c>
      <c r="C9" s="44">
        <f t="array" ref="C9:C9">IFERROR(INDEX(통합!$B$1:$B$400,SMALL(IF(통합!$E$1:$E$400="7호차",ROW(통합!$E$1:$E$400)),6)),"")</f>
        <v/>
      </c>
      <c r="D9" s="44">
        <f t="array" ref="D9:D9">IFERROR(INDEX(통합!$C$1:$C$400,SMALL(IF(통합!$E$1:$E$400="7호차",ROW(통합!$E$1:$E$400)),6)),"")</f>
        <v/>
      </c>
      <c r="E9" s="44" t="n"/>
      <c r="F9" s="44" t="n"/>
      <c r="H9" s="43" t="n">
        <v>6</v>
      </c>
      <c r="I9" s="44">
        <f t="array" ref="I9:I9">IFERROR(INDEX(통합!$A$1:$A$400,SMALL(IF(통합!$F$1:$F$400="7호차",ROW(통합!$F$1:$F$400)),6)),"")</f>
        <v/>
      </c>
      <c r="J9" s="44">
        <f t="array" ref="J9:J9">IFERROR(INDEX(통합!$B$1:$B$400,SMALL(IF(통합!$F$1:$F$400="7호차",ROW(통합!$F$1:$F$400)),6)),"")</f>
        <v/>
      </c>
      <c r="K9" s="44">
        <f t="array" ref="K9:K9">IFERROR(INDEX(통합!$C$1:$C$400,SMALL(IF(통합!$F$1:$F$400="7호차",ROW(통합!$F$1:$F$400)),6)),"")</f>
        <v/>
      </c>
      <c r="L9" s="44" t="n"/>
      <c r="M9" s="44" t="n"/>
    </row>
    <row r="10" ht="21.75" customHeight="1" s="33">
      <c r="A10" s="41" t="n">
        <v>7</v>
      </c>
      <c r="B10" s="42">
        <f t="array" ref="B10:B10">IFERROR(INDEX(통합!$A$1:$A$400,SMALL(IF(통합!$E$1:$E$400="7호차",ROW(통합!$E$1:$E$400)),7)),"")</f>
        <v/>
      </c>
      <c r="C10" s="42">
        <f t="array" ref="C10:C10">IFERROR(INDEX(통합!$B$1:$B$400,SMALL(IF(통합!$E$1:$E$400="7호차",ROW(통합!$E$1:$E$400)),7)),"")</f>
        <v/>
      </c>
      <c r="D10" s="42">
        <f t="array" ref="D10:D10">IFERROR(INDEX(통합!$C$1:$C$400,SMALL(IF(통합!$E$1:$E$400="7호차",ROW(통합!$E$1:$E$400)),7)),"")</f>
        <v/>
      </c>
      <c r="E10" s="42" t="n"/>
      <c r="F10" s="42" t="n"/>
      <c r="H10" s="41" t="n">
        <v>7</v>
      </c>
      <c r="I10" s="42">
        <f t="array" ref="I10:I10">IFERROR(INDEX(통합!$A$1:$A$400,SMALL(IF(통합!$F$1:$F$400="7호차",ROW(통합!$F$1:$F$400)),7)),"")</f>
        <v/>
      </c>
      <c r="J10" s="42">
        <f t="array" ref="J10:J10">IFERROR(INDEX(통합!$B$1:$B$400,SMALL(IF(통합!$F$1:$F$400="7호차",ROW(통합!$F$1:$F$400)),7)),"")</f>
        <v/>
      </c>
      <c r="K10" s="42">
        <f t="array" ref="K10:K10">IFERROR(INDEX(통합!$C$1:$C$400,SMALL(IF(통합!$F$1:$F$400="7호차",ROW(통합!$F$1:$F$400)),7)),"")</f>
        <v/>
      </c>
      <c r="L10" s="42" t="n"/>
      <c r="M10" s="42" t="n"/>
    </row>
    <row r="11" ht="21.75" customHeight="1" s="33">
      <c r="A11" s="43" t="n">
        <v>8</v>
      </c>
      <c r="B11" s="44">
        <f t="array" ref="B11:B11">IFERROR(INDEX(통합!$A$1:$A$400,SMALL(IF(통합!$E$1:$E$400="7호차",ROW(통합!$E$1:$E$400)),8)),"")</f>
        <v/>
      </c>
      <c r="C11" s="44">
        <f t="array" ref="C11:C11">IFERROR(INDEX(통합!$B$1:$B$400,SMALL(IF(통합!$E$1:$E$400="7호차",ROW(통합!$E$1:$E$400)),8)),"")</f>
        <v/>
      </c>
      <c r="D11" s="44">
        <f t="array" ref="D11:D11">IFERROR(INDEX(통합!$C$1:$C$400,SMALL(IF(통합!$E$1:$E$400="7호차",ROW(통합!$E$1:$E$400)),8)),"")</f>
        <v/>
      </c>
      <c r="E11" s="44" t="n"/>
      <c r="F11" s="44" t="n"/>
      <c r="H11" s="43" t="n">
        <v>8</v>
      </c>
      <c r="I11" s="44">
        <f t="array" ref="I11:I11">IFERROR(INDEX(통합!$A$1:$A$400,SMALL(IF(통합!$F$1:$F$400="7호차",ROW(통합!$F$1:$F$400)),8)),"")</f>
        <v/>
      </c>
      <c r="J11" s="44">
        <f t="array" ref="J11:J11">IFERROR(INDEX(통합!$B$1:$B$400,SMALL(IF(통합!$F$1:$F$400="7호차",ROW(통합!$F$1:$F$400)),8)),"")</f>
        <v/>
      </c>
      <c r="K11" s="44">
        <f t="array" ref="K11:K11">IFERROR(INDEX(통합!$C$1:$C$400,SMALL(IF(통합!$F$1:$F$400="7호차",ROW(통합!$F$1:$F$400)),8)),"")</f>
        <v/>
      </c>
      <c r="L11" s="44" t="n"/>
      <c r="M11" s="44" t="n"/>
    </row>
    <row r="12" ht="21.75" customHeight="1" s="33">
      <c r="A12" s="41" t="n">
        <v>9</v>
      </c>
      <c r="B12" s="42">
        <f t="array" ref="B12:B12">IFERROR(INDEX(통합!$A$1:$A$400,SMALL(IF(통합!$E$1:$E$400="7호차",ROW(통합!$E$1:$E$400)),9)),"")</f>
        <v/>
      </c>
      <c r="C12" s="42">
        <f t="array" ref="C12:C12">IFERROR(INDEX(통합!$B$1:$B$400,SMALL(IF(통합!$E$1:$E$400="7호차",ROW(통합!$E$1:$E$400)),9)),"")</f>
        <v/>
      </c>
      <c r="D12" s="42">
        <f t="array" ref="D12:D12">IFERROR(INDEX(통합!$C$1:$C$400,SMALL(IF(통합!$E$1:$E$400="7호차",ROW(통합!$E$1:$E$400)),9)),"")</f>
        <v/>
      </c>
      <c r="E12" s="42" t="n"/>
      <c r="F12" s="42" t="n"/>
      <c r="H12" s="41" t="n">
        <v>9</v>
      </c>
      <c r="I12" s="42">
        <f t="array" ref="I12:I12">IFERROR(INDEX(통합!$A$1:$A$400,SMALL(IF(통합!$F$1:$F$400="7호차",ROW(통합!$F$1:$F$400)),9)),"")</f>
        <v/>
      </c>
      <c r="J12" s="42">
        <f t="array" ref="J12:J12">IFERROR(INDEX(통합!$B$1:$B$400,SMALL(IF(통합!$F$1:$F$400="7호차",ROW(통합!$F$1:$F$400)),9)),"")</f>
        <v/>
      </c>
      <c r="K12" s="42">
        <f t="array" ref="K12:K12">IFERROR(INDEX(통합!$C$1:$C$400,SMALL(IF(통합!$F$1:$F$400="7호차",ROW(통합!$F$1:$F$400)),9)),"")</f>
        <v/>
      </c>
      <c r="L12" s="42" t="n"/>
      <c r="M12" s="42" t="n"/>
    </row>
    <row r="13" ht="21.75" customHeight="1" s="33">
      <c r="A13" s="43" t="n">
        <v>10</v>
      </c>
      <c r="B13" s="44">
        <f t="array" ref="B13:B13">IFERROR(INDEX(통합!$A$1:$A$400,SMALL(IF(통합!$E$1:$E$400="7호차",ROW(통합!$E$1:$E$400)),10)),"")</f>
        <v/>
      </c>
      <c r="C13" s="44">
        <f t="array" ref="C13:C13">IFERROR(INDEX(통합!$B$1:$B$400,SMALL(IF(통합!$E$1:$E$400="7호차",ROW(통합!$E$1:$E$400)),10)),"")</f>
        <v/>
      </c>
      <c r="D13" s="44">
        <f t="array" ref="D13:D13">IFERROR(INDEX(통합!$C$1:$C$400,SMALL(IF(통합!$E$1:$E$400="7호차",ROW(통합!$E$1:$E$400)),10)),"")</f>
        <v/>
      </c>
      <c r="E13" s="44" t="n"/>
      <c r="F13" s="44" t="n"/>
      <c r="H13" s="43" t="n">
        <v>10</v>
      </c>
      <c r="I13" s="44">
        <f t="array" ref="I13:I13">IFERROR(INDEX(통합!$A$1:$A$400,SMALL(IF(통합!$F$1:$F$400="7호차",ROW(통합!$F$1:$F$400)),10)),"")</f>
        <v/>
      </c>
      <c r="J13" s="44">
        <f t="array" ref="J13:J13">IFERROR(INDEX(통합!$B$1:$B$400,SMALL(IF(통합!$F$1:$F$400="7호차",ROW(통합!$F$1:$F$400)),10)),"")</f>
        <v/>
      </c>
      <c r="K13" s="44">
        <f t="array" ref="K13:K13">IFERROR(INDEX(통합!$C$1:$C$400,SMALL(IF(통합!$F$1:$F$400="7호차",ROW(통합!$F$1:$F$400)),10)),"")</f>
        <v/>
      </c>
      <c r="L13" s="44" t="n"/>
      <c r="M13" s="44" t="n"/>
    </row>
    <row r="14" ht="21.75" customHeight="1" s="33">
      <c r="A14" s="41" t="n">
        <v>11</v>
      </c>
      <c r="B14" s="42">
        <f t="array" ref="B14:B14">IFERROR(INDEX(통합!$A$1:$A$400,SMALL(IF(통합!$E$1:$E$400="7호차",ROW(통합!$E$1:$E$400)),11)),"")</f>
        <v/>
      </c>
      <c r="C14" s="42">
        <f t="array" ref="C14:C14">IFERROR(INDEX(통합!$B$1:$B$400,SMALL(IF(통합!$E$1:$E$400="7호차",ROW(통합!$E$1:$E$400)),11)),"")</f>
        <v/>
      </c>
      <c r="D14" s="42">
        <f t="array" ref="D14:D14">IFERROR(INDEX(통합!$C$1:$C$400,SMALL(IF(통합!$E$1:$E$400="7호차",ROW(통합!$E$1:$E$400)),11)),"")</f>
        <v/>
      </c>
      <c r="E14" s="42" t="n"/>
      <c r="F14" s="42" t="n"/>
      <c r="H14" s="41" t="n">
        <v>11</v>
      </c>
      <c r="I14" s="42">
        <f t="array" ref="I14:I14">IFERROR(INDEX(통합!$A$1:$A$400,SMALL(IF(통합!$F$1:$F$400="7호차",ROW(통합!$F$1:$F$400)),11)),"")</f>
        <v/>
      </c>
      <c r="J14" s="42">
        <f t="array" ref="J14:J14">IFERROR(INDEX(통합!$B$1:$B$400,SMALL(IF(통합!$F$1:$F$400="7호차",ROW(통합!$F$1:$F$400)),11)),"")</f>
        <v/>
      </c>
      <c r="K14" s="42">
        <f t="array" ref="K14:K14">IFERROR(INDEX(통합!$C$1:$C$400,SMALL(IF(통합!$F$1:$F$400="7호차",ROW(통합!$F$1:$F$400)),11)),"")</f>
        <v/>
      </c>
      <c r="L14" s="42" t="n"/>
      <c r="M14" s="42" t="n"/>
    </row>
    <row r="15" ht="21.75" customHeight="1" s="33">
      <c r="A15" s="43" t="n">
        <v>12</v>
      </c>
      <c r="B15" s="44">
        <f t="array" ref="B15:B15">IFERROR(INDEX(통합!$A$1:$A$400,SMALL(IF(통합!$E$1:$E$400="7호차",ROW(통합!$E$1:$E$400)),12)),"")</f>
        <v/>
      </c>
      <c r="C15" s="44">
        <f t="array" ref="C15:C15">IFERROR(INDEX(통합!$B$1:$B$400,SMALL(IF(통합!$E$1:$E$400="7호차",ROW(통합!$E$1:$E$400)),12)),"")</f>
        <v/>
      </c>
      <c r="D15" s="44">
        <f t="array" ref="D15:D15">IFERROR(INDEX(통합!$C$1:$C$400,SMALL(IF(통합!$E$1:$E$400="7호차",ROW(통합!$E$1:$E$400)),12)),"")</f>
        <v/>
      </c>
      <c r="E15" s="44" t="n"/>
      <c r="F15" s="44" t="n"/>
      <c r="H15" s="43" t="n">
        <v>12</v>
      </c>
      <c r="I15" s="44">
        <f t="array" ref="I15:I15">IFERROR(INDEX(통합!$A$1:$A$400,SMALL(IF(통합!$F$1:$F$400="7호차",ROW(통합!$F$1:$F$400)),12)),"")</f>
        <v/>
      </c>
      <c r="J15" s="44">
        <f t="array" ref="J15:J15">IFERROR(INDEX(통합!$B$1:$B$400,SMALL(IF(통합!$F$1:$F$400="7호차",ROW(통합!$F$1:$F$400)),12)),"")</f>
        <v/>
      </c>
      <c r="K15" s="44">
        <f t="array" ref="K15:K15">IFERROR(INDEX(통합!$C$1:$C$400,SMALL(IF(통합!$F$1:$F$400="7호차",ROW(통합!$F$1:$F$400)),12)),"")</f>
        <v/>
      </c>
      <c r="L15" s="44" t="n"/>
      <c r="M15" s="44" t="n"/>
    </row>
    <row r="16" ht="21.75" customHeight="1" s="33">
      <c r="A16" s="41" t="n">
        <v>13</v>
      </c>
      <c r="B16" s="42">
        <f t="array" ref="B16:B16">IFERROR(INDEX(통합!$A$1:$A$400,SMALL(IF(통합!$E$1:$E$400="7호차",ROW(통합!$E$1:$E$400)),13)),"")</f>
        <v/>
      </c>
      <c r="C16" s="42">
        <f t="array" ref="C16:C16">IFERROR(INDEX(통합!$B$1:$B$400,SMALL(IF(통합!$E$1:$E$400="7호차",ROW(통합!$E$1:$E$400)),13)),"")</f>
        <v/>
      </c>
      <c r="D16" s="42">
        <f t="array" ref="D16:D16">IFERROR(INDEX(통합!$C$1:$C$400,SMALL(IF(통합!$E$1:$E$400="7호차",ROW(통합!$E$1:$E$400)),13)),"")</f>
        <v/>
      </c>
      <c r="E16" s="42" t="n"/>
      <c r="F16" s="42" t="n"/>
      <c r="H16" s="41" t="n">
        <v>13</v>
      </c>
      <c r="I16" s="42">
        <f t="array" ref="I16:I16">IFERROR(INDEX(통합!$A$1:$A$400,SMALL(IF(통합!$F$1:$F$400="7호차",ROW(통합!$F$1:$F$400)),13)),"")</f>
        <v/>
      </c>
      <c r="J16" s="42">
        <f t="array" ref="J16:J16">IFERROR(INDEX(통합!$B$1:$B$400,SMALL(IF(통합!$F$1:$F$400="7호차",ROW(통합!$F$1:$F$400)),13)),"")</f>
        <v/>
      </c>
      <c r="K16" s="42">
        <f t="array" ref="K16:K16">IFERROR(INDEX(통합!$C$1:$C$400,SMALL(IF(통합!$F$1:$F$400="7호차",ROW(통합!$F$1:$F$400)),13)),"")</f>
        <v/>
      </c>
      <c r="L16" s="42" t="n"/>
      <c r="M16" s="42" t="n"/>
    </row>
    <row r="17" ht="21.75" customHeight="1" s="33">
      <c r="A17" s="43" t="n">
        <v>14</v>
      </c>
      <c r="B17" s="44">
        <f t="array" ref="B17:B17">IFERROR(INDEX(통합!$A$1:$A$400,SMALL(IF(통합!$E$1:$E$400="7호차",ROW(통합!$E$1:$E$400)),14)),"")</f>
        <v/>
      </c>
      <c r="C17" s="44">
        <f t="array" ref="C17:C17">IFERROR(INDEX(통합!$B$1:$B$400,SMALL(IF(통합!$E$1:$E$400="7호차",ROW(통합!$E$1:$E$400)),14)),"")</f>
        <v/>
      </c>
      <c r="D17" s="44">
        <f t="array" ref="D17:D17">IFERROR(INDEX(통합!$C$1:$C$400,SMALL(IF(통합!$E$1:$E$400="7호차",ROW(통합!$E$1:$E$400)),14)),"")</f>
        <v/>
      </c>
      <c r="E17" s="44" t="n"/>
      <c r="F17" s="44" t="n"/>
      <c r="H17" s="43" t="n">
        <v>14</v>
      </c>
      <c r="I17" s="44">
        <f t="array" ref="I17:I17">IFERROR(INDEX(통합!$A$1:$A$400,SMALL(IF(통합!$F$1:$F$400="7호차",ROW(통합!$F$1:$F$400)),14)),"")</f>
        <v/>
      </c>
      <c r="J17" s="44">
        <f t="array" ref="J17:J17">IFERROR(INDEX(통합!$B$1:$B$400,SMALL(IF(통합!$F$1:$F$400="7호차",ROW(통합!$F$1:$F$400)),14)),"")</f>
        <v/>
      </c>
      <c r="K17" s="44">
        <f t="array" ref="K17:K17">IFERROR(INDEX(통합!$C$1:$C$400,SMALL(IF(통합!$F$1:$F$400="7호차",ROW(통합!$F$1:$F$400)),14)),"")</f>
        <v/>
      </c>
      <c r="L17" s="44" t="n"/>
      <c r="M17" s="44" t="n"/>
    </row>
    <row r="18" ht="21.75" customHeight="1" s="33">
      <c r="A18" s="41" t="n">
        <v>15</v>
      </c>
      <c r="B18" s="42">
        <f t="array" ref="B18:B18">IFERROR(INDEX(통합!$A$1:$A$400,SMALL(IF(통합!$E$1:$E$400="7호차",ROW(통합!$E$1:$E$400)),15)),"")</f>
        <v/>
      </c>
      <c r="C18" s="42">
        <f t="array" ref="C18:C18">IFERROR(INDEX(통합!$B$1:$B$400,SMALL(IF(통합!$E$1:$E$400="7호차",ROW(통합!$E$1:$E$400)),15)),"")</f>
        <v/>
      </c>
      <c r="D18" s="42">
        <f t="array" ref="D18:D18">IFERROR(INDEX(통합!$C$1:$C$400,SMALL(IF(통합!$E$1:$E$400="7호차",ROW(통합!$E$1:$E$400)),15)),"")</f>
        <v/>
      </c>
      <c r="E18" s="42" t="n"/>
      <c r="F18" s="42" t="n"/>
      <c r="H18" s="41" t="n">
        <v>15</v>
      </c>
      <c r="I18" s="42">
        <f t="array" ref="I18:I18">IFERROR(INDEX(통합!$A$1:$A$400,SMALL(IF(통합!$F$1:$F$400="7호차",ROW(통합!$F$1:$F$400)),15)),"")</f>
        <v/>
      </c>
      <c r="J18" s="42">
        <f t="array" ref="J18:J18">IFERROR(INDEX(통합!$B$1:$B$400,SMALL(IF(통합!$F$1:$F$400="7호차",ROW(통합!$F$1:$F$400)),15)),"")</f>
        <v/>
      </c>
      <c r="K18" s="42">
        <f t="array" ref="K18:K18">IFERROR(INDEX(통합!$C$1:$C$400,SMALL(IF(통합!$F$1:$F$400="7호차",ROW(통합!$F$1:$F$400)),15)),"")</f>
        <v/>
      </c>
      <c r="L18" s="42" t="n"/>
      <c r="M18" s="42" t="n"/>
    </row>
    <row r="19" ht="21.75" customHeight="1" s="33">
      <c r="A19" s="43" t="n">
        <v>16</v>
      </c>
      <c r="B19" s="44">
        <f t="array" ref="B19:B19">IFERROR(INDEX(통합!$A$1:$A$400,SMALL(IF(통합!$E$1:$E$400="7호차",ROW(통합!$E$1:$E$400)),16)),"")</f>
        <v/>
      </c>
      <c r="C19" s="44">
        <f t="array" ref="C19:C19">IFERROR(INDEX(통합!$B$1:$B$400,SMALL(IF(통합!$E$1:$E$400="7호차",ROW(통합!$E$1:$E$400)),16)),"")</f>
        <v/>
      </c>
      <c r="D19" s="44">
        <f t="array" ref="D19:D19">IFERROR(INDEX(통합!$C$1:$C$400,SMALL(IF(통합!$E$1:$E$400="7호차",ROW(통합!$E$1:$E$400)),16)),"")</f>
        <v/>
      </c>
      <c r="E19" s="44" t="n"/>
      <c r="F19" s="44" t="n"/>
      <c r="H19" s="43" t="n">
        <v>16</v>
      </c>
      <c r="I19" s="44">
        <f t="array" ref="I19:I19">IFERROR(INDEX(통합!$A$1:$A$400,SMALL(IF(통합!$F$1:$F$400="7호차",ROW(통합!$F$1:$F$400)),16)),"")</f>
        <v/>
      </c>
      <c r="J19" s="44">
        <f t="array" ref="J19:J19">IFERROR(INDEX(통합!$B$1:$B$400,SMALL(IF(통합!$F$1:$F$400="7호차",ROW(통합!$F$1:$F$400)),16)),"")</f>
        <v/>
      </c>
      <c r="K19" s="44">
        <f t="array" ref="K19:K19">IFERROR(INDEX(통합!$C$1:$C$400,SMALL(IF(통합!$F$1:$F$400="7호차",ROW(통합!$F$1:$F$400)),16)),"")</f>
        <v/>
      </c>
      <c r="L19" s="44" t="n"/>
      <c r="M19" s="44" t="n"/>
    </row>
    <row r="20" ht="21.75" customHeight="1" s="33">
      <c r="A20" s="41" t="n">
        <v>17</v>
      </c>
      <c r="B20" s="42">
        <f t="array" ref="B20:B20">IFERROR(INDEX(통합!$A$1:$A$400,SMALL(IF(통합!$E$1:$E$400="7호차",ROW(통합!$E$1:$E$400)),17)),"")</f>
        <v/>
      </c>
      <c r="C20" s="42">
        <f t="array" ref="C20:C20">IFERROR(INDEX(통합!$B$1:$B$400,SMALL(IF(통합!$E$1:$E$400="7호차",ROW(통합!$E$1:$E$400)),17)),"")</f>
        <v/>
      </c>
      <c r="D20" s="42">
        <f t="array" ref="D20:D20">IFERROR(INDEX(통합!$C$1:$C$400,SMALL(IF(통합!$E$1:$E$400="7호차",ROW(통합!$E$1:$E$400)),17)),"")</f>
        <v/>
      </c>
      <c r="E20" s="42" t="n"/>
      <c r="F20" s="42" t="n"/>
      <c r="H20" s="41" t="n">
        <v>17</v>
      </c>
      <c r="I20" s="42">
        <f t="array" ref="I20:I20">IFERROR(INDEX(통합!$A$1:$A$400,SMALL(IF(통합!$F$1:$F$400="7호차",ROW(통합!$F$1:$F$400)),17)),"")</f>
        <v/>
      </c>
      <c r="J20" s="42">
        <f t="array" ref="J20:J20">IFERROR(INDEX(통합!$B$1:$B$400,SMALL(IF(통합!$F$1:$F$400="7호차",ROW(통합!$F$1:$F$400)),17)),"")</f>
        <v/>
      </c>
      <c r="K20" s="42">
        <f t="array" ref="K20:K20">IFERROR(INDEX(통합!$C$1:$C$400,SMALL(IF(통합!$F$1:$F$400="7호차",ROW(통합!$F$1:$F$400)),17)),"")</f>
        <v/>
      </c>
      <c r="L20" s="42" t="n"/>
      <c r="M20" s="42" t="n"/>
    </row>
    <row r="21" ht="21.75" customHeight="1" s="33">
      <c r="A21" s="43" t="n">
        <v>18</v>
      </c>
      <c r="B21" s="44">
        <f t="array" ref="B21:B21">IFERROR(INDEX(통합!$A$1:$A$400,SMALL(IF(통합!$E$1:$E$400="7호차",ROW(통합!$E$1:$E$400)),18)),"")</f>
        <v/>
      </c>
      <c r="C21" s="44">
        <f t="array" ref="C21:C21">IFERROR(INDEX(통합!$B$1:$B$400,SMALL(IF(통합!$E$1:$E$400="7호차",ROW(통합!$E$1:$E$400)),18)),"")</f>
        <v/>
      </c>
      <c r="D21" s="44">
        <f t="array" ref="D21:D21">IFERROR(INDEX(통합!$C$1:$C$400,SMALL(IF(통합!$E$1:$E$400="7호차",ROW(통합!$E$1:$E$400)),18)),"")</f>
        <v/>
      </c>
      <c r="E21" s="44" t="n"/>
      <c r="F21" s="44" t="n"/>
      <c r="H21" s="43" t="n">
        <v>18</v>
      </c>
      <c r="I21" s="44">
        <f t="array" ref="I21:I21">IFERROR(INDEX(통합!$A$1:$A$400,SMALL(IF(통합!$F$1:$F$400="7호차",ROW(통합!$F$1:$F$400)),18)),"")</f>
        <v/>
      </c>
      <c r="J21" s="44">
        <f t="array" ref="J21:J21">IFERROR(INDEX(통합!$B$1:$B$400,SMALL(IF(통합!$F$1:$F$400="7호차",ROW(통합!$F$1:$F$400)),18)),"")</f>
        <v/>
      </c>
      <c r="K21" s="44">
        <f t="array" ref="K21:K21">IFERROR(INDEX(통합!$C$1:$C$400,SMALL(IF(통합!$F$1:$F$400="7호차",ROW(통합!$F$1:$F$400)),18)),"")</f>
        <v/>
      </c>
      <c r="L21" s="44" t="n"/>
      <c r="M21" s="44" t="n"/>
    </row>
    <row r="22" ht="21.75" customHeight="1" s="33">
      <c r="A22" s="41" t="n">
        <v>19</v>
      </c>
      <c r="B22" s="42">
        <f t="array" ref="B22:B22">IFERROR(INDEX(통합!$A$1:$A$400,SMALL(IF(통합!$E$1:$E$400="7호차",ROW(통합!$E$1:$E$400)),19)),"")</f>
        <v/>
      </c>
      <c r="C22" s="42">
        <f t="array" ref="C22:C22">IFERROR(INDEX(통합!$B$1:$B$400,SMALL(IF(통합!$E$1:$E$400="7호차",ROW(통합!$E$1:$E$400)),19)),"")</f>
        <v/>
      </c>
      <c r="D22" s="42">
        <f t="array" ref="D22:D22">IFERROR(INDEX(통합!$C$1:$C$400,SMALL(IF(통합!$E$1:$E$400="7호차",ROW(통합!$E$1:$E$400)),19)),"")</f>
        <v/>
      </c>
      <c r="E22" s="42" t="n"/>
      <c r="F22" s="42" t="n"/>
      <c r="H22" s="41" t="n">
        <v>19</v>
      </c>
      <c r="I22" s="42">
        <f t="array" ref="I22:I22">IFERROR(INDEX(통합!$A$1:$A$400,SMALL(IF(통합!$F$1:$F$400="7호차",ROW(통합!$F$1:$F$400)),19)),"")</f>
        <v/>
      </c>
      <c r="J22" s="42">
        <f t="array" ref="J22:J22">IFERROR(INDEX(통합!$B$1:$B$400,SMALL(IF(통합!$F$1:$F$400="7호차",ROW(통합!$F$1:$F$400)),19)),"")</f>
        <v/>
      </c>
      <c r="K22" s="42">
        <f t="array" ref="K22:K22">IFERROR(INDEX(통합!$C$1:$C$400,SMALL(IF(통합!$F$1:$F$400="7호차",ROW(통합!$F$1:$F$400)),19)),"")</f>
        <v/>
      </c>
      <c r="L22" s="42" t="n"/>
      <c r="M22" s="42" t="n"/>
    </row>
    <row r="23" ht="21.75" customHeight="1" s="33">
      <c r="A23" s="43" t="n">
        <v>20</v>
      </c>
      <c r="B23" s="44">
        <f t="array" ref="B23:B23">IFERROR(INDEX(통합!$A$1:$A$400,SMALL(IF(통합!$E$1:$E$400="7호차",ROW(통합!$E$1:$E$400)),20)),"")</f>
        <v/>
      </c>
      <c r="C23" s="44">
        <f t="array" ref="C23:C23">IFERROR(INDEX(통합!$B$1:$B$400,SMALL(IF(통합!$E$1:$E$400="7호차",ROW(통합!$E$1:$E$400)),20)),"")</f>
        <v/>
      </c>
      <c r="D23" s="44">
        <f t="array" ref="D23:D23">IFERROR(INDEX(통합!$C$1:$C$400,SMALL(IF(통합!$E$1:$E$400="7호차",ROW(통합!$E$1:$E$400)),20)),"")</f>
        <v/>
      </c>
      <c r="E23" s="44" t="n"/>
      <c r="F23" s="44" t="n"/>
      <c r="H23" s="43" t="n">
        <v>20</v>
      </c>
      <c r="I23" s="44">
        <f t="array" ref="I23:I23">IFERROR(INDEX(통합!$A$1:$A$400,SMALL(IF(통합!$F$1:$F$400="7호차",ROW(통합!$F$1:$F$400)),20)),"")</f>
        <v/>
      </c>
      <c r="J23" s="44">
        <f t="array" ref="J23:J23">IFERROR(INDEX(통합!$B$1:$B$400,SMALL(IF(통합!$F$1:$F$400="7호차",ROW(통합!$F$1:$F$400)),20)),"")</f>
        <v/>
      </c>
      <c r="K23" s="44">
        <f t="array" ref="K23:K23">IFERROR(INDEX(통합!$C$1:$C$400,SMALL(IF(통합!$F$1:$F$400="7호차",ROW(통합!$F$1:$F$400)),20)),"")</f>
        <v/>
      </c>
      <c r="L23" s="44" t="n"/>
      <c r="M23" s="44" t="n"/>
    </row>
    <row r="24" ht="21.75" customHeight="1" s="33">
      <c r="A24" s="41" t="n">
        <v>21</v>
      </c>
      <c r="B24" s="42">
        <f t="array" ref="B24:B24">IFERROR(INDEX(통합!$A$1:$A$400,SMALL(IF(통합!$E$1:$E$400="7호차",ROW(통합!$E$1:$E$400)),21)),"")</f>
        <v/>
      </c>
      <c r="C24" s="42">
        <f t="array" ref="C24:C24">IFERROR(INDEX(통합!$B$1:$B$400,SMALL(IF(통합!$E$1:$E$400="7호차",ROW(통합!$E$1:$E$400)),21)),"")</f>
        <v/>
      </c>
      <c r="D24" s="42">
        <f t="array" ref="D24:D24">IFERROR(INDEX(통합!$C$1:$C$400,SMALL(IF(통합!$E$1:$E$400="7호차",ROW(통합!$E$1:$E$400)),21)),"")</f>
        <v/>
      </c>
      <c r="E24" s="42" t="n"/>
      <c r="F24" s="42" t="n"/>
      <c r="H24" s="41" t="n">
        <v>21</v>
      </c>
      <c r="I24" s="42">
        <f t="array" ref="I24:I24">IFERROR(INDEX(통합!$A$1:$A$400,SMALL(IF(통합!$F$1:$F$400="7호차",ROW(통합!$F$1:$F$400)),21)),"")</f>
        <v/>
      </c>
      <c r="J24" s="42">
        <f t="array" ref="J24:J24">IFERROR(INDEX(통합!$B$1:$B$400,SMALL(IF(통합!$F$1:$F$400="7호차",ROW(통합!$F$1:$F$400)),21)),"")</f>
        <v/>
      </c>
      <c r="K24" s="42">
        <f t="array" ref="K24:K24">IFERROR(INDEX(통합!$C$1:$C$400,SMALL(IF(통합!$F$1:$F$400="7호차",ROW(통합!$F$1:$F$400)),21)),"")</f>
        <v/>
      </c>
      <c r="L24" s="42" t="n"/>
      <c r="M24" s="42" t="n"/>
    </row>
    <row r="25" ht="21.75" customHeight="1" s="33">
      <c r="A25" s="43" t="n">
        <v>22</v>
      </c>
      <c r="B25" s="44">
        <f t="array" ref="B25:B25">IFERROR(INDEX(통합!$A$1:$A$400,SMALL(IF(통합!$E$1:$E$400="7호차",ROW(통합!$E$1:$E$400)),22)),"")</f>
        <v/>
      </c>
      <c r="C25" s="44">
        <f t="array" ref="C25:C25">IFERROR(INDEX(통합!$B$1:$B$400,SMALL(IF(통합!$E$1:$E$400="7호차",ROW(통합!$E$1:$E$400)),22)),"")</f>
        <v/>
      </c>
      <c r="D25" s="44">
        <f t="array" ref="D25:D25">IFERROR(INDEX(통합!$C$1:$C$400,SMALL(IF(통합!$E$1:$E$400="7호차",ROW(통합!$E$1:$E$400)),22)),"")</f>
        <v/>
      </c>
      <c r="E25" s="44" t="n"/>
      <c r="F25" s="44" t="n"/>
      <c r="H25" s="43" t="n">
        <v>22</v>
      </c>
      <c r="I25" s="44">
        <f t="array" ref="I25:I25">IFERROR(INDEX(통합!$A$1:$A$400,SMALL(IF(통합!$F$1:$F$400="7호차",ROW(통합!$F$1:$F$400)),22)),"")</f>
        <v/>
      </c>
      <c r="J25" s="44">
        <f t="array" ref="J25:J25">IFERROR(INDEX(통합!$B$1:$B$400,SMALL(IF(통합!$F$1:$F$400="7호차",ROW(통합!$F$1:$F$400)),22)),"")</f>
        <v/>
      </c>
      <c r="K25" s="44">
        <f t="array" ref="K25:K25">IFERROR(INDEX(통합!$C$1:$C$400,SMALL(IF(통합!$F$1:$F$400="7호차",ROW(통합!$F$1:$F$400)),22)),"")</f>
        <v/>
      </c>
      <c r="L25" s="44" t="n"/>
      <c r="M25" s="44" t="n"/>
    </row>
    <row r="26" ht="21.75" customHeight="1" s="33">
      <c r="A26" s="41" t="n">
        <v>23</v>
      </c>
      <c r="B26" s="42">
        <f t="array" ref="B26:B26">IFERROR(INDEX(통합!$A$1:$A$400,SMALL(IF(통합!$E$1:$E$400="7호차",ROW(통합!$E$1:$E$400)),23)),"")</f>
        <v/>
      </c>
      <c r="C26" s="42">
        <f t="array" ref="C26:C26">IFERROR(INDEX(통합!$B$1:$B$400,SMALL(IF(통합!$E$1:$E$400="7호차",ROW(통합!$E$1:$E$400)),23)),"")</f>
        <v/>
      </c>
      <c r="D26" s="42">
        <f t="array" ref="D26:D26">IFERROR(INDEX(통합!$C$1:$C$400,SMALL(IF(통합!$E$1:$E$400="7호차",ROW(통합!$E$1:$E$400)),23)),"")</f>
        <v/>
      </c>
      <c r="E26" s="42" t="n"/>
      <c r="F26" s="42" t="n"/>
      <c r="H26" s="41" t="n">
        <v>23</v>
      </c>
      <c r="I26" s="42">
        <f t="array" ref="I26:I26">IFERROR(INDEX(통합!$A$1:$A$400,SMALL(IF(통합!$F$1:$F$400="7호차",ROW(통합!$F$1:$F$400)),23)),"")</f>
        <v/>
      </c>
      <c r="J26" s="42">
        <f t="array" ref="J26:J26">IFERROR(INDEX(통합!$B$1:$B$400,SMALL(IF(통합!$F$1:$F$400="7호차",ROW(통합!$F$1:$F$400)),23)),"")</f>
        <v/>
      </c>
      <c r="K26" s="42">
        <f t="array" ref="K26:K26">IFERROR(INDEX(통합!$C$1:$C$400,SMALL(IF(통합!$F$1:$F$400="7호차",ROW(통합!$F$1:$F$400)),23)),"")</f>
        <v/>
      </c>
      <c r="L26" s="42" t="n"/>
      <c r="M26" s="42" t="n"/>
    </row>
    <row r="27" ht="21.75" customHeight="1" s="33">
      <c r="A27" s="43" t="n">
        <v>24</v>
      </c>
      <c r="B27" s="44">
        <f t="array" ref="B27:B27">IFERROR(INDEX(통합!$A$1:$A$400,SMALL(IF(통합!$E$1:$E$400="7호차",ROW(통합!$E$1:$E$400)),24)),"")</f>
        <v/>
      </c>
      <c r="C27" s="44">
        <f t="array" ref="C27:C27">IFERROR(INDEX(통합!$B$1:$B$400,SMALL(IF(통합!$E$1:$E$400="7호차",ROW(통합!$E$1:$E$400)),24)),"")</f>
        <v/>
      </c>
      <c r="D27" s="44">
        <f t="array" ref="D27:D27">IFERROR(INDEX(통합!$C$1:$C$400,SMALL(IF(통합!$E$1:$E$400="7호차",ROW(통합!$E$1:$E$400)),24)),"")</f>
        <v/>
      </c>
      <c r="E27" s="44" t="n"/>
      <c r="F27" s="44" t="n"/>
      <c r="H27" s="43" t="n">
        <v>24</v>
      </c>
      <c r="I27" s="44">
        <f t="array" ref="I27:I27">IFERROR(INDEX(통합!$A$1:$A$400,SMALL(IF(통합!$F$1:$F$400="7호차",ROW(통합!$F$1:$F$400)),24)),"")</f>
        <v/>
      </c>
      <c r="J27" s="44">
        <f t="array" ref="J27:J27">IFERROR(INDEX(통합!$B$1:$B$400,SMALL(IF(통합!$F$1:$F$400="7호차",ROW(통합!$F$1:$F$400)),24)),"")</f>
        <v/>
      </c>
      <c r="K27" s="44">
        <f t="array" ref="K27:K27">IFERROR(INDEX(통합!$C$1:$C$400,SMALL(IF(통합!$F$1:$F$400="7호차",ROW(통합!$F$1:$F$400)),24)),"")</f>
        <v/>
      </c>
      <c r="L27" s="44" t="n"/>
      <c r="M27" s="44" t="n"/>
    </row>
    <row r="28" ht="21.75" customHeight="1" s="33">
      <c r="A28" s="41" t="n">
        <v>25</v>
      </c>
      <c r="B28" s="42">
        <f t="array" ref="B28:B28">IFERROR(INDEX(통합!$A$1:$A$400,SMALL(IF(통합!$E$1:$E$400="7호차",ROW(통합!$E$1:$E$400)),25)),"")</f>
        <v/>
      </c>
      <c r="C28" s="42">
        <f t="array" ref="C28:C28">IFERROR(INDEX(통합!$B$1:$B$400,SMALL(IF(통합!$E$1:$E$400="7호차",ROW(통합!$E$1:$E$400)),25)),"")</f>
        <v/>
      </c>
      <c r="D28" s="42">
        <f t="array" ref="D28:D28">IFERROR(INDEX(통합!$C$1:$C$400,SMALL(IF(통합!$E$1:$E$400="7호차",ROW(통합!$E$1:$E$400)),25)),"")</f>
        <v/>
      </c>
      <c r="E28" s="42" t="n"/>
      <c r="F28" s="42" t="n"/>
      <c r="H28" s="41" t="n">
        <v>25</v>
      </c>
      <c r="I28" s="42">
        <f t="array" ref="I28:I28">IFERROR(INDEX(통합!$A$1:$A$400,SMALL(IF(통합!$F$1:$F$400="7호차",ROW(통합!$F$1:$F$400)),25)),"")</f>
        <v/>
      </c>
      <c r="J28" s="42">
        <f t="array" ref="J28:J28">IFERROR(INDEX(통합!$B$1:$B$400,SMALL(IF(통합!$F$1:$F$400="7호차",ROW(통합!$F$1:$F$400)),25)),"")</f>
        <v/>
      </c>
      <c r="K28" s="42">
        <f t="array" ref="K28:K28">IFERROR(INDEX(통합!$C$1:$C$400,SMALL(IF(통합!$F$1:$F$400="7호차",ROW(통합!$F$1:$F$400)),25)),"")</f>
        <v/>
      </c>
      <c r="L28" s="42" t="n"/>
      <c r="M28" s="42" t="n"/>
    </row>
    <row r="29" ht="21.75" customHeight="1" s="33">
      <c r="A29" s="43" t="n">
        <v>26</v>
      </c>
      <c r="B29" s="44">
        <f t="array" ref="B29:B29">IFERROR(INDEX(통합!$A$1:$A$400,SMALL(IF(통합!$E$1:$E$400="7호차",ROW(통합!$E$1:$E$400)),26)),"")</f>
        <v/>
      </c>
      <c r="C29" s="44">
        <f t="array" ref="C29:C29">IFERROR(INDEX(통합!$B$1:$B$400,SMALL(IF(통합!$E$1:$E$400="7호차",ROW(통합!$E$1:$E$400)),26)),"")</f>
        <v/>
      </c>
      <c r="D29" s="44">
        <f t="array" ref="D29:D29">IFERROR(INDEX(통합!$C$1:$C$400,SMALL(IF(통합!$E$1:$E$400="7호차",ROW(통합!$E$1:$E$400)),26)),"")</f>
        <v/>
      </c>
      <c r="E29" s="44" t="n"/>
      <c r="F29" s="44" t="n"/>
      <c r="H29" s="43" t="n">
        <v>26</v>
      </c>
      <c r="I29" s="44">
        <f t="array" ref="I29:I29">IFERROR(INDEX(통합!$A$1:$A$400,SMALL(IF(통합!$F$1:$F$400="7호차",ROW(통합!$F$1:$F$400)),26)),"")</f>
        <v/>
      </c>
      <c r="J29" s="44">
        <f t="array" ref="J29:J29">IFERROR(INDEX(통합!$B$1:$B$400,SMALL(IF(통합!$F$1:$F$400="7호차",ROW(통합!$F$1:$F$400)),26)),"")</f>
        <v/>
      </c>
      <c r="K29" s="44">
        <f t="array" ref="K29:K29">IFERROR(INDEX(통합!$C$1:$C$400,SMALL(IF(통합!$F$1:$F$400="7호차",ROW(통합!$F$1:$F$400)),26)),"")</f>
        <v/>
      </c>
      <c r="L29" s="44" t="n"/>
      <c r="M29" s="44" t="n"/>
    </row>
    <row r="30" ht="21.75" customHeight="1" s="33">
      <c r="A30" s="41" t="n">
        <v>27</v>
      </c>
      <c r="B30" s="42">
        <f t="array" ref="B30:B30">IFERROR(INDEX(통합!$A$1:$A$400,SMALL(IF(통합!$E$1:$E$400="7호차",ROW(통합!$E$1:$E$400)),27)),"")</f>
        <v/>
      </c>
      <c r="C30" s="42">
        <f t="array" ref="C30:C30">IFERROR(INDEX(통합!$B$1:$B$400,SMALL(IF(통합!$E$1:$E$400="7호차",ROW(통합!$E$1:$E$400)),27)),"")</f>
        <v/>
      </c>
      <c r="D30" s="42">
        <f t="array" ref="D30:D30">IFERROR(INDEX(통합!$C$1:$C$400,SMALL(IF(통합!$E$1:$E$400="7호차",ROW(통합!$E$1:$E$400)),27)),"")</f>
        <v/>
      </c>
      <c r="E30" s="42" t="n"/>
      <c r="F30" s="42" t="n"/>
      <c r="H30" s="41" t="n">
        <v>27</v>
      </c>
      <c r="I30" s="42">
        <f t="array" ref="I30:I30">IFERROR(INDEX(통합!$A$1:$A$400,SMALL(IF(통합!$F$1:$F$400="7호차",ROW(통합!$F$1:$F$400)),27)),"")</f>
        <v/>
      </c>
      <c r="J30" s="42">
        <f t="array" ref="J30:J30">IFERROR(INDEX(통합!$B$1:$B$400,SMALL(IF(통합!$F$1:$F$400="7호차",ROW(통합!$F$1:$F$400)),27)),"")</f>
        <v/>
      </c>
      <c r="K30" s="42">
        <f t="array" ref="K30:K30">IFERROR(INDEX(통합!$C$1:$C$400,SMALL(IF(통합!$F$1:$F$400="7호차",ROW(통합!$F$1:$F$400)),27)),"")</f>
        <v/>
      </c>
      <c r="L30" s="42" t="n"/>
      <c r="M30" s="42" t="n"/>
    </row>
    <row r="31" ht="21.75" customHeight="1" s="33">
      <c r="A31" s="43" t="n">
        <v>28</v>
      </c>
      <c r="B31" s="44">
        <f t="array" ref="B31:B31">IFERROR(INDEX(통합!$A$1:$A$400,SMALL(IF(통합!$E$1:$E$400="7호차",ROW(통합!$E$1:$E$400)),28)),"")</f>
        <v/>
      </c>
      <c r="C31" s="44">
        <f t="array" ref="C31:C31">IFERROR(INDEX(통합!$B$1:$B$400,SMALL(IF(통합!$E$1:$E$400="7호차",ROW(통합!$E$1:$E$400)),28)),"")</f>
        <v/>
      </c>
      <c r="D31" s="44">
        <f t="array" ref="D31:D31">IFERROR(INDEX(통합!$C$1:$C$400,SMALL(IF(통합!$E$1:$E$400="7호차",ROW(통합!$E$1:$E$400)),28)),"")</f>
        <v/>
      </c>
      <c r="E31" s="44" t="n"/>
      <c r="F31" s="44" t="n"/>
      <c r="H31" s="43" t="n">
        <v>28</v>
      </c>
      <c r="I31" s="44">
        <f t="array" ref="I31:I31">IFERROR(INDEX(통합!$A$1:$A$400,SMALL(IF(통합!$F$1:$F$400="7호차",ROW(통합!$F$1:$F$400)),28)),"")</f>
        <v/>
      </c>
      <c r="J31" s="44">
        <f t="array" ref="J31:J31">IFERROR(INDEX(통합!$B$1:$B$400,SMALL(IF(통합!$F$1:$F$400="7호차",ROW(통합!$F$1:$F$400)),28)),"")</f>
        <v/>
      </c>
      <c r="K31" s="44">
        <f t="array" ref="K31:K31">IFERROR(INDEX(통합!$C$1:$C$400,SMALL(IF(통합!$F$1:$F$400="7호차",ROW(통합!$F$1:$F$400)),28)),"")</f>
        <v/>
      </c>
      <c r="L31" s="44" t="n"/>
      <c r="M31" s="44" t="n"/>
    </row>
    <row r="32" ht="21.75" customHeight="1" s="33">
      <c r="A32" s="41" t="n">
        <v>29</v>
      </c>
      <c r="B32" s="42">
        <f t="array" ref="B32:B32">IFERROR(INDEX(통합!$A$1:$A$400,SMALL(IF(통합!$E$1:$E$400="7호차",ROW(통합!$E$1:$E$400)),29)),"")</f>
        <v/>
      </c>
      <c r="C32" s="42">
        <f t="array" ref="C32:C32">IFERROR(INDEX(통합!$B$1:$B$400,SMALL(IF(통합!$E$1:$E$400="7호차",ROW(통합!$E$1:$E$400)),29)),"")</f>
        <v/>
      </c>
      <c r="D32" s="42">
        <f t="array" ref="D32:D32">IFERROR(INDEX(통합!$C$1:$C$400,SMALL(IF(통합!$E$1:$E$400="7호차",ROW(통합!$E$1:$E$400)),29)),"")</f>
        <v/>
      </c>
      <c r="E32" s="42" t="n"/>
      <c r="F32" s="42" t="n"/>
      <c r="H32" s="41" t="n">
        <v>29</v>
      </c>
      <c r="I32" s="42">
        <f t="array" ref="I32:I32">IFERROR(INDEX(통합!$A$1:$A$400,SMALL(IF(통합!$F$1:$F$400="7호차",ROW(통합!$F$1:$F$400)),29)),"")</f>
        <v/>
      </c>
      <c r="J32" s="42">
        <f t="array" ref="J32:J32">IFERROR(INDEX(통합!$B$1:$B$400,SMALL(IF(통합!$F$1:$F$400="7호차",ROW(통합!$F$1:$F$400)),29)),"")</f>
        <v/>
      </c>
      <c r="K32" s="42">
        <f t="array" ref="K32:K32">IFERROR(INDEX(통합!$C$1:$C$400,SMALL(IF(통합!$F$1:$F$400="7호차",ROW(통합!$F$1:$F$400)),29)),"")</f>
        <v/>
      </c>
      <c r="L32" s="42" t="n"/>
      <c r="M32" s="42" t="n"/>
    </row>
    <row r="33" ht="21.75" customHeight="1" s="33">
      <c r="A33" s="43" t="n">
        <v>30</v>
      </c>
      <c r="B33" s="44">
        <f t="array" ref="B33:B33">IFERROR(INDEX(통합!$A$1:$A$400,SMALL(IF(통합!$E$1:$E$400="7호차",ROW(통합!$E$1:$E$400)),30)),"")</f>
        <v/>
      </c>
      <c r="C33" s="44">
        <f t="array" ref="C33:C33">IFERROR(INDEX(통합!$B$1:$B$400,SMALL(IF(통합!$E$1:$E$400="7호차",ROW(통합!$E$1:$E$400)),30)),"")</f>
        <v/>
      </c>
      <c r="D33" s="44">
        <f t="array" ref="D33:D33">IFERROR(INDEX(통합!$C$1:$C$400,SMALL(IF(통합!$E$1:$E$400="7호차",ROW(통합!$E$1:$E$400)),30)),"")</f>
        <v/>
      </c>
      <c r="E33" s="44" t="n"/>
      <c r="F33" s="44" t="n"/>
      <c r="H33" s="43" t="n">
        <v>30</v>
      </c>
      <c r="I33" s="44">
        <f t="array" ref="I33:I33">IFERROR(INDEX(통합!$A$1:$A$400,SMALL(IF(통합!$F$1:$F$400="7호차",ROW(통합!$F$1:$F$400)),30)),"")</f>
        <v/>
      </c>
      <c r="J33" s="44">
        <f t="array" ref="J33:J33">IFERROR(INDEX(통합!$B$1:$B$400,SMALL(IF(통합!$F$1:$F$400="7호차",ROW(통합!$F$1:$F$400)),30)),"")</f>
        <v/>
      </c>
      <c r="K33" s="44">
        <f t="array" ref="K33:K33">IFERROR(INDEX(통합!$C$1:$C$400,SMALL(IF(통합!$F$1:$F$400="7호차",ROW(통합!$F$1:$F$400)),30)),"")</f>
        <v/>
      </c>
      <c r="L33" s="44" t="n"/>
      <c r="M33" s="44" t="n"/>
    </row>
    <row r="34" ht="21.75" customHeight="1" s="33">
      <c r="A34" s="41" t="n">
        <v>31</v>
      </c>
      <c r="B34" s="42">
        <f t="array" ref="B34:B34">IFERROR(INDEX(통합!$A$1:$A$400,SMALL(IF(통합!$E$1:$E$400="7호차",ROW(통합!$E$1:$E$400)),31)),"")</f>
        <v/>
      </c>
      <c r="C34" s="42">
        <f t="array" ref="C34:C34">IFERROR(INDEX(통합!$B$1:$B$400,SMALL(IF(통합!$E$1:$E$400="7호차",ROW(통합!$E$1:$E$400)),31)),"")</f>
        <v/>
      </c>
      <c r="D34" s="42">
        <f t="array" ref="D34:D34">IFERROR(INDEX(통합!$C$1:$C$400,SMALL(IF(통합!$E$1:$E$400="7호차",ROW(통합!$E$1:$E$400)),31)),"")</f>
        <v/>
      </c>
      <c r="E34" s="42" t="n"/>
      <c r="F34" s="42" t="n"/>
      <c r="H34" s="41" t="n">
        <v>31</v>
      </c>
      <c r="I34" s="42">
        <f t="array" ref="I34:I34">IFERROR(INDEX(통합!$A$1:$A$400,SMALL(IF(통합!$F$1:$F$400="7호차",ROW(통합!$F$1:$F$400)),31)),"")</f>
        <v/>
      </c>
      <c r="J34" s="42">
        <f t="array" ref="J34:J34">IFERROR(INDEX(통합!$B$1:$B$400,SMALL(IF(통합!$F$1:$F$400="7호차",ROW(통합!$F$1:$F$400)),31)),"")</f>
        <v/>
      </c>
      <c r="K34" s="42">
        <f t="array" ref="K34:K34">IFERROR(INDEX(통합!$C$1:$C$400,SMALL(IF(통합!$F$1:$F$400="7호차",ROW(통합!$F$1:$F$400)),31)),"")</f>
        <v/>
      </c>
      <c r="L34" s="42" t="n"/>
      <c r="M34" s="42" t="n"/>
    </row>
    <row r="35" ht="21.75" customHeight="1" s="33">
      <c r="A35" s="43" t="n">
        <v>32</v>
      </c>
      <c r="B35" s="44">
        <f t="array" ref="B35:B35">IFERROR(INDEX(통합!$A$1:$A$400,SMALL(IF(통합!$E$1:$E$400="7호차",ROW(통합!$E$1:$E$400)),32)),"")</f>
        <v/>
      </c>
      <c r="C35" s="44">
        <f t="array" ref="C35:C35">IFERROR(INDEX(통합!$B$1:$B$400,SMALL(IF(통합!$E$1:$E$400="7호차",ROW(통합!$E$1:$E$400)),32)),"")</f>
        <v/>
      </c>
      <c r="D35" s="44">
        <f t="array" ref="D35:D35">IFERROR(INDEX(통합!$C$1:$C$400,SMALL(IF(통합!$E$1:$E$400="7호차",ROW(통합!$E$1:$E$400)),32)),"")</f>
        <v/>
      </c>
      <c r="E35" s="44" t="n"/>
      <c r="F35" s="44" t="n"/>
      <c r="H35" s="43" t="n">
        <v>32</v>
      </c>
      <c r="I35" s="44">
        <f t="array" ref="I35:I35">IFERROR(INDEX(통합!$A$1:$A$400,SMALL(IF(통합!$F$1:$F$400="7호차",ROW(통합!$F$1:$F$400)),32)),"")</f>
        <v/>
      </c>
      <c r="J35" s="44">
        <f t="array" ref="J35:J35">IFERROR(INDEX(통합!$B$1:$B$400,SMALL(IF(통합!$F$1:$F$400="7호차",ROW(통합!$F$1:$F$400)),32)),"")</f>
        <v/>
      </c>
      <c r="K35" s="44">
        <f t="array" ref="K35:K35">IFERROR(INDEX(통합!$C$1:$C$400,SMALL(IF(통합!$F$1:$F$400="7호차",ROW(통합!$F$1:$F$400)),32)),"")</f>
        <v/>
      </c>
      <c r="L35" s="44" t="n"/>
      <c r="M35" s="44" t="n"/>
    </row>
    <row r="36" ht="21.75" customHeight="1" s="33">
      <c r="A36" s="41" t="n">
        <v>33</v>
      </c>
      <c r="B36" s="42">
        <f t="array" ref="B36:B36">IFERROR(INDEX(통합!$A$1:$A$400,SMALL(IF(통합!$E$1:$E$400="7호차",ROW(통합!$E$1:$E$400)),33)),"")</f>
        <v/>
      </c>
      <c r="C36" s="42">
        <f t="array" ref="C36:C36">IFERROR(INDEX(통합!$B$1:$B$400,SMALL(IF(통합!$E$1:$E$400="7호차",ROW(통합!$E$1:$E$400)),33)),"")</f>
        <v/>
      </c>
      <c r="D36" s="42">
        <f t="array" ref="D36:D36">IFERROR(INDEX(통합!$C$1:$C$400,SMALL(IF(통합!$E$1:$E$400="7호차",ROW(통합!$E$1:$E$400)),33)),"")</f>
        <v/>
      </c>
      <c r="E36" s="42" t="n"/>
      <c r="F36" s="42" t="n"/>
      <c r="H36" s="41" t="n">
        <v>33</v>
      </c>
      <c r="I36" s="42">
        <f t="array" ref="I36:I36">IFERROR(INDEX(통합!$A$1:$A$400,SMALL(IF(통합!$F$1:$F$400="7호차",ROW(통합!$F$1:$F$400)),33)),"")</f>
        <v/>
      </c>
      <c r="J36" s="42">
        <f t="array" ref="J36:J36">IFERROR(INDEX(통합!$B$1:$B$400,SMALL(IF(통합!$F$1:$F$400="7호차",ROW(통합!$F$1:$F$400)),33)),"")</f>
        <v/>
      </c>
      <c r="K36" s="42">
        <f t="array" ref="K36:K36">IFERROR(INDEX(통합!$C$1:$C$400,SMALL(IF(통합!$F$1:$F$400="7호차",ROW(통합!$F$1:$F$400)),33)),"")</f>
        <v/>
      </c>
      <c r="L36" s="42" t="n"/>
      <c r="M36" s="42" t="n"/>
    </row>
    <row r="37" ht="21.75" customHeight="1" s="33">
      <c r="A37" s="43" t="n">
        <v>34</v>
      </c>
      <c r="B37" s="44">
        <f t="array" ref="B37:B37">IFERROR(INDEX(통합!$A$1:$A$400,SMALL(IF(통합!$E$1:$E$400="7호차",ROW(통합!$E$1:$E$400)),34)),"")</f>
        <v/>
      </c>
      <c r="C37" s="44">
        <f t="array" ref="C37:C37">IFERROR(INDEX(통합!$B$1:$B$400,SMALL(IF(통합!$E$1:$E$400="7호차",ROW(통합!$E$1:$E$400)),34)),"")</f>
        <v/>
      </c>
      <c r="D37" s="44">
        <f t="array" ref="D37:D37">IFERROR(INDEX(통합!$C$1:$C$400,SMALL(IF(통합!$E$1:$E$400="7호차",ROW(통합!$E$1:$E$400)),34)),"")</f>
        <v/>
      </c>
      <c r="E37" s="44" t="n"/>
      <c r="F37" s="44" t="n"/>
      <c r="H37" s="43" t="n">
        <v>34</v>
      </c>
      <c r="I37" s="44">
        <f t="array" ref="I37:I37">IFERROR(INDEX(통합!$A$1:$A$400,SMALL(IF(통합!$F$1:$F$400="7호차",ROW(통합!$F$1:$F$400)),34)),"")</f>
        <v/>
      </c>
      <c r="J37" s="44">
        <f t="array" ref="J37:J37">IFERROR(INDEX(통합!$B$1:$B$400,SMALL(IF(통합!$F$1:$F$400="7호차",ROW(통합!$F$1:$F$400)),34)),"")</f>
        <v/>
      </c>
      <c r="K37" s="44">
        <f t="array" ref="K37:K37">IFERROR(INDEX(통합!$C$1:$C$400,SMALL(IF(통합!$F$1:$F$400="7호차",ROW(통합!$F$1:$F$400)),34)),"")</f>
        <v/>
      </c>
      <c r="L37" s="44" t="n"/>
      <c r="M37" s="44" t="n"/>
    </row>
    <row r="38" ht="21.75" customHeight="1" s="33">
      <c r="A38" s="41" t="n">
        <v>35</v>
      </c>
      <c r="B38" s="42">
        <f t="array" ref="B38:B38">IFERROR(INDEX(통합!$A$1:$A$400,SMALL(IF(통합!$E$1:$E$400="7호차",ROW(통합!$E$1:$E$400)),35)),"")</f>
        <v/>
      </c>
      <c r="C38" s="42">
        <f t="array" ref="C38:C38">IFERROR(INDEX(통합!$B$1:$B$400,SMALL(IF(통합!$E$1:$E$400="7호차",ROW(통합!$E$1:$E$400)),35)),"")</f>
        <v/>
      </c>
      <c r="D38" s="42">
        <f t="array" ref="D38:D38">IFERROR(INDEX(통합!$C$1:$C$400,SMALL(IF(통합!$E$1:$E$400="7호차",ROW(통합!$E$1:$E$400)),35)),"")</f>
        <v/>
      </c>
      <c r="E38" s="42" t="n"/>
      <c r="F38" s="42" t="n"/>
      <c r="H38" s="41" t="n">
        <v>35</v>
      </c>
      <c r="I38" s="42">
        <f t="array" ref="I38:I38">IFERROR(INDEX(통합!$A$1:$A$400,SMALL(IF(통합!$F$1:$F$400="7호차",ROW(통합!$F$1:$F$400)),35)),"")</f>
        <v/>
      </c>
      <c r="J38" s="42">
        <f t="array" ref="J38:J38">IFERROR(INDEX(통합!$B$1:$B$400,SMALL(IF(통합!$F$1:$F$400="7호차",ROW(통합!$F$1:$F$400)),35)),"")</f>
        <v/>
      </c>
      <c r="K38" s="42">
        <f t="array" ref="K38:K38">IFERROR(INDEX(통합!$C$1:$C$400,SMALL(IF(통합!$F$1:$F$400="7호차",ROW(통합!$F$1:$F$400)),35)),"")</f>
        <v/>
      </c>
      <c r="L38" s="42" t="n"/>
      <c r="M38" s="42" t="n"/>
    </row>
    <row r="39" ht="21.75" customHeight="1" s="33">
      <c r="A39" s="43" t="n">
        <v>36</v>
      </c>
      <c r="B39" s="44">
        <f t="array" ref="B39:B39">IFERROR(INDEX(통합!$A$1:$A$400,SMALL(IF(통합!$E$1:$E$400="7호차",ROW(통합!$E$1:$E$400)),36)),"")</f>
        <v/>
      </c>
      <c r="C39" s="44">
        <f t="array" ref="C39:C39">IFERROR(INDEX(통합!$B$1:$B$400,SMALL(IF(통합!$E$1:$E$400="7호차",ROW(통합!$E$1:$E$400)),36)),"")</f>
        <v/>
      </c>
      <c r="D39" s="44">
        <f t="array" ref="D39:D39">IFERROR(INDEX(통합!$C$1:$C$400,SMALL(IF(통합!$E$1:$E$400="7호차",ROW(통합!$E$1:$E$400)),36)),"")</f>
        <v/>
      </c>
      <c r="E39" s="44" t="n"/>
      <c r="F39" s="44" t="n"/>
      <c r="H39" s="43" t="n">
        <v>36</v>
      </c>
      <c r="I39" s="44">
        <f t="array" ref="I39:I39">IFERROR(INDEX(통합!$A$1:$A$400,SMALL(IF(통합!$F$1:$F$400="7호차",ROW(통합!$F$1:$F$400)),36)),"")</f>
        <v/>
      </c>
      <c r="J39" s="44">
        <f t="array" ref="J39:J39">IFERROR(INDEX(통합!$B$1:$B$400,SMALL(IF(통합!$F$1:$F$400="7호차",ROW(통합!$F$1:$F$400)),36)),"")</f>
        <v/>
      </c>
      <c r="K39" s="44">
        <f t="array" ref="K39:K39">IFERROR(INDEX(통합!$C$1:$C$400,SMALL(IF(통합!$F$1:$F$400="7호차",ROW(통합!$F$1:$F$400)),36)),"")</f>
        <v/>
      </c>
      <c r="L39" s="44" t="n"/>
      <c r="M39" s="44" t="n"/>
    </row>
    <row r="40" ht="21.75" customHeight="1" s="33">
      <c r="A40" s="41" t="n">
        <v>37</v>
      </c>
      <c r="B40" s="42">
        <f t="array" ref="B40:B40">IFERROR(INDEX(통합!$A$1:$A$400,SMALL(IF(통합!$E$1:$E$400="7호차",ROW(통합!$E$1:$E$400)),37)),"")</f>
        <v/>
      </c>
      <c r="C40" s="42">
        <f t="array" ref="C40:C40">IFERROR(INDEX(통합!$B$1:$B$400,SMALL(IF(통합!$E$1:$E$400="7호차",ROW(통합!$E$1:$E$400)),37)),"")</f>
        <v/>
      </c>
      <c r="D40" s="42">
        <f t="array" ref="D40:D40">IFERROR(INDEX(통합!$C$1:$C$400,SMALL(IF(통합!$E$1:$E$400="7호차",ROW(통합!$E$1:$E$400)),37)),"")</f>
        <v/>
      </c>
      <c r="E40" s="42" t="n"/>
      <c r="F40" s="42" t="n"/>
      <c r="H40" s="41" t="n">
        <v>37</v>
      </c>
      <c r="I40" s="42">
        <f t="array" ref="I40:I40">IFERROR(INDEX(통합!$A$1:$A$400,SMALL(IF(통합!$F$1:$F$400="7호차",ROW(통합!$F$1:$F$400)),37)),"")</f>
        <v/>
      </c>
      <c r="J40" s="42">
        <f t="array" ref="J40:J40">IFERROR(INDEX(통합!$B$1:$B$400,SMALL(IF(통합!$F$1:$F$400="7호차",ROW(통합!$F$1:$F$400)),37)),"")</f>
        <v/>
      </c>
      <c r="K40" s="42">
        <f t="array" ref="K40:K40">IFERROR(INDEX(통합!$C$1:$C$400,SMALL(IF(통합!$F$1:$F$400="7호차",ROW(통합!$F$1:$F$400)),37)),"")</f>
        <v/>
      </c>
      <c r="L40" s="42" t="n"/>
      <c r="M40" s="42" t="n"/>
    </row>
    <row r="41" ht="21.75" customHeight="1" s="33">
      <c r="A41" s="43" t="n">
        <v>38</v>
      </c>
      <c r="B41" s="44">
        <f t="array" ref="B41:B41">IFERROR(INDEX(통합!$A$1:$A$400,SMALL(IF(통합!$E$1:$E$400="7호차",ROW(통합!$E$1:$E$400)),38)),"")</f>
        <v/>
      </c>
      <c r="C41" s="44">
        <f t="array" ref="C41:C41">IFERROR(INDEX(통합!$B$1:$B$400,SMALL(IF(통합!$E$1:$E$400="7호차",ROW(통합!$E$1:$E$400)),38)),"")</f>
        <v/>
      </c>
      <c r="D41" s="44">
        <f t="array" ref="D41:D41">IFERROR(INDEX(통합!$C$1:$C$400,SMALL(IF(통합!$E$1:$E$400="7호차",ROW(통합!$E$1:$E$400)),38)),"")</f>
        <v/>
      </c>
      <c r="E41" s="44" t="n"/>
      <c r="F41" s="44" t="n"/>
      <c r="H41" s="43" t="n">
        <v>38</v>
      </c>
      <c r="I41" s="44">
        <f t="array" ref="I41:I41">IFERROR(INDEX(통합!$A$1:$A$400,SMALL(IF(통합!$F$1:$F$400="7호차",ROW(통합!$F$1:$F$400)),38)),"")</f>
        <v/>
      </c>
      <c r="J41" s="44">
        <f t="array" ref="J41:J41">IFERROR(INDEX(통합!$B$1:$B$400,SMALL(IF(통합!$F$1:$F$400="7호차",ROW(통합!$F$1:$F$400)),38)),"")</f>
        <v/>
      </c>
      <c r="K41" s="44">
        <f t="array" ref="K41:K41">IFERROR(INDEX(통합!$C$1:$C$400,SMALL(IF(통합!$F$1:$F$400="7호차",ROW(통합!$F$1:$F$400)),38)),"")</f>
        <v/>
      </c>
      <c r="L41" s="44" t="n"/>
      <c r="M41" s="44" t="n"/>
    </row>
    <row r="42" ht="21.75" customHeight="1" s="33">
      <c r="A42" s="41" t="n">
        <v>39</v>
      </c>
      <c r="B42" s="42">
        <f t="array" ref="B42:B42">IFERROR(INDEX(통합!$A$1:$A$400,SMALL(IF(통합!$E$1:$E$400="7호차",ROW(통합!$E$1:$E$400)),39)),"")</f>
        <v/>
      </c>
      <c r="C42" s="42">
        <f t="array" ref="C42:C42">IFERROR(INDEX(통합!$B$1:$B$400,SMALL(IF(통합!$E$1:$E$400="7호차",ROW(통합!$E$1:$E$400)),39)),"")</f>
        <v/>
      </c>
      <c r="D42" s="42">
        <f t="array" ref="D42:D42">IFERROR(INDEX(통합!$C$1:$C$400,SMALL(IF(통합!$E$1:$E$400="7호차",ROW(통합!$E$1:$E$400)),39)),"")</f>
        <v/>
      </c>
      <c r="E42" s="42" t="n"/>
      <c r="F42" s="42" t="n"/>
      <c r="H42" s="41" t="n">
        <v>39</v>
      </c>
      <c r="I42" s="42">
        <f t="array" ref="I42:I42">IFERROR(INDEX(통합!$A$1:$A$400,SMALL(IF(통합!$F$1:$F$400="7호차",ROW(통합!$F$1:$F$400)),39)),"")</f>
        <v/>
      </c>
      <c r="J42" s="42">
        <f t="array" ref="J42:J42">IFERROR(INDEX(통합!$B$1:$B$400,SMALL(IF(통합!$F$1:$F$400="7호차",ROW(통합!$F$1:$F$400)),39)),"")</f>
        <v/>
      </c>
      <c r="K42" s="42">
        <f t="array" ref="K42:K42">IFERROR(INDEX(통합!$C$1:$C$400,SMALL(IF(통합!$F$1:$F$400="7호차",ROW(통합!$F$1:$F$400)),39)),"")</f>
        <v/>
      </c>
      <c r="L42" s="42" t="n"/>
      <c r="M42" s="42" t="n"/>
    </row>
    <row r="43" ht="21.75" customHeight="1" s="33">
      <c r="A43" s="43" t="n">
        <v>40</v>
      </c>
      <c r="B43" s="44">
        <f t="array" ref="B43:B43">IFERROR(INDEX(통합!$A$1:$A$400,SMALL(IF(통합!$E$1:$E$400="7호차",ROW(통합!$E$1:$E$400)),40)),"")</f>
        <v/>
      </c>
      <c r="C43" s="44">
        <f t="array" ref="C43:C43">IFERROR(INDEX(통합!$B$1:$B$400,SMALL(IF(통합!$E$1:$E$400="7호차",ROW(통합!$E$1:$E$400)),40)),"")</f>
        <v/>
      </c>
      <c r="D43" s="44">
        <f t="array" ref="D43:D43">IFERROR(INDEX(통합!$C$1:$C$400,SMALL(IF(통합!$E$1:$E$400="7호차",ROW(통합!$E$1:$E$400)),40)),"")</f>
        <v/>
      </c>
      <c r="E43" s="44" t="n"/>
      <c r="F43" s="44" t="n"/>
      <c r="H43" s="43" t="n">
        <v>40</v>
      </c>
      <c r="I43" s="44">
        <f t="array" ref="I43:I43">IFERROR(INDEX(통합!$A$1:$A$400,SMALL(IF(통합!$F$1:$F$400="7호차",ROW(통합!$F$1:$F$400)),40)),"")</f>
        <v/>
      </c>
      <c r="J43" s="44">
        <f t="array" ref="J43:J43">IFERROR(INDEX(통합!$B$1:$B$400,SMALL(IF(통합!$F$1:$F$400="7호차",ROW(통합!$F$1:$F$400)),40)),"")</f>
        <v/>
      </c>
      <c r="K43" s="44">
        <f t="array" ref="K43:K43">IFERROR(INDEX(통합!$C$1:$C$400,SMALL(IF(통합!$F$1:$F$400="7호차",ROW(통합!$F$1:$F$400)),40)),"")</f>
        <v/>
      </c>
      <c r="L43" s="44" t="n"/>
      <c r="M43" s="44" t="n"/>
    </row>
    <row r="44" ht="21.75" customHeight="1" s="33">
      <c r="A44" s="41" t="n">
        <v>41</v>
      </c>
      <c r="B44" s="42">
        <f t="array" ref="B44:B44">IFERROR(INDEX(통합!$A$1:$A$400,SMALL(IF(통합!$E$1:$E$400="7호차",ROW(통합!$E$1:$E$400)),41)),"")</f>
        <v/>
      </c>
      <c r="C44" s="42">
        <f t="array" ref="C44:C44">IFERROR(INDEX(통합!$B$1:$B$400,SMALL(IF(통합!$E$1:$E$400="7호차",ROW(통합!$E$1:$E$400)),41)),"")</f>
        <v/>
      </c>
      <c r="D44" s="42">
        <f t="array" ref="D44:D44">IFERROR(INDEX(통합!$C$1:$C$400,SMALL(IF(통합!$E$1:$E$400="7호차",ROW(통합!$E$1:$E$400)),41)),"")</f>
        <v/>
      </c>
      <c r="E44" s="42" t="n"/>
      <c r="F44" s="42" t="n"/>
      <c r="H44" s="41" t="n">
        <v>41</v>
      </c>
      <c r="I44" s="42">
        <f t="array" ref="I44:I44">IFERROR(INDEX(통합!$A$1:$A$400,SMALL(IF(통합!$F$1:$F$400="7호차",ROW(통합!$F$1:$F$400)),41)),"")</f>
        <v/>
      </c>
      <c r="J44" s="42">
        <f t="array" ref="J44:J44">IFERROR(INDEX(통합!$B$1:$B$400,SMALL(IF(통합!$F$1:$F$400="7호차",ROW(통합!$F$1:$F$400)),41)),"")</f>
        <v/>
      </c>
      <c r="K44" s="42">
        <f t="array" ref="K44:K44">IFERROR(INDEX(통합!$C$1:$C$400,SMALL(IF(통합!$F$1:$F$400="7호차",ROW(통합!$F$1:$F$400)),41)),"")</f>
        <v/>
      </c>
      <c r="L44" s="42" t="n"/>
      <c r="M44" s="42" t="n"/>
    </row>
    <row r="45" ht="21.75" customHeight="1" s="33">
      <c r="A45" s="43" t="n">
        <v>42</v>
      </c>
      <c r="B45" s="44">
        <f t="array" ref="B45:B45">IFERROR(INDEX(통합!$A$1:$A$400,SMALL(IF(통합!$E$1:$E$400="7호차",ROW(통합!$E$1:$E$400)),42)),"")</f>
        <v/>
      </c>
      <c r="C45" s="44">
        <f t="array" ref="C45:C45">IFERROR(INDEX(통합!$B$1:$B$400,SMALL(IF(통합!$E$1:$E$400="7호차",ROW(통합!$E$1:$E$400)),42)),"")</f>
        <v/>
      </c>
      <c r="D45" s="44">
        <f t="array" ref="D45:D45">IFERROR(INDEX(통합!$C$1:$C$400,SMALL(IF(통합!$E$1:$E$400="7호차",ROW(통합!$E$1:$E$400)),42)),"")</f>
        <v/>
      </c>
      <c r="E45" s="44" t="n"/>
      <c r="F45" s="44" t="n"/>
      <c r="H45" s="43" t="n">
        <v>42</v>
      </c>
      <c r="I45" s="44">
        <f t="array" ref="I45:I45">IFERROR(INDEX(통합!$A$1:$A$400,SMALL(IF(통합!$F$1:$F$400="7호차",ROW(통합!$F$1:$F$400)),42)),"")</f>
        <v/>
      </c>
      <c r="J45" s="44">
        <f t="array" ref="J45:J45">IFERROR(INDEX(통합!$B$1:$B$400,SMALL(IF(통합!$F$1:$F$400="7호차",ROW(통합!$F$1:$F$400)),42)),"")</f>
        <v/>
      </c>
      <c r="K45" s="44">
        <f t="array" ref="K45:K45">IFERROR(INDEX(통합!$C$1:$C$400,SMALL(IF(통합!$F$1:$F$400="7호차",ROW(통합!$F$1:$F$400)),42)),"")</f>
        <v/>
      </c>
      <c r="L45" s="44" t="n"/>
      <c r="M45" s="44" t="n"/>
    </row>
    <row r="46" ht="21.75" customHeight="1" s="33">
      <c r="A46" s="41" t="n">
        <v>43</v>
      </c>
      <c r="B46" s="42">
        <f t="array" ref="B46:B46">IFERROR(INDEX(통합!$A$1:$A$400,SMALL(IF(통합!$E$1:$E$400="7호차",ROW(통합!$E$1:$E$400)),43)),"")</f>
        <v/>
      </c>
      <c r="C46" s="42">
        <f t="array" ref="C46:C46">IFERROR(INDEX(통합!$B$1:$B$400,SMALL(IF(통합!$E$1:$E$400="7호차",ROW(통합!$E$1:$E$400)),43)),"")</f>
        <v/>
      </c>
      <c r="D46" s="42">
        <f t="array" ref="D46:D46">IFERROR(INDEX(통합!$C$1:$C$400,SMALL(IF(통합!$E$1:$E$400="7호차",ROW(통합!$E$1:$E$400)),43)),"")</f>
        <v/>
      </c>
      <c r="E46" s="42" t="n"/>
      <c r="F46" s="42" t="n"/>
      <c r="H46" s="41" t="n">
        <v>43</v>
      </c>
      <c r="I46" s="42">
        <f t="array" ref="I46:I46">IFERROR(INDEX(통합!$A$1:$A$400,SMALL(IF(통합!$F$1:$F$400="7호차",ROW(통합!$F$1:$F$400)),43)),"")</f>
        <v/>
      </c>
      <c r="J46" s="42">
        <f t="array" ref="J46:J46">IFERROR(INDEX(통합!$B$1:$B$400,SMALL(IF(통합!$F$1:$F$400="7호차",ROW(통합!$F$1:$F$400)),43)),"")</f>
        <v/>
      </c>
      <c r="K46" s="42">
        <f t="array" ref="K46:K46">IFERROR(INDEX(통합!$C$1:$C$400,SMALL(IF(통합!$F$1:$F$400="7호차",ROW(통합!$F$1:$F$400)),43)),"")</f>
        <v/>
      </c>
      <c r="L46" s="42" t="n"/>
      <c r="M46" s="42" t="n"/>
    </row>
    <row r="47" ht="15" customHeight="1" s="33">
      <c r="A47" s="45" t="inlineStr">
        <is>
          <t>합  계</t>
        </is>
      </c>
      <c r="B47" s="35" t="n"/>
      <c r="C47" s="35" t="n"/>
      <c r="D47" s="61">
        <f t="array" ref="D47:D47">IF(SUMPRODUCT((D4:D46&lt;&gt;"")*1)=0,"",SUMPRODUCT((D4:D46&lt;&gt;"")*1))</f>
        <v/>
      </c>
      <c r="E47" s="61" t="n"/>
      <c r="F47" s="61" t="n"/>
      <c r="H47" s="45" t="inlineStr">
        <is>
          <t>합  계</t>
        </is>
      </c>
      <c r="I47" s="35" t="n"/>
      <c r="J47" s="35" t="n"/>
      <c r="K47" s="61">
        <f t="array" ref="K47:K47">IF(SUMPRODUCT((K4:K46&lt;&gt;"")*1)=0,"",SUMPRODUCT((K4:K46&lt;&gt;"")*1))</f>
        <v/>
      </c>
      <c r="L47" s="61" t="n"/>
      <c r="M47" s="61" t="n"/>
    </row>
  </sheetData>
  <mergeCells count="6">
    <mergeCell ref="A2:B2"/>
    <mergeCell ref="H1:M1"/>
    <mergeCell ref="H2:I2"/>
    <mergeCell ref="A47:C47"/>
    <mergeCell ref="A1:F1"/>
    <mergeCell ref="H47:J4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K8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5.51" customWidth="1" style="32" min="2" max="2"/>
    <col width="9" customWidth="1" style="32" min="3" max="3"/>
    <col width="8" customWidth="1" style="32" min="4" max="4"/>
    <col width="14.6" customWidth="1" style="32" min="5" max="5"/>
    <col width="2" customWidth="1" style="32" min="6" max="6"/>
    <col width="4" customWidth="1" style="32" min="7" max="7"/>
    <col width="5.51" customWidth="1" style="32" min="8" max="8"/>
    <col width="9" customWidth="1" style="32" min="9" max="9"/>
    <col width="8" customWidth="1" style="32" min="10" max="10"/>
    <col width="14.6" customWidth="1" style="32" min="11" max="11"/>
  </cols>
  <sheetData>
    <row r="1" ht="30" customHeight="1" s="33">
      <c r="A1" s="47" t="inlineStr">
        <is>
          <t>교회차1  ─  본대 출발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21.75" customHeight="1" s="33">
      <c r="A2" s="64" t="inlineStr">
        <is>
          <t>상행</t>
        </is>
      </c>
      <c r="B2" s="35" t="n"/>
      <c r="C2" s="35" t="n"/>
      <c r="D2" s="35" t="n"/>
      <c r="E2" s="35" t="n"/>
      <c r="G2" s="64" t="inlineStr">
        <is>
          <t>하행</t>
        </is>
      </c>
      <c r="H2" s="35" t="n"/>
      <c r="I2" s="35" t="n"/>
      <c r="J2" s="35" t="n"/>
      <c r="K2" s="35" t="n"/>
    </row>
    <row r="3" ht="21.75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비고</t>
        </is>
      </c>
      <c r="G3" s="48" t="inlineStr">
        <is>
          <t>NO</t>
        </is>
      </c>
      <c r="H3" s="49" t="inlineStr">
        <is>
          <t>구역</t>
        </is>
      </c>
      <c r="I3" s="49" t="inlineStr">
        <is>
          <t>회(부서)</t>
        </is>
      </c>
      <c r="J3" s="49" t="inlineStr">
        <is>
          <t>성 명</t>
        </is>
      </c>
      <c r="K3" s="49" t="inlineStr">
        <is>
          <t>비고</t>
        </is>
      </c>
    </row>
    <row r="4" ht="19.5" customHeight="1" s="33">
      <c r="A4" s="41" t="n">
        <v>1</v>
      </c>
      <c r="B4" s="42">
        <f t="array" ref="B4:B4">IFERROR(INDEX(통합!$A$1:$A$400,SMALL(IF(통합!$E$1:$E$400="교회차1",ROW(통합!$E$1:$E$400)),1)),"")</f>
        <v/>
      </c>
      <c r="C4" s="42">
        <f t="array" ref="C4:C4">IFERROR(INDEX(통합!$B$1:$B$400,SMALL(IF(통합!$E$1:$E$400="교회차1",ROW(통합!$E$1:$E$400)),1)),"")</f>
        <v/>
      </c>
      <c r="D4" s="42">
        <f t="array" ref="D4:D4">IFERROR(INDEX(통합!$C$1:$C$400,SMALL(IF(통합!$E$1:$E$400="교회차1",ROW(통합!$E$1:$E$400)),1)),"")</f>
        <v/>
      </c>
      <c r="E4" s="42" t="n"/>
      <c r="H4" s="42">
        <f t="array" ref="H4:H4">IFERROR(INDEX(통합!$A$1:$A$400,SMALL(IF(통합!$F$1:$F$400="교회차1",ROW(통합!$F$1:$F$400)),1)),"")</f>
        <v/>
      </c>
      <c r="I4" s="42">
        <f t="array" ref="I4:I4">IFERROR(INDEX(통합!$B$1:$B$400,SMALL(IF(통합!$F$1:$F$400="교회차1",ROW(통합!$F$1:$F$400)),1)),"")</f>
        <v/>
      </c>
      <c r="J4" s="42">
        <f t="array" ref="J4:J4">IFERROR(INDEX(통합!$C$1:$C$400,SMALL(IF(통합!$F$1:$F$400="교회차1",ROW(통합!$F$1:$F$400)),1)),"")</f>
        <v/>
      </c>
      <c r="K4" s="42" t="n"/>
    </row>
    <row r="5" ht="19.5" customHeight="1" s="33">
      <c r="A5" s="43" t="n">
        <v>2</v>
      </c>
      <c r="B5" s="44">
        <f t="array" ref="B5:B5">IFERROR(INDEX(통합!$A$1:$A$400,SMALL(IF(통합!$E$1:$E$400="교회차1",ROW(통합!$E$1:$E$400)),2)),"")</f>
        <v/>
      </c>
      <c r="C5" s="44">
        <f t="array" ref="C5:C5">IFERROR(INDEX(통합!$B$1:$B$400,SMALL(IF(통합!$E$1:$E$400="교회차1",ROW(통합!$E$1:$E$400)),2)),"")</f>
        <v/>
      </c>
      <c r="D5" s="44">
        <f t="array" ref="D5:D5">IFERROR(INDEX(통합!$C$1:$C$400,SMALL(IF(통합!$E$1:$E$400="교회차1",ROW(통합!$E$1:$E$400)),2)),"")</f>
        <v/>
      </c>
      <c r="E5" s="44" t="n"/>
      <c r="H5" s="44">
        <f t="array" ref="H5:H5">IFERROR(INDEX(통합!$A$1:$A$400,SMALL(IF(통합!$F$1:$F$400="교회차1",ROW(통합!$F$1:$F$400)),2)),"")</f>
        <v/>
      </c>
      <c r="I5" s="44">
        <f t="array" ref="I5:I5">IFERROR(INDEX(통합!$B$1:$B$400,SMALL(IF(통합!$F$1:$F$400="교회차1",ROW(통합!$F$1:$F$400)),2)),"")</f>
        <v/>
      </c>
      <c r="J5" s="44">
        <f t="array" ref="J5:J5">IFERROR(INDEX(통합!$C$1:$C$400,SMALL(IF(통합!$F$1:$F$400="교회차1",ROW(통합!$F$1:$F$400)),2)),"")</f>
        <v/>
      </c>
      <c r="K5" s="44" t="n"/>
    </row>
    <row r="6" ht="19.5" customHeight="1" s="33">
      <c r="A6" s="41" t="n">
        <v>3</v>
      </c>
      <c r="B6" s="42">
        <f t="array" ref="B6:B6">IFERROR(INDEX(통합!$A$1:$A$400,SMALL(IF(통합!$E$1:$E$400="교회차1",ROW(통합!$E$1:$E$400)),3)),"")</f>
        <v/>
      </c>
      <c r="C6" s="42">
        <f t="array" ref="C6:C6">IFERROR(INDEX(통합!$B$1:$B$400,SMALL(IF(통합!$E$1:$E$400="교회차1",ROW(통합!$E$1:$E$400)),3)),"")</f>
        <v/>
      </c>
      <c r="D6" s="42">
        <f t="array" ref="D6:D6">IFERROR(INDEX(통합!$C$1:$C$400,SMALL(IF(통합!$E$1:$E$400="교회차1",ROW(통합!$E$1:$E$400)),3)),"")</f>
        <v/>
      </c>
      <c r="E6" s="42" t="n"/>
      <c r="H6" s="42">
        <f t="array" ref="H6:H6">IFERROR(INDEX(통합!$A$1:$A$400,SMALL(IF(통합!$F$1:$F$400="교회차1",ROW(통합!$F$1:$F$400)),3)),"")</f>
        <v/>
      </c>
      <c r="I6" s="42">
        <f t="array" ref="I6:I6">IFERROR(INDEX(통합!$B$1:$B$400,SMALL(IF(통합!$F$1:$F$400="교회차1",ROW(통합!$F$1:$F$400)),3)),"")</f>
        <v/>
      </c>
      <c r="J6" s="42">
        <f t="array" ref="J6:J6">IFERROR(INDEX(통합!$C$1:$C$400,SMALL(IF(통합!$F$1:$F$400="교회차1",ROW(통합!$F$1:$F$400)),3)),"")</f>
        <v/>
      </c>
      <c r="K6" s="42" t="n"/>
    </row>
    <row r="7" ht="19.5" customHeight="1" s="33">
      <c r="A7" s="43" t="n">
        <v>4</v>
      </c>
      <c r="B7" s="44">
        <f t="array" ref="B7:B7">IFERROR(INDEX(통합!$A$1:$A$400,SMALL(IF(통합!$E$1:$E$400="교회차1",ROW(통합!$E$1:$E$400)),4)),"")</f>
        <v/>
      </c>
      <c r="C7" s="44">
        <f t="array" ref="C7:C7">IFERROR(INDEX(통합!$B$1:$B$400,SMALL(IF(통합!$E$1:$E$400="교회차1",ROW(통합!$E$1:$E$400)),4)),"")</f>
        <v/>
      </c>
      <c r="D7" s="44">
        <f t="array" ref="D7:D7">IFERROR(INDEX(통합!$C$1:$C$400,SMALL(IF(통합!$E$1:$E$400="교회차1",ROW(통합!$E$1:$E$400)),4)),"")</f>
        <v/>
      </c>
      <c r="E7" s="44" t="n"/>
      <c r="H7" s="44">
        <f t="array" ref="H7:H7">IFERROR(INDEX(통합!$A$1:$A$400,SMALL(IF(통합!$F$1:$F$400="교회차1",ROW(통합!$F$1:$F$400)),4)),"")</f>
        <v/>
      </c>
      <c r="I7" s="44">
        <f t="array" ref="I7:I7">IFERROR(INDEX(통합!$B$1:$B$400,SMALL(IF(통합!$F$1:$F$400="교회차1",ROW(통합!$F$1:$F$400)),4)),"")</f>
        <v/>
      </c>
      <c r="J7" s="44">
        <f t="array" ref="J7:J7">IFERROR(INDEX(통합!$C$1:$C$400,SMALL(IF(통합!$F$1:$F$400="교회차1",ROW(통합!$F$1:$F$400)),4)),"")</f>
        <v/>
      </c>
      <c r="K7" s="44" t="n"/>
    </row>
    <row r="8" ht="19.5" customHeight="1" s="33">
      <c r="A8" s="41" t="n">
        <v>5</v>
      </c>
      <c r="B8" s="42">
        <f t="array" ref="B8:B8">IFERROR(INDEX(통합!$A$1:$A$400,SMALL(IF(통합!$E$1:$E$400="교회차1",ROW(통합!$E$1:$E$400)),5)),"")</f>
        <v/>
      </c>
      <c r="C8" s="42">
        <f t="array" ref="C8:C8">IFERROR(INDEX(통합!$B$1:$B$400,SMALL(IF(통합!$E$1:$E$400="교회차1",ROW(통합!$E$1:$E$400)),5)),"")</f>
        <v/>
      </c>
      <c r="D8" s="42">
        <f t="array" ref="D8:D8">IFERROR(INDEX(통합!$C$1:$C$400,SMALL(IF(통합!$E$1:$E$400="교회차1",ROW(통합!$E$1:$E$400)),5)),"")</f>
        <v/>
      </c>
      <c r="E8" s="42" t="n"/>
      <c r="H8" s="42">
        <f t="array" ref="H8:H8">IFERROR(INDEX(통합!$A$1:$A$400,SMALL(IF(통합!$F$1:$F$400="교회차1",ROW(통합!$F$1:$F$400)),5)),"")</f>
        <v/>
      </c>
      <c r="I8" s="42">
        <f t="array" ref="I8:I8">IFERROR(INDEX(통합!$B$1:$B$400,SMALL(IF(통합!$F$1:$F$400="교회차1",ROW(통합!$F$1:$F$400)),5)),"")</f>
        <v/>
      </c>
      <c r="J8" s="42">
        <f t="array" ref="J8:J8">IFERROR(INDEX(통합!$C$1:$C$400,SMALL(IF(통합!$F$1:$F$400="교회차1",ROW(통합!$F$1:$F$400)),5)),"")</f>
        <v/>
      </c>
      <c r="K8" s="42" t="n"/>
    </row>
    <row r="9" ht="19.5" customHeight="1" s="33">
      <c r="A9" s="43" t="n">
        <v>6</v>
      </c>
      <c r="B9" s="44">
        <f t="array" ref="B9:B9">IFERROR(INDEX(통합!$A$1:$A$400,SMALL(IF(통합!$E$1:$E$400="교회차1",ROW(통합!$E$1:$E$400)),6)),"")</f>
        <v/>
      </c>
      <c r="C9" s="44">
        <f t="array" ref="C9:C9">IFERROR(INDEX(통합!$B$1:$B$400,SMALL(IF(통합!$E$1:$E$400="교회차1",ROW(통합!$E$1:$E$400)),6)),"")</f>
        <v/>
      </c>
      <c r="D9" s="44">
        <f t="array" ref="D9:D9">IFERROR(INDEX(통합!$C$1:$C$400,SMALL(IF(통합!$E$1:$E$400="교회차1",ROW(통합!$E$1:$E$400)),6)),"")</f>
        <v/>
      </c>
      <c r="E9" s="44" t="n"/>
      <c r="H9" s="44">
        <f t="array" ref="H9:H9">IFERROR(INDEX(통합!$A$1:$A$400,SMALL(IF(통합!$F$1:$F$400="교회차1",ROW(통합!$F$1:$F$400)),6)),"")</f>
        <v/>
      </c>
      <c r="I9" s="44">
        <f t="array" ref="I9:I9">IFERROR(INDEX(통합!$B$1:$B$400,SMALL(IF(통합!$F$1:$F$400="교회차1",ROW(통합!$F$1:$F$400)),6)),"")</f>
        <v/>
      </c>
      <c r="J9" s="44">
        <f t="array" ref="J9:J9">IFERROR(INDEX(통합!$C$1:$C$400,SMALL(IF(통합!$F$1:$F$400="교회차1",ROW(통합!$F$1:$F$400)),6)),"")</f>
        <v/>
      </c>
      <c r="K9" s="44" t="n"/>
    </row>
    <row r="10" ht="19.5" customHeight="1" s="33">
      <c r="A10" s="41" t="n">
        <v>7</v>
      </c>
      <c r="B10" s="42">
        <f t="array" ref="B10:B10">IFERROR(INDEX(통합!$A$1:$A$400,SMALL(IF(통합!$E$1:$E$400="교회차1",ROW(통합!$E$1:$E$400)),7)),"")</f>
        <v/>
      </c>
      <c r="C10" s="42">
        <f t="array" ref="C10:C10">IFERROR(INDEX(통합!$B$1:$B$400,SMALL(IF(통합!$E$1:$E$400="교회차1",ROW(통합!$E$1:$E$400)),7)),"")</f>
        <v/>
      </c>
      <c r="D10" s="42">
        <f t="array" ref="D10:D10">IFERROR(INDEX(통합!$C$1:$C$400,SMALL(IF(통합!$E$1:$E$400="교회차1",ROW(통합!$E$1:$E$400)),7)),"")</f>
        <v/>
      </c>
      <c r="E10" s="42" t="n"/>
      <c r="H10" s="42">
        <f t="array" ref="H10:H10">IFERROR(INDEX(통합!$A$1:$A$400,SMALL(IF(통합!$F$1:$F$400="교회차1",ROW(통합!$F$1:$F$400)),7)),"")</f>
        <v/>
      </c>
      <c r="I10" s="42">
        <f t="array" ref="I10:I10">IFERROR(INDEX(통합!$B$1:$B$400,SMALL(IF(통합!$F$1:$F$400="교회차1",ROW(통합!$F$1:$F$400)),7)),"")</f>
        <v/>
      </c>
      <c r="J10" s="42">
        <f t="array" ref="J10:J10">IFERROR(INDEX(통합!$C$1:$C$400,SMALL(IF(통합!$F$1:$F$400="교회차1",ROW(통합!$F$1:$F$400)),7)),"")</f>
        <v/>
      </c>
      <c r="K10" s="42" t="n"/>
    </row>
    <row r="11" ht="19.5" customHeight="1" s="33">
      <c r="A11" s="43" t="n">
        <v>8</v>
      </c>
      <c r="B11" s="44">
        <f t="array" ref="B11:B11">IFERROR(INDEX(통합!$A$1:$A$400,SMALL(IF(통합!$E$1:$E$400="교회차1",ROW(통합!$E$1:$E$400)),8)),"")</f>
        <v/>
      </c>
      <c r="C11" s="44">
        <f t="array" ref="C11:C11">IFERROR(INDEX(통합!$B$1:$B$400,SMALL(IF(통합!$E$1:$E$400="교회차1",ROW(통합!$E$1:$E$400)),8)),"")</f>
        <v/>
      </c>
      <c r="D11" s="44">
        <f t="array" ref="D11:D11">IFERROR(INDEX(통합!$C$1:$C$400,SMALL(IF(통합!$E$1:$E$400="교회차1",ROW(통합!$E$1:$E$400)),8)),"")</f>
        <v/>
      </c>
      <c r="E11" s="44" t="n"/>
      <c r="H11" s="44">
        <f t="array" ref="H11:H11">IFERROR(INDEX(통합!$A$1:$A$400,SMALL(IF(통합!$F$1:$F$400="교회차1",ROW(통합!$F$1:$F$400)),8)),"")</f>
        <v/>
      </c>
      <c r="I11" s="44">
        <f t="array" ref="I11:I11">IFERROR(INDEX(통합!$B$1:$B$400,SMALL(IF(통합!$F$1:$F$400="교회차1",ROW(통합!$F$1:$F$400)),8)),"")</f>
        <v/>
      </c>
      <c r="J11" s="44">
        <f t="array" ref="J11:J11">IFERROR(INDEX(통합!$C$1:$C$400,SMALL(IF(통합!$F$1:$F$400="교회차1",ROW(통합!$F$1:$F$400)),8)),"")</f>
        <v/>
      </c>
      <c r="K11" s="44" t="n"/>
    </row>
    <row r="12" ht="19.5" customHeight="1" s="33">
      <c r="A12" s="41" t="n">
        <v>9</v>
      </c>
      <c r="B12" s="42">
        <f t="array" ref="B12:B12">IFERROR(INDEX(통합!$A$1:$A$400,SMALL(IF(통합!$E$1:$E$400="교회차1",ROW(통합!$E$1:$E$400)),9)),"")</f>
        <v/>
      </c>
      <c r="C12" s="42">
        <f t="array" ref="C12:C12">IFERROR(INDEX(통합!$B$1:$B$400,SMALL(IF(통합!$E$1:$E$400="교회차1",ROW(통합!$E$1:$E$400)),9)),"")</f>
        <v/>
      </c>
      <c r="D12" s="42">
        <f t="array" ref="D12:D12">IFERROR(INDEX(통합!$C$1:$C$400,SMALL(IF(통합!$E$1:$E$400="교회차1",ROW(통합!$E$1:$E$400)),9)),"")</f>
        <v/>
      </c>
      <c r="E12" s="42" t="n"/>
      <c r="H12" s="42">
        <f t="array" ref="H12:H12">IFERROR(INDEX(통합!$A$1:$A$400,SMALL(IF(통합!$F$1:$F$400="교회차1",ROW(통합!$F$1:$F$400)),9)),"")</f>
        <v/>
      </c>
      <c r="I12" s="42">
        <f t="array" ref="I12:I12">IFERROR(INDEX(통합!$B$1:$B$400,SMALL(IF(통합!$F$1:$F$400="교회차1",ROW(통합!$F$1:$F$400)),9)),"")</f>
        <v/>
      </c>
      <c r="J12" s="42">
        <f t="array" ref="J12:J12">IFERROR(INDEX(통합!$C$1:$C$400,SMALL(IF(통합!$F$1:$F$400="교회차1",ROW(통합!$F$1:$F$400)),9)),"")</f>
        <v/>
      </c>
      <c r="K12" s="42" t="n"/>
    </row>
    <row r="13" ht="19.5" customHeight="1" s="33">
      <c r="A13" s="43" t="n">
        <v>10</v>
      </c>
      <c r="B13" s="44">
        <f t="array" ref="B13:B13">IFERROR(INDEX(통합!$A$1:$A$400,SMALL(IF(통합!$E$1:$E$400="교회차1",ROW(통합!$E$1:$E$400)),10)),"")</f>
        <v/>
      </c>
      <c r="C13" s="44">
        <f t="array" ref="C13:C13">IFERROR(INDEX(통합!$B$1:$B$400,SMALL(IF(통합!$E$1:$E$400="교회차1",ROW(통합!$E$1:$E$400)),10)),"")</f>
        <v/>
      </c>
      <c r="D13" s="44">
        <f t="array" ref="D13:D13">IFERROR(INDEX(통합!$C$1:$C$400,SMALL(IF(통합!$E$1:$E$400="교회차1",ROW(통합!$E$1:$E$400)),10)),"")</f>
        <v/>
      </c>
      <c r="E13" s="44" t="n"/>
      <c r="H13" s="44">
        <f t="array" ref="H13:H13">IFERROR(INDEX(통합!$A$1:$A$400,SMALL(IF(통합!$F$1:$F$400="교회차1",ROW(통합!$F$1:$F$400)),10)),"")</f>
        <v/>
      </c>
      <c r="I13" s="44">
        <f t="array" ref="I13:I13">IFERROR(INDEX(통합!$B$1:$B$400,SMALL(IF(통합!$F$1:$F$400="교회차1",ROW(통합!$F$1:$F$400)),10)),"")</f>
        <v/>
      </c>
      <c r="J13" s="44">
        <f t="array" ref="J13:J13">IFERROR(INDEX(통합!$C$1:$C$400,SMALL(IF(통합!$F$1:$F$400="교회차1",ROW(통합!$F$1:$F$400)),10)),"")</f>
        <v/>
      </c>
      <c r="K13" s="44" t="n"/>
    </row>
    <row r="14" ht="19.5" customHeight="1" s="33">
      <c r="A14" s="41" t="n">
        <v>11</v>
      </c>
      <c r="B14" s="42">
        <f t="array" ref="B14:B14">IFERROR(INDEX(통합!$A$1:$A$400,SMALL(IF(통합!$E$1:$E$400="교회차1",ROW(통합!$E$1:$E$400)),11)),"")</f>
        <v/>
      </c>
      <c r="C14" s="42">
        <f t="array" ref="C14:C14">IFERROR(INDEX(통합!$B$1:$B$400,SMALL(IF(통합!$E$1:$E$400="교회차1",ROW(통합!$E$1:$E$400)),11)),"")</f>
        <v/>
      </c>
      <c r="D14" s="42">
        <f t="array" ref="D14:D14">IFERROR(INDEX(통합!$C$1:$C$400,SMALL(IF(통합!$E$1:$E$400="교회차1",ROW(통합!$E$1:$E$400)),11)),"")</f>
        <v/>
      </c>
      <c r="E14" s="42" t="n"/>
      <c r="H14" s="42">
        <f t="array" ref="H14:H14">IFERROR(INDEX(통합!$A$1:$A$400,SMALL(IF(통합!$F$1:$F$400="교회차1",ROW(통합!$F$1:$F$400)),11)),"")</f>
        <v/>
      </c>
      <c r="I14" s="42">
        <f t="array" ref="I14:I14">IFERROR(INDEX(통합!$B$1:$B$400,SMALL(IF(통합!$F$1:$F$400="교회차1",ROW(통합!$F$1:$F$400)),11)),"")</f>
        <v/>
      </c>
      <c r="J14" s="42">
        <f t="array" ref="J14:J14">IFERROR(INDEX(통합!$C$1:$C$400,SMALL(IF(통합!$F$1:$F$400="교회차1",ROW(통합!$F$1:$F$400)),11)),"")</f>
        <v/>
      </c>
      <c r="K14" s="42" t="n"/>
    </row>
    <row r="15" ht="19.5" customHeight="1" s="33">
      <c r="A15" s="43" t="n">
        <v>12</v>
      </c>
      <c r="B15" s="44">
        <f t="array" ref="B15:B15">IFERROR(INDEX(통합!$A$1:$A$400,SMALL(IF(통합!$E$1:$E$400="교회차1",ROW(통합!$E$1:$E$400)),12)),"")</f>
        <v/>
      </c>
      <c r="C15" s="44">
        <f t="array" ref="C15:C15">IFERROR(INDEX(통합!$B$1:$B$400,SMALL(IF(통합!$E$1:$E$400="교회차1",ROW(통합!$E$1:$E$400)),12)),"")</f>
        <v/>
      </c>
      <c r="D15" s="44">
        <f t="array" ref="D15:D15">IFERROR(INDEX(통합!$C$1:$C$400,SMALL(IF(통합!$E$1:$E$400="교회차1",ROW(통합!$E$1:$E$400)),12)),"")</f>
        <v/>
      </c>
      <c r="E15" s="44" t="n"/>
      <c r="H15" s="44">
        <f t="array" ref="H15:H15">IFERROR(INDEX(통합!$A$1:$A$400,SMALL(IF(통합!$F$1:$F$400="교회차1",ROW(통합!$F$1:$F$400)),12)),"")</f>
        <v/>
      </c>
      <c r="I15" s="44">
        <f t="array" ref="I15:I15">IFERROR(INDEX(통합!$B$1:$B$400,SMALL(IF(통합!$F$1:$F$400="교회차1",ROW(통합!$F$1:$F$400)),12)),"")</f>
        <v/>
      </c>
      <c r="J15" s="44">
        <f t="array" ref="J15:J15">IFERROR(INDEX(통합!$C$1:$C$400,SMALL(IF(통합!$F$1:$F$400="교회차1",ROW(통합!$F$1:$F$400)),12)),"")</f>
        <v/>
      </c>
      <c r="K15" s="44" t="n"/>
    </row>
    <row r="16" ht="19.5" customHeight="1" s="33">
      <c r="A16" s="41" t="n">
        <v>13</v>
      </c>
      <c r="B16" s="42">
        <f t="array" ref="B16:B16">IFERROR(INDEX(통합!$A$1:$A$400,SMALL(IF(통합!$E$1:$E$400="교회차1",ROW(통합!$E$1:$E$400)),13)),"")</f>
        <v/>
      </c>
      <c r="C16" s="42">
        <f t="array" ref="C16:C16">IFERROR(INDEX(통합!$B$1:$B$400,SMALL(IF(통합!$E$1:$E$400="교회차1",ROW(통합!$E$1:$E$400)),13)),"")</f>
        <v/>
      </c>
      <c r="D16" s="42">
        <f t="array" ref="D16:D16">IFERROR(INDEX(통합!$C$1:$C$400,SMALL(IF(통합!$E$1:$E$400="교회차1",ROW(통합!$E$1:$E$400)),13)),"")</f>
        <v/>
      </c>
      <c r="E16" s="42" t="n"/>
      <c r="H16" s="42">
        <f t="array" ref="H16:H16">IFERROR(INDEX(통합!$A$1:$A$400,SMALL(IF(통합!$F$1:$F$400="교회차1",ROW(통합!$F$1:$F$400)),13)),"")</f>
        <v/>
      </c>
      <c r="I16" s="42">
        <f t="array" ref="I16:I16">IFERROR(INDEX(통합!$B$1:$B$400,SMALL(IF(통합!$F$1:$F$400="교회차1",ROW(통합!$F$1:$F$400)),13)),"")</f>
        <v/>
      </c>
      <c r="J16" s="42">
        <f t="array" ref="J16:J16">IFERROR(INDEX(통합!$C$1:$C$400,SMALL(IF(통합!$F$1:$F$400="교회차1",ROW(통합!$F$1:$F$400)),13)),"")</f>
        <v/>
      </c>
      <c r="K16" s="42" t="n"/>
    </row>
    <row r="17" ht="19.5" customHeight="1" s="33">
      <c r="A17" s="43" t="n">
        <v>14</v>
      </c>
      <c r="B17" s="44">
        <f t="array" ref="B17:B17">IFERROR(INDEX(통합!$A$1:$A$400,SMALL(IF(통합!$E$1:$E$400="교회차1",ROW(통합!$E$1:$E$400)),14)),"")</f>
        <v/>
      </c>
      <c r="C17" s="44">
        <f t="array" ref="C17:C17">IFERROR(INDEX(통합!$B$1:$B$400,SMALL(IF(통합!$E$1:$E$400="교회차1",ROW(통합!$E$1:$E$400)),14)),"")</f>
        <v/>
      </c>
      <c r="D17" s="44">
        <f t="array" ref="D17:D17">IFERROR(INDEX(통합!$C$1:$C$400,SMALL(IF(통합!$E$1:$E$400="교회차1",ROW(통합!$E$1:$E$400)),14)),"")</f>
        <v/>
      </c>
      <c r="E17" s="44" t="n"/>
      <c r="H17" s="44">
        <f t="array" ref="H17:H17">IFERROR(INDEX(통합!$A$1:$A$400,SMALL(IF(통합!$F$1:$F$400="교회차1",ROW(통합!$F$1:$F$400)),14)),"")</f>
        <v/>
      </c>
      <c r="I17" s="44">
        <f t="array" ref="I17:I17">IFERROR(INDEX(통합!$B$1:$B$400,SMALL(IF(통합!$F$1:$F$400="교회차1",ROW(통합!$F$1:$F$400)),14)),"")</f>
        <v/>
      </c>
      <c r="J17" s="44">
        <f t="array" ref="J17:J17">IFERROR(INDEX(통합!$C$1:$C$400,SMALL(IF(통합!$F$1:$F$400="교회차1",ROW(통합!$F$1:$F$400)),14)),"")</f>
        <v/>
      </c>
      <c r="K17" s="44" t="n"/>
    </row>
    <row r="18" ht="19.5" customHeight="1" s="33">
      <c r="A18" s="41" t="n">
        <v>15</v>
      </c>
      <c r="B18" s="42">
        <f t="array" ref="B18:B18">IFERROR(INDEX(통합!$A$1:$A$400,SMALL(IF(통합!$E$1:$E$400="교회차1",ROW(통합!$E$1:$E$400)),15)),"")</f>
        <v/>
      </c>
      <c r="C18" s="42">
        <f t="array" ref="C18:C18">IFERROR(INDEX(통합!$B$1:$B$400,SMALL(IF(통합!$E$1:$E$400="교회차1",ROW(통합!$E$1:$E$400)),15)),"")</f>
        <v/>
      </c>
      <c r="D18" s="42">
        <f t="array" ref="D18:D18">IFERROR(INDEX(통합!$C$1:$C$400,SMALL(IF(통합!$E$1:$E$400="교회차1",ROW(통합!$E$1:$E$400)),15)),"")</f>
        <v/>
      </c>
      <c r="E18" s="42" t="n"/>
      <c r="H18" s="42">
        <f t="array" ref="H18:H18">IFERROR(INDEX(통합!$A$1:$A$400,SMALL(IF(통합!$F$1:$F$400="교회차1",ROW(통합!$F$1:$F$400)),15)),"")</f>
        <v/>
      </c>
      <c r="I18" s="42">
        <f t="array" ref="I18:I18">IFERROR(INDEX(통합!$B$1:$B$400,SMALL(IF(통합!$F$1:$F$400="교회차1",ROW(통합!$F$1:$F$400)),15)),"")</f>
        <v/>
      </c>
      <c r="J18" s="42">
        <f t="array" ref="J18:J18">IFERROR(INDEX(통합!$C$1:$C$400,SMALL(IF(통합!$F$1:$F$400="교회차1",ROW(통합!$F$1:$F$400)),15)),"")</f>
        <v/>
      </c>
      <c r="K18" s="42" t="n"/>
    </row>
    <row r="19" ht="19.5" customHeight="1" s="33">
      <c r="A19" s="43" t="n">
        <v>16</v>
      </c>
      <c r="B19" s="44">
        <f t="array" ref="B19:B19">IFERROR(INDEX(통합!$A$1:$A$400,SMALL(IF(통합!$E$1:$E$400="교회차1",ROW(통합!$E$1:$E$400)),16)),"")</f>
        <v/>
      </c>
      <c r="C19" s="44">
        <f t="array" ref="C19:C19">IFERROR(INDEX(통합!$B$1:$B$400,SMALL(IF(통합!$E$1:$E$400="교회차1",ROW(통합!$E$1:$E$400)),16)),"")</f>
        <v/>
      </c>
      <c r="D19" s="44">
        <f t="array" ref="D19:D19">IFERROR(INDEX(통합!$C$1:$C$400,SMALL(IF(통합!$E$1:$E$400="교회차1",ROW(통합!$E$1:$E$400)),16)),"")</f>
        <v/>
      </c>
      <c r="E19" s="44" t="n"/>
      <c r="H19" s="44">
        <f t="array" ref="H19:H19">IFERROR(INDEX(통합!$A$1:$A$400,SMALL(IF(통합!$F$1:$F$400="교회차1",ROW(통합!$F$1:$F$400)),16)),"")</f>
        <v/>
      </c>
      <c r="I19" s="44">
        <f t="array" ref="I19:I19">IFERROR(INDEX(통합!$B$1:$B$400,SMALL(IF(통합!$F$1:$F$400="교회차1",ROW(통합!$F$1:$F$400)),16)),"")</f>
        <v/>
      </c>
      <c r="J19" s="44">
        <f t="array" ref="J19:J19">IFERROR(INDEX(통합!$C$1:$C$400,SMALL(IF(통합!$F$1:$F$400="교회차1",ROW(통합!$F$1:$F$400)),16)),"")</f>
        <v/>
      </c>
      <c r="K19" s="44" t="n"/>
    </row>
    <row r="20" ht="19.5" customHeight="1" s="33">
      <c r="A20" s="41" t="n">
        <v>17</v>
      </c>
      <c r="B20" s="42">
        <f t="array" ref="B20:B20">IFERROR(INDEX(통합!$A$1:$A$400,SMALL(IF(통합!$E$1:$E$400="교회차1",ROW(통합!$E$1:$E$400)),17)),"")</f>
        <v/>
      </c>
      <c r="C20" s="42">
        <f t="array" ref="C20:C20">IFERROR(INDEX(통합!$B$1:$B$400,SMALL(IF(통합!$E$1:$E$400="교회차1",ROW(통합!$E$1:$E$400)),17)),"")</f>
        <v/>
      </c>
      <c r="D20" s="42">
        <f t="array" ref="D20:D20">IFERROR(INDEX(통합!$C$1:$C$400,SMALL(IF(통합!$E$1:$E$400="교회차1",ROW(통합!$E$1:$E$400)),17)),"")</f>
        <v/>
      </c>
      <c r="E20" s="42" t="n"/>
      <c r="H20" s="42">
        <f t="array" ref="H20:H20">IFERROR(INDEX(통합!$A$1:$A$400,SMALL(IF(통합!$F$1:$F$400="교회차1",ROW(통합!$F$1:$F$400)),17)),"")</f>
        <v/>
      </c>
      <c r="I20" s="42">
        <f t="array" ref="I20:I20">IFERROR(INDEX(통합!$B$1:$B$400,SMALL(IF(통합!$F$1:$F$400="교회차1",ROW(통합!$F$1:$F$400)),17)),"")</f>
        <v/>
      </c>
      <c r="J20" s="42">
        <f t="array" ref="J20:J20">IFERROR(INDEX(통합!$C$1:$C$400,SMALL(IF(통합!$F$1:$F$400="교회차1",ROW(통합!$F$1:$F$400)),17)),"")</f>
        <v/>
      </c>
      <c r="K20" s="42" t="n"/>
    </row>
    <row r="21" ht="19.5" customHeight="1" s="33">
      <c r="A21" s="43" t="n">
        <v>18</v>
      </c>
      <c r="B21" s="44">
        <f t="array" ref="B21:B21">IFERROR(INDEX(통합!$A$1:$A$400,SMALL(IF(통합!$E$1:$E$400="교회차1",ROW(통합!$E$1:$E$400)),18)),"")</f>
        <v/>
      </c>
      <c r="C21" s="44">
        <f t="array" ref="C21:C21">IFERROR(INDEX(통합!$B$1:$B$400,SMALL(IF(통합!$E$1:$E$400="교회차1",ROW(통합!$E$1:$E$400)),18)),"")</f>
        <v/>
      </c>
      <c r="D21" s="44">
        <f t="array" ref="D21:D21">IFERROR(INDEX(통합!$C$1:$C$400,SMALL(IF(통합!$E$1:$E$400="교회차1",ROW(통합!$E$1:$E$400)),18)),"")</f>
        <v/>
      </c>
      <c r="E21" s="44" t="n"/>
      <c r="H21" s="44">
        <f t="array" ref="H21:H21">IFERROR(INDEX(통합!$A$1:$A$400,SMALL(IF(통합!$F$1:$F$400="교회차1",ROW(통합!$F$1:$F$400)),18)),"")</f>
        <v/>
      </c>
      <c r="I21" s="44">
        <f t="array" ref="I21:I21">IFERROR(INDEX(통합!$B$1:$B$400,SMALL(IF(통합!$F$1:$F$400="교회차1",ROW(통합!$F$1:$F$400)),18)),"")</f>
        <v/>
      </c>
      <c r="J21" s="44">
        <f t="array" ref="J21:J21">IFERROR(INDEX(통합!$C$1:$C$400,SMALL(IF(통합!$F$1:$F$400="교회차1",ROW(통합!$F$1:$F$400)),18)),"")</f>
        <v/>
      </c>
      <c r="K21" s="44" t="n"/>
    </row>
    <row r="22" ht="19.5" customHeight="1" s="33">
      <c r="A22" s="41" t="n">
        <v>19</v>
      </c>
      <c r="B22" s="42">
        <f t="array" ref="B22:B22">IFERROR(INDEX(통합!$A$1:$A$400,SMALL(IF(통합!$E$1:$E$400="교회차1",ROW(통합!$E$1:$E$400)),19)),"")</f>
        <v/>
      </c>
      <c r="C22" s="42">
        <f t="array" ref="C22:C22">IFERROR(INDEX(통합!$B$1:$B$400,SMALL(IF(통합!$E$1:$E$400="교회차1",ROW(통합!$E$1:$E$400)),19)),"")</f>
        <v/>
      </c>
      <c r="D22" s="42">
        <f t="array" ref="D22:D22">IFERROR(INDEX(통합!$C$1:$C$400,SMALL(IF(통합!$E$1:$E$400="교회차1",ROW(통합!$E$1:$E$400)),19)),"")</f>
        <v/>
      </c>
      <c r="E22" s="42" t="n"/>
      <c r="H22" s="42">
        <f t="array" ref="H22:H22">IFERROR(INDEX(통합!$A$1:$A$400,SMALL(IF(통합!$F$1:$F$400="교회차1",ROW(통합!$F$1:$F$400)),19)),"")</f>
        <v/>
      </c>
      <c r="I22" s="42">
        <f t="array" ref="I22:I22">IFERROR(INDEX(통합!$B$1:$B$400,SMALL(IF(통합!$F$1:$F$400="교회차1",ROW(통합!$F$1:$F$400)),19)),"")</f>
        <v/>
      </c>
      <c r="J22" s="42">
        <f t="array" ref="J22:J22">IFERROR(INDEX(통합!$C$1:$C$400,SMALL(IF(통합!$F$1:$F$400="교회차1",ROW(통합!$F$1:$F$400)),19)),"")</f>
        <v/>
      </c>
      <c r="K22" s="42" t="n"/>
    </row>
    <row r="23" ht="19.5" customHeight="1" s="33">
      <c r="A23" s="43" t="n">
        <v>20</v>
      </c>
      <c r="B23" s="44">
        <f t="array" ref="B23:B23">IFERROR(INDEX(통합!$A$1:$A$400,SMALL(IF(통합!$E$1:$E$400="교회차1",ROW(통합!$E$1:$E$400)),20)),"")</f>
        <v/>
      </c>
      <c r="C23" s="44">
        <f t="array" ref="C23:C23">IFERROR(INDEX(통합!$B$1:$B$400,SMALL(IF(통합!$E$1:$E$400="교회차1",ROW(통합!$E$1:$E$400)),20)),"")</f>
        <v/>
      </c>
      <c r="D23" s="44">
        <f t="array" ref="D23:D23">IFERROR(INDEX(통합!$C$1:$C$400,SMALL(IF(통합!$E$1:$E$400="교회차1",ROW(통합!$E$1:$E$400)),20)),"")</f>
        <v/>
      </c>
      <c r="E23" s="44" t="n"/>
      <c r="H23" s="44">
        <f t="array" ref="H23:H23">IFERROR(INDEX(통합!$A$1:$A$400,SMALL(IF(통합!$F$1:$F$400="교회차1",ROW(통합!$F$1:$F$400)),20)),"")</f>
        <v/>
      </c>
      <c r="I23" s="44">
        <f t="array" ref="I23:I23">IFERROR(INDEX(통합!$B$1:$B$400,SMALL(IF(통합!$F$1:$F$400="교회차1",ROW(통합!$F$1:$F$400)),20)),"")</f>
        <v/>
      </c>
      <c r="J23" s="44">
        <f t="array" ref="J23:J23">IFERROR(INDEX(통합!$C$1:$C$400,SMALL(IF(통합!$F$1:$F$400="교회차1",ROW(통합!$F$1:$F$400)),20)),"")</f>
        <v/>
      </c>
      <c r="K23" s="44" t="n"/>
    </row>
    <row r="24" ht="19.5" customHeight="1" s="33">
      <c r="A24" s="41" t="n">
        <v>21</v>
      </c>
      <c r="B24" s="42">
        <f t="array" ref="B24:B24">IFERROR(INDEX(통합!$A$1:$A$400,SMALL(IF(통합!$E$1:$E$400="교회차1",ROW(통합!$E$1:$E$400)),21)),"")</f>
        <v/>
      </c>
      <c r="C24" s="42">
        <f t="array" ref="C24:C24">IFERROR(INDEX(통합!$B$1:$B$400,SMALL(IF(통합!$E$1:$E$400="교회차1",ROW(통합!$E$1:$E$400)),21)),"")</f>
        <v/>
      </c>
      <c r="D24" s="42">
        <f t="array" ref="D24:D24">IFERROR(INDEX(통합!$C$1:$C$400,SMALL(IF(통합!$E$1:$E$400="교회차1",ROW(통합!$E$1:$E$400)),21)),"")</f>
        <v/>
      </c>
      <c r="E24" s="42" t="n"/>
      <c r="H24" s="42">
        <f t="array" ref="H24:H24">IFERROR(INDEX(통합!$A$1:$A$400,SMALL(IF(통합!$F$1:$F$400="교회차1",ROW(통합!$F$1:$F$400)),21)),"")</f>
        <v/>
      </c>
      <c r="I24" s="42">
        <f t="array" ref="I24:I24">IFERROR(INDEX(통합!$B$1:$B$400,SMALL(IF(통합!$F$1:$F$400="교회차1",ROW(통합!$F$1:$F$400)),21)),"")</f>
        <v/>
      </c>
      <c r="J24" s="42">
        <f t="array" ref="J24:J24">IFERROR(INDEX(통합!$C$1:$C$400,SMALL(IF(통합!$F$1:$F$400="교회차1",ROW(통합!$F$1:$F$400)),21)),"")</f>
        <v/>
      </c>
      <c r="K24" s="42" t="n"/>
    </row>
    <row r="25" ht="19.5" customHeight="1" s="33">
      <c r="A25" s="43" t="n">
        <v>22</v>
      </c>
      <c r="B25" s="44">
        <f t="array" ref="B25:B25">IFERROR(INDEX(통합!$A$1:$A$400,SMALL(IF(통합!$E$1:$E$400="교회차1",ROW(통합!$E$1:$E$400)),22)),"")</f>
        <v/>
      </c>
      <c r="C25" s="44">
        <f t="array" ref="C25:C25">IFERROR(INDEX(통합!$B$1:$B$400,SMALL(IF(통합!$E$1:$E$400="교회차1",ROW(통합!$E$1:$E$400)),22)),"")</f>
        <v/>
      </c>
      <c r="D25" s="44">
        <f t="array" ref="D25:D25">IFERROR(INDEX(통합!$C$1:$C$400,SMALL(IF(통합!$E$1:$E$400="교회차1",ROW(통합!$E$1:$E$400)),22)),"")</f>
        <v/>
      </c>
      <c r="E25" s="44" t="n"/>
      <c r="H25" s="44">
        <f t="array" ref="H25:H25">IFERROR(INDEX(통합!$A$1:$A$400,SMALL(IF(통합!$F$1:$F$400="교회차1",ROW(통합!$F$1:$F$400)),22)),"")</f>
        <v/>
      </c>
      <c r="I25" s="44">
        <f t="array" ref="I25:I25">IFERROR(INDEX(통합!$B$1:$B$400,SMALL(IF(통합!$F$1:$F$400="교회차1",ROW(통합!$F$1:$F$400)),22)),"")</f>
        <v/>
      </c>
      <c r="J25" s="44">
        <f t="array" ref="J25:J25">IFERROR(INDEX(통합!$C$1:$C$400,SMALL(IF(통합!$F$1:$F$400="교회차1",ROW(통합!$F$1:$F$400)),22)),"")</f>
        <v/>
      </c>
      <c r="K25" s="44" t="n"/>
    </row>
    <row r="26" ht="19.5" customHeight="1" s="33">
      <c r="A26" s="41" t="n">
        <v>23</v>
      </c>
      <c r="B26" s="42">
        <f t="array" ref="B26:B26">IFERROR(INDEX(통합!$A$1:$A$400,SMALL(IF(통합!$E$1:$E$400="교회차1",ROW(통합!$E$1:$E$400)),23)),"")</f>
        <v/>
      </c>
      <c r="C26" s="42">
        <f t="array" ref="C26:C26">IFERROR(INDEX(통합!$B$1:$B$400,SMALL(IF(통합!$E$1:$E$400="교회차1",ROW(통합!$E$1:$E$400)),23)),"")</f>
        <v/>
      </c>
      <c r="D26" s="42">
        <f t="array" ref="D26:D26">IFERROR(INDEX(통합!$C$1:$C$400,SMALL(IF(통합!$E$1:$E$400="교회차1",ROW(통합!$E$1:$E$400)),23)),"")</f>
        <v/>
      </c>
      <c r="E26" s="42" t="n"/>
      <c r="H26" s="42">
        <f t="array" ref="H26:H26">IFERROR(INDEX(통합!$A$1:$A$400,SMALL(IF(통합!$F$1:$F$400="교회차1",ROW(통합!$F$1:$F$400)),23)),"")</f>
        <v/>
      </c>
      <c r="I26" s="42">
        <f t="array" ref="I26:I26">IFERROR(INDEX(통합!$B$1:$B$400,SMALL(IF(통합!$F$1:$F$400="교회차1",ROW(통합!$F$1:$F$400)),23)),"")</f>
        <v/>
      </c>
      <c r="J26" s="42">
        <f t="array" ref="J26:J26">IFERROR(INDEX(통합!$C$1:$C$400,SMALL(IF(통합!$F$1:$F$400="교회차1",ROW(통합!$F$1:$F$400)),23)),"")</f>
        <v/>
      </c>
      <c r="K26" s="42" t="n"/>
    </row>
    <row r="27" ht="19.5" customHeight="1" s="33">
      <c r="A27" s="43" t="n">
        <v>24</v>
      </c>
      <c r="B27" s="44">
        <f t="array" ref="B27:B27">IFERROR(INDEX(통합!$A$1:$A$400,SMALL(IF(통합!$E$1:$E$400="교회차1",ROW(통합!$E$1:$E$400)),24)),"")</f>
        <v/>
      </c>
      <c r="C27" s="44">
        <f t="array" ref="C27:C27">IFERROR(INDEX(통합!$B$1:$B$400,SMALL(IF(통합!$E$1:$E$400="교회차1",ROW(통합!$E$1:$E$400)),24)),"")</f>
        <v/>
      </c>
      <c r="D27" s="44">
        <f t="array" ref="D27:D27">IFERROR(INDEX(통합!$C$1:$C$400,SMALL(IF(통합!$E$1:$E$400="교회차1",ROW(통합!$E$1:$E$400)),24)),"")</f>
        <v/>
      </c>
      <c r="E27" s="44" t="n"/>
      <c r="H27" s="44">
        <f t="array" ref="H27:H27">IFERROR(INDEX(통합!$A$1:$A$400,SMALL(IF(통합!$F$1:$F$400="교회차1",ROW(통합!$F$1:$F$400)),24)),"")</f>
        <v/>
      </c>
      <c r="I27" s="44">
        <f t="array" ref="I27:I27">IFERROR(INDEX(통합!$B$1:$B$400,SMALL(IF(통합!$F$1:$F$400="교회차1",ROW(통합!$F$1:$F$400)),24)),"")</f>
        <v/>
      </c>
      <c r="J27" s="44">
        <f t="array" ref="J27:J27">IFERROR(INDEX(통합!$C$1:$C$400,SMALL(IF(통합!$F$1:$F$400="교회차1",ROW(통합!$F$1:$F$400)),24)),"")</f>
        <v/>
      </c>
      <c r="K27" s="44" t="n"/>
    </row>
    <row r="28" ht="19.5" customHeight="1" s="33">
      <c r="A28" s="41" t="n">
        <v>25</v>
      </c>
      <c r="B28" s="42">
        <f t="array" ref="B28:B28">IFERROR(INDEX(통합!$A$1:$A$400,SMALL(IF(통합!$E$1:$E$400="교회차1",ROW(통합!$E$1:$E$400)),25)),"")</f>
        <v/>
      </c>
      <c r="C28" s="42">
        <f t="array" ref="C28:C28">IFERROR(INDEX(통합!$B$1:$B$400,SMALL(IF(통합!$E$1:$E$400="교회차1",ROW(통합!$E$1:$E$400)),25)),"")</f>
        <v/>
      </c>
      <c r="D28" s="42">
        <f t="array" ref="D28:D28">IFERROR(INDEX(통합!$C$1:$C$400,SMALL(IF(통합!$E$1:$E$400="교회차1",ROW(통합!$E$1:$E$400)),25)),"")</f>
        <v/>
      </c>
      <c r="E28" s="42" t="n"/>
      <c r="H28" s="42">
        <f t="array" ref="H28:H28">IFERROR(INDEX(통합!$A$1:$A$400,SMALL(IF(통합!$F$1:$F$400="교회차1",ROW(통합!$F$1:$F$400)),25)),"")</f>
        <v/>
      </c>
      <c r="I28" s="42">
        <f t="array" ref="I28:I28">IFERROR(INDEX(통합!$B$1:$B$400,SMALL(IF(통합!$F$1:$F$400="교회차1",ROW(통합!$F$1:$F$400)),25)),"")</f>
        <v/>
      </c>
      <c r="J28" s="42">
        <f t="array" ref="J28:J28">IFERROR(INDEX(통합!$C$1:$C$400,SMALL(IF(통합!$F$1:$F$400="교회차1",ROW(통합!$F$1:$F$400)),25)),"")</f>
        <v/>
      </c>
      <c r="K28" s="42" t="n"/>
    </row>
    <row r="29" ht="19.5" customHeight="1" s="33">
      <c r="A29" s="43" t="n">
        <v>26</v>
      </c>
      <c r="B29" s="44">
        <f t="array" ref="B29:B29">IFERROR(INDEX(통합!$A$1:$A$400,SMALL(IF(통합!$E$1:$E$400="교회차1",ROW(통합!$E$1:$E$400)),26)),"")</f>
        <v/>
      </c>
      <c r="C29" s="44">
        <f t="array" ref="C29:C29">IFERROR(INDEX(통합!$B$1:$B$400,SMALL(IF(통합!$E$1:$E$400="교회차1",ROW(통합!$E$1:$E$400)),26)),"")</f>
        <v/>
      </c>
      <c r="D29" s="44">
        <f t="array" ref="D29:D29">IFERROR(INDEX(통합!$C$1:$C$400,SMALL(IF(통합!$E$1:$E$400="교회차1",ROW(통합!$E$1:$E$400)),26)),"")</f>
        <v/>
      </c>
      <c r="E29" s="44" t="n"/>
      <c r="H29" s="44">
        <f t="array" ref="H29:H29">IFERROR(INDEX(통합!$A$1:$A$400,SMALL(IF(통합!$F$1:$F$400="교회차1",ROW(통합!$F$1:$F$400)),26)),"")</f>
        <v/>
      </c>
      <c r="I29" s="44">
        <f t="array" ref="I29:I29">IFERROR(INDEX(통합!$B$1:$B$400,SMALL(IF(통합!$F$1:$F$400="교회차1",ROW(통합!$F$1:$F$400)),26)),"")</f>
        <v/>
      </c>
      <c r="J29" s="44">
        <f t="array" ref="J29:J29">IFERROR(INDEX(통합!$C$1:$C$400,SMALL(IF(통합!$F$1:$F$400="교회차1",ROW(통합!$F$1:$F$400)),26)),"")</f>
        <v/>
      </c>
      <c r="K29" s="44" t="n"/>
    </row>
    <row r="30" ht="19.5" customHeight="1" s="33">
      <c r="A30" s="41" t="n">
        <v>27</v>
      </c>
      <c r="B30" s="42">
        <f t="array" ref="B30:B30">IFERROR(INDEX(통합!$A$1:$A$400,SMALL(IF(통합!$E$1:$E$400="교회차1",ROW(통합!$E$1:$E$400)),27)),"")</f>
        <v/>
      </c>
      <c r="C30" s="42">
        <f t="array" ref="C30:C30">IFERROR(INDEX(통합!$B$1:$B$400,SMALL(IF(통합!$E$1:$E$400="교회차1",ROW(통합!$E$1:$E$400)),27)),"")</f>
        <v/>
      </c>
      <c r="D30" s="42">
        <f t="array" ref="D30:D30">IFERROR(INDEX(통합!$C$1:$C$400,SMALL(IF(통합!$E$1:$E$400="교회차1",ROW(통합!$E$1:$E$400)),27)),"")</f>
        <v/>
      </c>
      <c r="E30" s="42" t="n"/>
      <c r="H30" s="42">
        <f t="array" ref="H30:H30">IFERROR(INDEX(통합!$A$1:$A$400,SMALL(IF(통합!$F$1:$F$400="교회차1",ROW(통합!$F$1:$F$400)),27)),"")</f>
        <v/>
      </c>
      <c r="I30" s="42">
        <f t="array" ref="I30:I30">IFERROR(INDEX(통합!$B$1:$B$400,SMALL(IF(통합!$F$1:$F$400="교회차1",ROW(통합!$F$1:$F$400)),27)),"")</f>
        <v/>
      </c>
      <c r="J30" s="42">
        <f t="array" ref="J30:J30">IFERROR(INDEX(통합!$C$1:$C$400,SMALL(IF(통합!$F$1:$F$400="교회차1",ROW(통합!$F$1:$F$400)),27)),"")</f>
        <v/>
      </c>
      <c r="K30" s="42" t="n"/>
    </row>
    <row r="31" ht="19.5" customHeight="1" s="33">
      <c r="A31" s="43" t="n">
        <v>28</v>
      </c>
      <c r="B31" s="44">
        <f t="array" ref="B31:B31">IFERROR(INDEX(통합!$A$1:$A$400,SMALL(IF(통합!$E$1:$E$400="교회차1",ROW(통합!$E$1:$E$400)),28)),"")</f>
        <v/>
      </c>
      <c r="C31" s="44">
        <f t="array" ref="C31:C31">IFERROR(INDEX(통합!$B$1:$B$400,SMALL(IF(통합!$E$1:$E$400="교회차1",ROW(통합!$E$1:$E$400)),28)),"")</f>
        <v/>
      </c>
      <c r="D31" s="44">
        <f t="array" ref="D31:D31">IFERROR(INDEX(통합!$C$1:$C$400,SMALL(IF(통합!$E$1:$E$400="교회차1",ROW(통합!$E$1:$E$400)),28)),"")</f>
        <v/>
      </c>
      <c r="E31" s="44" t="n"/>
      <c r="H31" s="44">
        <f t="array" ref="H31:H31">IFERROR(INDEX(통합!$A$1:$A$400,SMALL(IF(통합!$F$1:$F$400="교회차1",ROW(통합!$F$1:$F$400)),28)),"")</f>
        <v/>
      </c>
      <c r="I31" s="44">
        <f t="array" ref="I31:I31">IFERROR(INDEX(통합!$B$1:$B$400,SMALL(IF(통합!$F$1:$F$400="교회차1",ROW(통합!$F$1:$F$400)),28)),"")</f>
        <v/>
      </c>
      <c r="J31" s="44">
        <f t="array" ref="J31:J31">IFERROR(INDEX(통합!$C$1:$C$400,SMALL(IF(통합!$F$1:$F$400="교회차1",ROW(통합!$F$1:$F$400)),28)),"")</f>
        <v/>
      </c>
      <c r="K31" s="44" t="n"/>
    </row>
    <row r="32" ht="19.5" customHeight="1" s="33">
      <c r="A32" s="41" t="n">
        <v>29</v>
      </c>
      <c r="B32" s="42">
        <f t="array" ref="B32:B32">IFERROR(INDEX(통합!$A$1:$A$400,SMALL(IF(통합!$E$1:$E$400="교회차1",ROW(통합!$E$1:$E$400)),29)),"")</f>
        <v/>
      </c>
      <c r="C32" s="42">
        <f t="array" ref="C32:C32">IFERROR(INDEX(통합!$B$1:$B$400,SMALL(IF(통합!$E$1:$E$400="교회차1",ROW(통합!$E$1:$E$400)),29)),"")</f>
        <v/>
      </c>
      <c r="D32" s="42">
        <f t="array" ref="D32:D32">IFERROR(INDEX(통합!$C$1:$C$400,SMALL(IF(통합!$E$1:$E$400="교회차1",ROW(통합!$E$1:$E$400)),29)),"")</f>
        <v/>
      </c>
      <c r="E32" s="42" t="n"/>
      <c r="H32" s="42">
        <f t="array" ref="H32:H32">IFERROR(INDEX(통합!$A$1:$A$400,SMALL(IF(통합!$F$1:$F$400="교회차1",ROW(통합!$F$1:$F$400)),29)),"")</f>
        <v/>
      </c>
      <c r="I32" s="42">
        <f t="array" ref="I32:I32">IFERROR(INDEX(통합!$B$1:$B$400,SMALL(IF(통합!$F$1:$F$400="교회차1",ROW(통합!$F$1:$F$400)),29)),"")</f>
        <v/>
      </c>
      <c r="J32" s="42">
        <f t="array" ref="J32:J32">IFERROR(INDEX(통합!$C$1:$C$400,SMALL(IF(통합!$F$1:$F$400="교회차1",ROW(통합!$F$1:$F$400)),29)),"")</f>
        <v/>
      </c>
      <c r="K32" s="42" t="n"/>
    </row>
    <row r="33" ht="19.5" customHeight="1" s="33">
      <c r="A33" s="43" t="n">
        <v>30</v>
      </c>
      <c r="B33" s="44">
        <f t="array" ref="B33:B33">IFERROR(INDEX(통합!$A$1:$A$400,SMALL(IF(통합!$E$1:$E$400="교회차1",ROW(통합!$E$1:$E$400)),30)),"")</f>
        <v/>
      </c>
      <c r="C33" s="44">
        <f t="array" ref="C33:C33">IFERROR(INDEX(통합!$B$1:$B$400,SMALL(IF(통합!$E$1:$E$400="교회차1",ROW(통합!$E$1:$E$400)),30)),"")</f>
        <v/>
      </c>
      <c r="D33" s="44">
        <f t="array" ref="D33:D33">IFERROR(INDEX(통합!$C$1:$C$400,SMALL(IF(통합!$E$1:$E$400="교회차1",ROW(통합!$E$1:$E$400)),30)),"")</f>
        <v/>
      </c>
      <c r="E33" s="44" t="n"/>
      <c r="H33" s="44">
        <f t="array" ref="H33:H33">IFERROR(INDEX(통합!$A$1:$A$400,SMALL(IF(통합!$F$1:$F$400="교회차1",ROW(통합!$F$1:$F$400)),30)),"")</f>
        <v/>
      </c>
      <c r="I33" s="44">
        <f t="array" ref="I33:I33">IFERROR(INDEX(통합!$B$1:$B$400,SMALL(IF(통합!$F$1:$F$400="교회차1",ROW(통합!$F$1:$F$400)),30)),"")</f>
        <v/>
      </c>
      <c r="J33" s="44">
        <f t="array" ref="J33:J33">IFERROR(INDEX(통합!$C$1:$C$400,SMALL(IF(통합!$F$1:$F$400="교회차1",ROW(통합!$F$1:$F$400)),30)),"")</f>
        <v/>
      </c>
      <c r="K33" s="44" t="n"/>
    </row>
    <row r="34" ht="19.5" customHeight="1" s="33">
      <c r="A34" s="41" t="n">
        <v>31</v>
      </c>
      <c r="B34" s="42">
        <f t="array" ref="B34:B34">IFERROR(INDEX(통합!$A$1:$A$400,SMALL(IF(통합!$E$1:$E$400="교회차1",ROW(통합!$E$1:$E$400)),31)),"")</f>
        <v/>
      </c>
      <c r="C34" s="42">
        <f t="array" ref="C34:C34">IFERROR(INDEX(통합!$B$1:$B$400,SMALL(IF(통합!$E$1:$E$400="교회차1",ROW(통합!$E$1:$E$400)),31)),"")</f>
        <v/>
      </c>
      <c r="D34" s="42">
        <f t="array" ref="D34:D34">IFERROR(INDEX(통합!$C$1:$C$400,SMALL(IF(통합!$E$1:$E$400="교회차1",ROW(통합!$E$1:$E$400)),31)),"")</f>
        <v/>
      </c>
      <c r="E34" s="42" t="n"/>
      <c r="H34" s="42">
        <f t="array" ref="H34:H34">IFERROR(INDEX(통합!$A$1:$A$400,SMALL(IF(통합!$F$1:$F$400="교회차1",ROW(통합!$F$1:$F$400)),31)),"")</f>
        <v/>
      </c>
      <c r="I34" s="42">
        <f t="array" ref="I34:I34">IFERROR(INDEX(통합!$B$1:$B$400,SMALL(IF(통합!$F$1:$F$400="교회차1",ROW(통합!$F$1:$F$400)),31)),"")</f>
        <v/>
      </c>
      <c r="J34" s="42">
        <f t="array" ref="J34:J34">IFERROR(INDEX(통합!$C$1:$C$400,SMALL(IF(통합!$F$1:$F$400="교회차1",ROW(통합!$F$1:$F$400)),31)),"")</f>
        <v/>
      </c>
      <c r="K34" s="42" t="n"/>
    </row>
    <row r="35" ht="19.5" customHeight="1" s="33">
      <c r="A35" s="43" t="n">
        <v>32</v>
      </c>
      <c r="B35" s="44">
        <f t="array" ref="B35:B35">IFERROR(INDEX(통합!$A$1:$A$400,SMALL(IF(통합!$E$1:$E$400="교회차1",ROW(통합!$E$1:$E$400)),32)),"")</f>
        <v/>
      </c>
      <c r="C35" s="44">
        <f t="array" ref="C35:C35">IFERROR(INDEX(통합!$B$1:$B$400,SMALL(IF(통합!$E$1:$E$400="교회차1",ROW(통합!$E$1:$E$400)),32)),"")</f>
        <v/>
      </c>
      <c r="D35" s="44">
        <f t="array" ref="D35:D35">IFERROR(INDEX(통합!$C$1:$C$400,SMALL(IF(통합!$E$1:$E$400="교회차1",ROW(통합!$E$1:$E$400)),32)),"")</f>
        <v/>
      </c>
      <c r="E35" s="44" t="n"/>
      <c r="H35" s="44">
        <f t="array" ref="H35:H35">IFERROR(INDEX(통합!$A$1:$A$400,SMALL(IF(통합!$F$1:$F$400="교회차1",ROW(통합!$F$1:$F$400)),32)),"")</f>
        <v/>
      </c>
      <c r="I35" s="44">
        <f t="array" ref="I35:I35">IFERROR(INDEX(통합!$B$1:$B$400,SMALL(IF(통합!$F$1:$F$400="교회차1",ROW(통합!$F$1:$F$400)),32)),"")</f>
        <v/>
      </c>
      <c r="J35" s="44">
        <f t="array" ref="J35:J35">IFERROR(INDEX(통합!$C$1:$C$400,SMALL(IF(통합!$F$1:$F$400="교회차1",ROW(통합!$F$1:$F$400)),32)),"")</f>
        <v/>
      </c>
      <c r="K35" s="44" t="n"/>
    </row>
    <row r="36" ht="19.5" customHeight="1" s="33">
      <c r="A36" s="41" t="n">
        <v>33</v>
      </c>
      <c r="B36" s="42">
        <f t="array" ref="B36:B36">IFERROR(INDEX(통합!$A$1:$A$400,SMALL(IF(통합!$E$1:$E$400="교회차1",ROW(통합!$E$1:$E$400)),33)),"")</f>
        <v/>
      </c>
      <c r="C36" s="42">
        <f t="array" ref="C36:C36">IFERROR(INDEX(통합!$B$1:$B$400,SMALL(IF(통합!$E$1:$E$400="교회차1",ROW(통합!$E$1:$E$400)),33)),"")</f>
        <v/>
      </c>
      <c r="D36" s="42">
        <f t="array" ref="D36:D36">IFERROR(INDEX(통합!$C$1:$C$400,SMALL(IF(통합!$E$1:$E$400="교회차1",ROW(통합!$E$1:$E$400)),33)),"")</f>
        <v/>
      </c>
      <c r="E36" s="42" t="n"/>
      <c r="H36" s="42">
        <f t="array" ref="H36:H36">IFERROR(INDEX(통합!$A$1:$A$400,SMALL(IF(통합!$F$1:$F$400="교회차1",ROW(통합!$F$1:$F$400)),33)),"")</f>
        <v/>
      </c>
      <c r="I36" s="42">
        <f t="array" ref="I36:I36">IFERROR(INDEX(통합!$B$1:$B$400,SMALL(IF(통합!$F$1:$F$400="교회차1",ROW(통합!$F$1:$F$400)),33)),"")</f>
        <v/>
      </c>
      <c r="J36" s="42">
        <f t="array" ref="J36:J36">IFERROR(INDEX(통합!$C$1:$C$400,SMALL(IF(통합!$F$1:$F$400="교회차1",ROW(통합!$F$1:$F$400)),33)),"")</f>
        <v/>
      </c>
      <c r="K36" s="42" t="n"/>
    </row>
    <row r="37" ht="19.5" customHeight="1" s="33">
      <c r="A37" s="43" t="n">
        <v>34</v>
      </c>
      <c r="B37" s="44">
        <f t="array" ref="B37:B37">IFERROR(INDEX(통합!$A$1:$A$400,SMALL(IF(통합!$E$1:$E$400="교회차1",ROW(통합!$E$1:$E$400)),34)),"")</f>
        <v/>
      </c>
      <c r="C37" s="44">
        <f t="array" ref="C37:C37">IFERROR(INDEX(통합!$B$1:$B$400,SMALL(IF(통합!$E$1:$E$400="교회차1",ROW(통합!$E$1:$E$400)),34)),"")</f>
        <v/>
      </c>
      <c r="D37" s="44">
        <f t="array" ref="D37:D37">IFERROR(INDEX(통합!$C$1:$C$400,SMALL(IF(통합!$E$1:$E$400="교회차1",ROW(통합!$E$1:$E$400)),34)),"")</f>
        <v/>
      </c>
      <c r="E37" s="44" t="n"/>
      <c r="H37" s="44">
        <f t="array" ref="H37:H37">IFERROR(INDEX(통합!$A$1:$A$400,SMALL(IF(통합!$F$1:$F$400="교회차1",ROW(통합!$F$1:$F$400)),34)),"")</f>
        <v/>
      </c>
      <c r="I37" s="44">
        <f t="array" ref="I37:I37">IFERROR(INDEX(통합!$B$1:$B$400,SMALL(IF(통합!$F$1:$F$400="교회차1",ROW(통합!$F$1:$F$400)),34)),"")</f>
        <v/>
      </c>
      <c r="J37" s="44">
        <f t="array" ref="J37:J37">IFERROR(INDEX(통합!$C$1:$C$400,SMALL(IF(통합!$F$1:$F$400="교회차1",ROW(통합!$F$1:$F$400)),34)),"")</f>
        <v/>
      </c>
      <c r="K37" s="44" t="n"/>
    </row>
    <row r="38" ht="19.5" customHeight="1" s="33">
      <c r="A38" s="41" t="n">
        <v>35</v>
      </c>
      <c r="B38" s="42">
        <f t="array" ref="B38:B38">IFERROR(INDEX(통합!$A$1:$A$400,SMALL(IF(통합!$E$1:$E$400="교회차1",ROW(통합!$E$1:$E$400)),35)),"")</f>
        <v/>
      </c>
      <c r="C38" s="42">
        <f t="array" ref="C38:C38">IFERROR(INDEX(통합!$B$1:$B$400,SMALL(IF(통합!$E$1:$E$400="교회차1",ROW(통합!$E$1:$E$400)),35)),"")</f>
        <v/>
      </c>
      <c r="D38" s="42">
        <f t="array" ref="D38:D38">IFERROR(INDEX(통합!$C$1:$C$400,SMALL(IF(통합!$E$1:$E$400="교회차1",ROW(통합!$E$1:$E$400)),35)),"")</f>
        <v/>
      </c>
      <c r="E38" s="42" t="n"/>
      <c r="H38" s="42">
        <f t="array" ref="H38:H38">IFERROR(INDEX(통합!$A$1:$A$400,SMALL(IF(통합!$F$1:$F$400="교회차1",ROW(통합!$F$1:$F$400)),35)),"")</f>
        <v/>
      </c>
      <c r="I38" s="42">
        <f t="array" ref="I38:I38">IFERROR(INDEX(통합!$B$1:$B$400,SMALL(IF(통합!$F$1:$F$400="교회차1",ROW(통합!$F$1:$F$400)),35)),"")</f>
        <v/>
      </c>
      <c r="J38" s="42">
        <f t="array" ref="J38:J38">IFERROR(INDEX(통합!$C$1:$C$400,SMALL(IF(통합!$F$1:$F$400="교회차1",ROW(통합!$F$1:$F$400)),35)),"")</f>
        <v/>
      </c>
      <c r="K38" s="42" t="n"/>
    </row>
    <row r="39" ht="19.5" customHeight="1" s="33">
      <c r="A39" s="43" t="n">
        <v>36</v>
      </c>
      <c r="B39" s="44">
        <f t="array" ref="B39:B39">IFERROR(INDEX(통합!$A$1:$A$400,SMALL(IF(통합!$E$1:$E$400="교회차1",ROW(통합!$E$1:$E$400)),36)),"")</f>
        <v/>
      </c>
      <c r="C39" s="44">
        <f t="array" ref="C39:C39">IFERROR(INDEX(통합!$B$1:$B$400,SMALL(IF(통합!$E$1:$E$400="교회차1",ROW(통합!$E$1:$E$400)),36)),"")</f>
        <v/>
      </c>
      <c r="D39" s="44">
        <f t="array" ref="D39:D39">IFERROR(INDEX(통합!$C$1:$C$400,SMALL(IF(통합!$E$1:$E$400="교회차1",ROW(통합!$E$1:$E$400)),36)),"")</f>
        <v/>
      </c>
      <c r="E39" s="44" t="n"/>
      <c r="H39" s="44">
        <f t="array" ref="H39:H39">IFERROR(INDEX(통합!$A$1:$A$400,SMALL(IF(통합!$F$1:$F$400="교회차1",ROW(통합!$F$1:$F$400)),36)),"")</f>
        <v/>
      </c>
      <c r="I39" s="44">
        <f t="array" ref="I39:I39">IFERROR(INDEX(통합!$B$1:$B$400,SMALL(IF(통합!$F$1:$F$400="교회차1",ROW(통합!$F$1:$F$400)),36)),"")</f>
        <v/>
      </c>
      <c r="J39" s="44">
        <f t="array" ref="J39:J39">IFERROR(INDEX(통합!$C$1:$C$400,SMALL(IF(통합!$F$1:$F$400="교회차1",ROW(통합!$F$1:$F$400)),36)),"")</f>
        <v/>
      </c>
      <c r="K39" s="44" t="n"/>
    </row>
    <row r="40" ht="19.5" customHeight="1" s="33">
      <c r="A40" s="41" t="n">
        <v>37</v>
      </c>
      <c r="B40" s="42">
        <f t="array" ref="B40:B40">IFERROR(INDEX(통합!$A$1:$A$400,SMALL(IF(통합!$E$1:$E$400="교회차1",ROW(통합!$E$1:$E$400)),37)),"")</f>
        <v/>
      </c>
      <c r="C40" s="42">
        <f t="array" ref="C40:C40">IFERROR(INDEX(통합!$B$1:$B$400,SMALL(IF(통합!$E$1:$E$400="교회차1",ROW(통합!$E$1:$E$400)),37)),"")</f>
        <v/>
      </c>
      <c r="D40" s="42">
        <f t="array" ref="D40:D40">IFERROR(INDEX(통합!$C$1:$C$400,SMALL(IF(통합!$E$1:$E$400="교회차1",ROW(통합!$E$1:$E$400)),37)),"")</f>
        <v/>
      </c>
      <c r="E40" s="42" t="n"/>
      <c r="H40" s="42">
        <f t="array" ref="H40:H40">IFERROR(INDEX(통합!$A$1:$A$400,SMALL(IF(통합!$F$1:$F$400="교회차1",ROW(통합!$F$1:$F$400)),37)),"")</f>
        <v/>
      </c>
      <c r="I40" s="42">
        <f t="array" ref="I40:I40">IFERROR(INDEX(통합!$B$1:$B$400,SMALL(IF(통합!$F$1:$F$400="교회차1",ROW(통합!$F$1:$F$400)),37)),"")</f>
        <v/>
      </c>
      <c r="J40" s="42">
        <f t="array" ref="J40:J40">IFERROR(INDEX(통합!$C$1:$C$400,SMALL(IF(통합!$F$1:$F$400="교회차1",ROW(통합!$F$1:$F$400)),37)),"")</f>
        <v/>
      </c>
      <c r="K40" s="42" t="n"/>
    </row>
    <row r="41" ht="19.5" customHeight="1" s="33">
      <c r="A41" s="43" t="n">
        <v>38</v>
      </c>
      <c r="B41" s="44">
        <f t="array" ref="B41:B41">IFERROR(INDEX(통합!$A$1:$A$400,SMALL(IF(통합!$E$1:$E$400="교회차1",ROW(통합!$E$1:$E$400)),38)),"")</f>
        <v/>
      </c>
      <c r="C41" s="44">
        <f t="array" ref="C41:C41">IFERROR(INDEX(통합!$B$1:$B$400,SMALL(IF(통합!$E$1:$E$400="교회차1",ROW(통합!$E$1:$E$400)),38)),"")</f>
        <v/>
      </c>
      <c r="D41" s="44">
        <f t="array" ref="D41:D41">IFERROR(INDEX(통합!$C$1:$C$400,SMALL(IF(통합!$E$1:$E$400="교회차1",ROW(통합!$E$1:$E$400)),38)),"")</f>
        <v/>
      </c>
      <c r="E41" s="44" t="n"/>
      <c r="H41" s="44">
        <f t="array" ref="H41:H41">IFERROR(INDEX(통합!$A$1:$A$400,SMALL(IF(통합!$F$1:$F$400="교회차1",ROW(통합!$F$1:$F$400)),38)),"")</f>
        <v/>
      </c>
      <c r="I41" s="44">
        <f t="array" ref="I41:I41">IFERROR(INDEX(통합!$B$1:$B$400,SMALL(IF(통합!$F$1:$F$400="교회차1",ROW(통합!$F$1:$F$400)),38)),"")</f>
        <v/>
      </c>
      <c r="J41" s="44">
        <f t="array" ref="J41:J41">IFERROR(INDEX(통합!$C$1:$C$400,SMALL(IF(통합!$F$1:$F$400="교회차1",ROW(통합!$F$1:$F$400)),38)),"")</f>
        <v/>
      </c>
      <c r="K41" s="44" t="n"/>
    </row>
    <row r="42" ht="19.5" customHeight="1" s="33">
      <c r="A42" s="41" t="n">
        <v>39</v>
      </c>
      <c r="B42" s="42">
        <f t="array" ref="B42:B42">IFERROR(INDEX(통합!$A$1:$A$400,SMALL(IF(통합!$E$1:$E$400="교회차1",ROW(통합!$E$1:$E$400)),39)),"")</f>
        <v/>
      </c>
      <c r="C42" s="42">
        <f t="array" ref="C42:C42">IFERROR(INDEX(통합!$B$1:$B$400,SMALL(IF(통합!$E$1:$E$400="교회차1",ROW(통합!$E$1:$E$400)),39)),"")</f>
        <v/>
      </c>
      <c r="D42" s="42">
        <f t="array" ref="D42:D42">IFERROR(INDEX(통합!$C$1:$C$400,SMALL(IF(통합!$E$1:$E$400="교회차1",ROW(통합!$E$1:$E$400)),39)),"")</f>
        <v/>
      </c>
      <c r="E42" s="42" t="n"/>
      <c r="H42" s="42">
        <f t="array" ref="H42:H42">IFERROR(INDEX(통합!$A$1:$A$400,SMALL(IF(통합!$F$1:$F$400="교회차1",ROW(통합!$F$1:$F$400)),39)),"")</f>
        <v/>
      </c>
      <c r="I42" s="42">
        <f t="array" ref="I42:I42">IFERROR(INDEX(통합!$B$1:$B$400,SMALL(IF(통합!$F$1:$F$400="교회차1",ROW(통합!$F$1:$F$400)),39)),"")</f>
        <v/>
      </c>
      <c r="J42" s="42">
        <f t="array" ref="J42:J42">IFERROR(INDEX(통합!$C$1:$C$400,SMALL(IF(통합!$F$1:$F$400="교회차1",ROW(통합!$F$1:$F$400)),39)),"")</f>
        <v/>
      </c>
      <c r="K42" s="42" t="n"/>
    </row>
    <row r="43" ht="19.5" customHeight="1" s="33">
      <c r="A43" s="43" t="n">
        <v>40</v>
      </c>
      <c r="B43" s="44">
        <f t="array" ref="B43:B43">IFERROR(INDEX(통합!$A$1:$A$400,SMALL(IF(통합!$E$1:$E$400="교회차1",ROW(통합!$E$1:$E$400)),40)),"")</f>
        <v/>
      </c>
      <c r="C43" s="44">
        <f t="array" ref="C43:C43">IFERROR(INDEX(통합!$B$1:$B$400,SMALL(IF(통합!$E$1:$E$400="교회차1",ROW(통합!$E$1:$E$400)),40)),"")</f>
        <v/>
      </c>
      <c r="D43" s="44">
        <f t="array" ref="D43:D43">IFERROR(INDEX(통합!$C$1:$C$400,SMALL(IF(통합!$E$1:$E$400="교회차1",ROW(통합!$E$1:$E$400)),40)),"")</f>
        <v/>
      </c>
      <c r="E43" s="44" t="n"/>
      <c r="H43" s="44">
        <f t="array" ref="H43:H43">IFERROR(INDEX(통합!$A$1:$A$400,SMALL(IF(통합!$F$1:$F$400="교회차1",ROW(통합!$F$1:$F$400)),40)),"")</f>
        <v/>
      </c>
      <c r="I43" s="44">
        <f t="array" ref="I43:I43">IFERROR(INDEX(통합!$B$1:$B$400,SMALL(IF(통합!$F$1:$F$400="교회차1",ROW(통합!$F$1:$F$400)),40)),"")</f>
        <v/>
      </c>
      <c r="J43" s="44">
        <f t="array" ref="J43:J43">IFERROR(INDEX(통합!$C$1:$C$400,SMALL(IF(통합!$F$1:$F$400="교회차1",ROW(통합!$F$1:$F$400)),40)),"")</f>
        <v/>
      </c>
      <c r="K43" s="44" t="n"/>
    </row>
    <row r="44" ht="15" customHeight="1" s="33">
      <c r="A44" s="45" t="inlineStr">
        <is>
          <t>교회차1  합  계</t>
        </is>
      </c>
      <c r="B44" s="35" t="n"/>
      <c r="C44" s="35" t="n"/>
      <c r="D44" s="35" t="n"/>
      <c r="E44" s="35" t="n"/>
      <c r="G44" s="45" t="inlineStr">
        <is>
          <t>교회차1  합  계</t>
        </is>
      </c>
      <c r="H44" s="35" t="n"/>
      <c r="I44" s="35" t="n"/>
      <c r="J44" s="35" t="n"/>
      <c r="K44" s="35" t="n"/>
    </row>
    <row r="45" ht="23.85" customHeight="1" s="33">
      <c r="A45" s="47" t="inlineStr">
        <is>
          <t>교회차2</t>
        </is>
      </c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</row>
    <row r="46" ht="15" customHeight="1" s="33">
      <c r="A46" s="64" t="inlineStr">
        <is>
          <t>상행</t>
        </is>
      </c>
      <c r="B46" s="35" t="n"/>
      <c r="C46" s="35" t="n"/>
      <c r="D46" s="35" t="n"/>
      <c r="E46" s="35" t="n"/>
      <c r="G46" s="64" t="inlineStr">
        <is>
          <t>하행</t>
        </is>
      </c>
      <c r="H46" s="35" t="n"/>
      <c r="I46" s="35" t="n"/>
      <c r="J46" s="35" t="n"/>
      <c r="K46" s="35" t="n"/>
    </row>
    <row r="47" ht="15" customHeight="1" s="33">
      <c r="A47" s="48" t="inlineStr">
        <is>
          <t>NO</t>
        </is>
      </c>
      <c r="B47" s="49" t="inlineStr">
        <is>
          <t>구역</t>
        </is>
      </c>
      <c r="C47" s="49" t="inlineStr">
        <is>
          <t>부서</t>
        </is>
      </c>
      <c r="D47" s="49" t="inlineStr">
        <is>
          <t>성 명</t>
        </is>
      </c>
      <c r="E47" s="49" t="inlineStr">
        <is>
          <t>비고</t>
        </is>
      </c>
      <c r="G47" s="48" t="inlineStr">
        <is>
          <t>NO</t>
        </is>
      </c>
      <c r="H47" s="49" t="inlineStr">
        <is>
          <t>구역</t>
        </is>
      </c>
      <c r="I47" s="49" t="inlineStr">
        <is>
          <t>부서</t>
        </is>
      </c>
      <c r="J47" s="49" t="inlineStr">
        <is>
          <t>성 명</t>
        </is>
      </c>
      <c r="K47" s="49" t="inlineStr">
        <is>
          <t>비고</t>
        </is>
      </c>
    </row>
    <row r="48" ht="19.5" customHeight="1" s="33">
      <c r="A48" s="41" t="n">
        <v>1</v>
      </c>
      <c r="B48" s="42">
        <f t="array" ref="B48:B48">IFERROR(INDEX(통합!$A$1:$A$400,SMALL(IF(통합!$E$1:$E$400="교회차2",ROW(통합!$E$1:$E$400)),1)),"")</f>
        <v/>
      </c>
      <c r="C48" s="42">
        <f t="array" ref="C48:C48">IFERROR(INDEX(통합!$B$1:$B$400,SMALL(IF(통합!$E$1:$E$400="교회차2",ROW(통합!$E$1:$E$400)),1)),"")</f>
        <v/>
      </c>
      <c r="D48" s="42">
        <f t="array" ref="D48:D48">IFERROR(INDEX(통합!$C$1:$C$400,SMALL(IF(통합!$E$1:$E$400="교회차2",ROW(통합!$E$1:$E$400)),1)),"")</f>
        <v/>
      </c>
      <c r="E48" s="42" t="n"/>
      <c r="H48" s="42">
        <f t="array" ref="H48:H48">IFERROR(INDEX(통합!$A$1:$A$400,SMALL(IF(통합!$F$1:$F$400="교회차2",ROW(통합!$F$1:$F$400)),1)),"")</f>
        <v/>
      </c>
      <c r="I48" s="42">
        <f t="array" ref="I48:I48">IFERROR(INDEX(통합!$B$1:$B$400,SMALL(IF(통합!$F$1:$F$400="교회차2",ROW(통합!$F$1:$F$400)),1)),"")</f>
        <v/>
      </c>
      <c r="J48" s="42">
        <f t="array" ref="J48:J48">IFERROR(INDEX(통합!$C$1:$C$400,SMALL(IF(통합!$F$1:$F$400="교회차2",ROW(통합!$F$1:$F$400)),1)),"")</f>
        <v/>
      </c>
      <c r="K48" s="42" t="n"/>
    </row>
    <row r="49" ht="19.5" customHeight="1" s="33">
      <c r="A49" s="43" t="n">
        <v>2</v>
      </c>
      <c r="B49" s="44">
        <f t="array" ref="B49:B49">IFERROR(INDEX(통합!$A$1:$A$400,SMALL(IF(통합!$E$1:$E$400="교회차2",ROW(통합!$E$1:$E$400)),2)),"")</f>
        <v/>
      </c>
      <c r="C49" s="44">
        <f t="array" ref="C49:C49">IFERROR(INDEX(통합!$B$1:$B$400,SMALL(IF(통합!$E$1:$E$400="교회차2",ROW(통합!$E$1:$E$400)),2)),"")</f>
        <v/>
      </c>
      <c r="D49" s="44">
        <f t="array" ref="D49:D49">IFERROR(INDEX(통합!$C$1:$C$400,SMALL(IF(통합!$E$1:$E$400="교회차2",ROW(통합!$E$1:$E$400)),2)),"")</f>
        <v/>
      </c>
      <c r="E49" s="44" t="n"/>
      <c r="H49" s="44">
        <f t="array" ref="H49:H49">IFERROR(INDEX(통합!$A$1:$A$400,SMALL(IF(통합!$F$1:$F$400="교회차2",ROW(통합!$F$1:$F$400)),2)),"")</f>
        <v/>
      </c>
      <c r="I49" s="44">
        <f t="array" ref="I49:I49">IFERROR(INDEX(통합!$B$1:$B$400,SMALL(IF(통합!$F$1:$F$400="교회차2",ROW(통합!$F$1:$F$400)),2)),"")</f>
        <v/>
      </c>
      <c r="J49" s="44">
        <f t="array" ref="J49:J49">IFERROR(INDEX(통합!$C$1:$C$400,SMALL(IF(통합!$F$1:$F$400="교회차2",ROW(통합!$F$1:$F$400)),2)),"")</f>
        <v/>
      </c>
      <c r="K49" s="44" t="n"/>
    </row>
    <row r="50" ht="19.5" customHeight="1" s="33">
      <c r="A50" s="41" t="n">
        <v>3</v>
      </c>
      <c r="B50" s="42">
        <f t="array" ref="B50:B50">IFERROR(INDEX(통합!$A$1:$A$400,SMALL(IF(통합!$E$1:$E$400="교회차2",ROW(통합!$E$1:$E$400)),3)),"")</f>
        <v/>
      </c>
      <c r="C50" s="42">
        <f t="array" ref="C50:C50">IFERROR(INDEX(통합!$B$1:$B$400,SMALL(IF(통합!$E$1:$E$400="교회차2",ROW(통합!$E$1:$E$400)),3)),"")</f>
        <v/>
      </c>
      <c r="D50" s="42">
        <f t="array" ref="D50:D50">IFERROR(INDEX(통합!$C$1:$C$400,SMALL(IF(통합!$E$1:$E$400="교회차2",ROW(통합!$E$1:$E$400)),3)),"")</f>
        <v/>
      </c>
      <c r="E50" s="42" t="n"/>
      <c r="H50" s="42">
        <f t="array" ref="H50:H50">IFERROR(INDEX(통합!$A$1:$A$400,SMALL(IF(통합!$F$1:$F$400="교회차2",ROW(통합!$F$1:$F$400)),3)),"")</f>
        <v/>
      </c>
      <c r="I50" s="42">
        <f t="array" ref="I50:I50">IFERROR(INDEX(통합!$B$1:$B$400,SMALL(IF(통합!$F$1:$F$400="교회차2",ROW(통합!$F$1:$F$400)),3)),"")</f>
        <v/>
      </c>
      <c r="J50" s="42">
        <f t="array" ref="J50:J50">IFERROR(INDEX(통합!$C$1:$C$400,SMALL(IF(통합!$F$1:$F$400="교회차2",ROW(통합!$F$1:$F$400)),3)),"")</f>
        <v/>
      </c>
      <c r="K50" s="42" t="n"/>
    </row>
    <row r="51" ht="19.5" customHeight="1" s="33">
      <c r="A51" s="43" t="n">
        <v>4</v>
      </c>
      <c r="B51" s="44">
        <f t="array" ref="B51:B51">IFERROR(INDEX(통합!$A$1:$A$400,SMALL(IF(통합!$E$1:$E$400="교회차2",ROW(통합!$E$1:$E$400)),4)),"")</f>
        <v/>
      </c>
      <c r="C51" s="44">
        <f t="array" ref="C51:C51">IFERROR(INDEX(통합!$B$1:$B$400,SMALL(IF(통합!$E$1:$E$400="교회차2",ROW(통합!$E$1:$E$400)),4)),"")</f>
        <v/>
      </c>
      <c r="D51" s="44">
        <f t="array" ref="D51:D51">IFERROR(INDEX(통합!$C$1:$C$400,SMALL(IF(통합!$E$1:$E$400="교회차2",ROW(통합!$E$1:$E$400)),4)),"")</f>
        <v/>
      </c>
      <c r="E51" s="44" t="n"/>
      <c r="H51" s="44">
        <f t="array" ref="H51:H51">IFERROR(INDEX(통합!$A$1:$A$400,SMALL(IF(통합!$F$1:$F$400="교회차2",ROW(통합!$F$1:$F$400)),4)),"")</f>
        <v/>
      </c>
      <c r="I51" s="44">
        <f t="array" ref="I51:I51">IFERROR(INDEX(통합!$B$1:$B$400,SMALL(IF(통합!$F$1:$F$400="교회차2",ROW(통합!$F$1:$F$400)),4)),"")</f>
        <v/>
      </c>
      <c r="J51" s="44">
        <f t="array" ref="J51:J51">IFERROR(INDEX(통합!$C$1:$C$400,SMALL(IF(통합!$F$1:$F$400="교회차2",ROW(통합!$F$1:$F$400)),4)),"")</f>
        <v/>
      </c>
      <c r="K51" s="44" t="n"/>
    </row>
    <row r="52" ht="19.5" customHeight="1" s="33">
      <c r="A52" s="41" t="n">
        <v>5</v>
      </c>
      <c r="B52" s="42">
        <f t="array" ref="B52:B52">IFERROR(INDEX(통합!$A$1:$A$400,SMALL(IF(통합!$E$1:$E$400="교회차2",ROW(통합!$E$1:$E$400)),5)),"")</f>
        <v/>
      </c>
      <c r="C52" s="42">
        <f t="array" ref="C52:C52">IFERROR(INDEX(통합!$B$1:$B$400,SMALL(IF(통합!$E$1:$E$400="교회차2",ROW(통합!$E$1:$E$400)),5)),"")</f>
        <v/>
      </c>
      <c r="D52" s="42">
        <f t="array" ref="D52:D52">IFERROR(INDEX(통합!$C$1:$C$400,SMALL(IF(통합!$E$1:$E$400="교회차2",ROW(통합!$E$1:$E$400)),5)),"")</f>
        <v/>
      </c>
      <c r="E52" s="42" t="n"/>
      <c r="H52" s="42">
        <f t="array" ref="H52:H52">IFERROR(INDEX(통합!$A$1:$A$400,SMALL(IF(통합!$F$1:$F$400="교회차2",ROW(통합!$F$1:$F$400)),5)),"")</f>
        <v/>
      </c>
      <c r="I52" s="42">
        <f t="array" ref="I52:I52">IFERROR(INDEX(통합!$B$1:$B$400,SMALL(IF(통합!$F$1:$F$400="교회차2",ROW(통합!$F$1:$F$400)),5)),"")</f>
        <v/>
      </c>
      <c r="J52" s="42">
        <f t="array" ref="J52:J52">IFERROR(INDEX(통합!$C$1:$C$400,SMALL(IF(통합!$F$1:$F$400="교회차2",ROW(통합!$F$1:$F$400)),5)),"")</f>
        <v/>
      </c>
      <c r="K52" s="42" t="n"/>
    </row>
    <row r="53" ht="19.5" customHeight="1" s="33">
      <c r="A53" s="43" t="n">
        <v>6</v>
      </c>
      <c r="B53" s="44">
        <f t="array" ref="B53:B53">IFERROR(INDEX(통합!$A$1:$A$400,SMALL(IF(통합!$E$1:$E$400="교회차2",ROW(통합!$E$1:$E$400)),6)),"")</f>
        <v/>
      </c>
      <c r="C53" s="44">
        <f t="array" ref="C53:C53">IFERROR(INDEX(통합!$B$1:$B$400,SMALL(IF(통합!$E$1:$E$400="교회차2",ROW(통합!$E$1:$E$400)),6)),"")</f>
        <v/>
      </c>
      <c r="D53" s="44">
        <f t="array" ref="D53:D53">IFERROR(INDEX(통합!$C$1:$C$400,SMALL(IF(통합!$E$1:$E$400="교회차2",ROW(통합!$E$1:$E$400)),6)),"")</f>
        <v/>
      </c>
      <c r="E53" s="44" t="n"/>
      <c r="H53" s="44">
        <f t="array" ref="H53:H53">IFERROR(INDEX(통합!$A$1:$A$400,SMALL(IF(통합!$F$1:$F$400="교회차2",ROW(통합!$F$1:$F$400)),6)),"")</f>
        <v/>
      </c>
      <c r="I53" s="44">
        <f t="array" ref="I53:I53">IFERROR(INDEX(통합!$B$1:$B$400,SMALL(IF(통합!$F$1:$F$400="교회차2",ROW(통합!$F$1:$F$400)),6)),"")</f>
        <v/>
      </c>
      <c r="J53" s="44">
        <f t="array" ref="J53:J53">IFERROR(INDEX(통합!$C$1:$C$400,SMALL(IF(통합!$F$1:$F$400="교회차2",ROW(통합!$F$1:$F$400)),6)),"")</f>
        <v/>
      </c>
      <c r="K53" s="44" t="n"/>
    </row>
    <row r="54" ht="19.5" customHeight="1" s="33">
      <c r="A54" s="41" t="n">
        <v>7</v>
      </c>
      <c r="B54" s="42">
        <f t="array" ref="B54:B54">IFERROR(INDEX(통합!$A$1:$A$400,SMALL(IF(통합!$E$1:$E$400="교회차2",ROW(통합!$E$1:$E$400)),7)),"")</f>
        <v/>
      </c>
      <c r="C54" s="42">
        <f t="array" ref="C54:C54">IFERROR(INDEX(통합!$B$1:$B$400,SMALL(IF(통합!$E$1:$E$400="교회차2",ROW(통합!$E$1:$E$400)),7)),"")</f>
        <v/>
      </c>
      <c r="D54" s="42">
        <f t="array" ref="D54:D54">IFERROR(INDEX(통합!$C$1:$C$400,SMALL(IF(통합!$E$1:$E$400="교회차2",ROW(통합!$E$1:$E$400)),7)),"")</f>
        <v/>
      </c>
      <c r="E54" s="42" t="n"/>
      <c r="H54" s="42">
        <f t="array" ref="H54:H54">IFERROR(INDEX(통합!$A$1:$A$400,SMALL(IF(통합!$F$1:$F$400="교회차2",ROW(통합!$F$1:$F$400)),7)),"")</f>
        <v/>
      </c>
      <c r="I54" s="42">
        <f t="array" ref="I54:I54">IFERROR(INDEX(통합!$B$1:$B$400,SMALL(IF(통합!$F$1:$F$400="교회차2",ROW(통합!$F$1:$F$400)),7)),"")</f>
        <v/>
      </c>
      <c r="J54" s="42">
        <f t="array" ref="J54:J54">IFERROR(INDEX(통합!$C$1:$C$400,SMALL(IF(통합!$F$1:$F$400="교회차2",ROW(통합!$F$1:$F$400)),7)),"")</f>
        <v/>
      </c>
      <c r="K54" s="42" t="n"/>
    </row>
    <row r="55" ht="19.5" customHeight="1" s="33">
      <c r="A55" s="43" t="n">
        <v>8</v>
      </c>
      <c r="B55" s="44">
        <f t="array" ref="B55:B55">IFERROR(INDEX(통합!$A$1:$A$400,SMALL(IF(통합!$E$1:$E$400="교회차2",ROW(통합!$E$1:$E$400)),8)),"")</f>
        <v/>
      </c>
      <c r="C55" s="44">
        <f t="array" ref="C55:C55">IFERROR(INDEX(통합!$B$1:$B$400,SMALL(IF(통합!$E$1:$E$400="교회차2",ROW(통합!$E$1:$E$400)),8)),"")</f>
        <v/>
      </c>
      <c r="D55" s="44">
        <f t="array" ref="D55:D55">IFERROR(INDEX(통합!$C$1:$C$400,SMALL(IF(통합!$E$1:$E$400="교회차2",ROW(통합!$E$1:$E$400)),8)),"")</f>
        <v/>
      </c>
      <c r="E55" s="44" t="n"/>
      <c r="H55" s="44">
        <f t="array" ref="H55:H55">IFERROR(INDEX(통합!$A$1:$A$400,SMALL(IF(통합!$F$1:$F$400="교회차2",ROW(통합!$F$1:$F$400)),8)),"")</f>
        <v/>
      </c>
      <c r="I55" s="44">
        <f t="array" ref="I55:I55">IFERROR(INDEX(통합!$B$1:$B$400,SMALL(IF(통합!$F$1:$F$400="교회차2",ROW(통합!$F$1:$F$400)),8)),"")</f>
        <v/>
      </c>
      <c r="J55" s="44">
        <f t="array" ref="J55:J55">IFERROR(INDEX(통합!$C$1:$C$400,SMALL(IF(통합!$F$1:$F$400="교회차2",ROW(통합!$F$1:$F$400)),8)),"")</f>
        <v/>
      </c>
      <c r="K55" s="44" t="n"/>
    </row>
    <row r="56" ht="19.5" customHeight="1" s="33">
      <c r="A56" s="41" t="n">
        <v>9</v>
      </c>
      <c r="B56" s="42">
        <f t="array" ref="B56:B56">IFERROR(INDEX(통합!$A$1:$A$400,SMALL(IF(통합!$E$1:$E$400="교회차2",ROW(통합!$E$1:$E$400)),9)),"")</f>
        <v/>
      </c>
      <c r="C56" s="42">
        <f t="array" ref="C56:C56">IFERROR(INDEX(통합!$B$1:$B$400,SMALL(IF(통합!$E$1:$E$400="교회차2",ROW(통합!$E$1:$E$400)),9)),"")</f>
        <v/>
      </c>
      <c r="D56" s="42">
        <f t="array" ref="D56:D56">IFERROR(INDEX(통합!$C$1:$C$400,SMALL(IF(통합!$E$1:$E$400="교회차2",ROW(통합!$E$1:$E$400)),9)),"")</f>
        <v/>
      </c>
      <c r="E56" s="42" t="n"/>
      <c r="H56" s="42">
        <f t="array" ref="H56:H56">IFERROR(INDEX(통합!$A$1:$A$400,SMALL(IF(통합!$F$1:$F$400="교회차2",ROW(통합!$F$1:$F$400)),9)),"")</f>
        <v/>
      </c>
      <c r="I56" s="42">
        <f t="array" ref="I56:I56">IFERROR(INDEX(통합!$B$1:$B$400,SMALL(IF(통합!$F$1:$F$400="교회차2",ROW(통합!$F$1:$F$400)),9)),"")</f>
        <v/>
      </c>
      <c r="J56" s="42">
        <f t="array" ref="J56:J56">IFERROR(INDEX(통합!$C$1:$C$400,SMALL(IF(통합!$F$1:$F$400="교회차2",ROW(통합!$F$1:$F$400)),9)),"")</f>
        <v/>
      </c>
      <c r="K56" s="42" t="n"/>
    </row>
    <row r="57" ht="19.5" customHeight="1" s="33">
      <c r="A57" s="43" t="n">
        <v>10</v>
      </c>
      <c r="B57" s="44">
        <f t="array" ref="B57:B57">IFERROR(INDEX(통합!$A$1:$A$400,SMALL(IF(통합!$E$1:$E$400="교회차2",ROW(통합!$E$1:$E$400)),10)),"")</f>
        <v/>
      </c>
      <c r="C57" s="44">
        <f t="array" ref="C57:C57">IFERROR(INDEX(통합!$B$1:$B$400,SMALL(IF(통합!$E$1:$E$400="교회차2",ROW(통합!$E$1:$E$400)),10)),"")</f>
        <v/>
      </c>
      <c r="D57" s="44">
        <f t="array" ref="D57:D57">IFERROR(INDEX(통합!$C$1:$C$400,SMALL(IF(통합!$E$1:$E$400="교회차2",ROW(통합!$E$1:$E$400)),10)),"")</f>
        <v/>
      </c>
      <c r="E57" s="44" t="n"/>
      <c r="H57" s="44">
        <f t="array" ref="H57:H57">IFERROR(INDEX(통합!$A$1:$A$400,SMALL(IF(통합!$F$1:$F$400="교회차2",ROW(통합!$F$1:$F$400)),10)),"")</f>
        <v/>
      </c>
      <c r="I57" s="44">
        <f t="array" ref="I57:I57">IFERROR(INDEX(통합!$B$1:$B$400,SMALL(IF(통합!$F$1:$F$400="교회차2",ROW(통합!$F$1:$F$400)),10)),"")</f>
        <v/>
      </c>
      <c r="J57" s="44">
        <f t="array" ref="J57:J57">IFERROR(INDEX(통합!$C$1:$C$400,SMALL(IF(통합!$F$1:$F$400="교회차2",ROW(통합!$F$1:$F$400)),10)),"")</f>
        <v/>
      </c>
      <c r="K57" s="44" t="n"/>
    </row>
    <row r="58" ht="19.5" customHeight="1" s="33">
      <c r="A58" s="41" t="n">
        <v>11</v>
      </c>
      <c r="B58" s="42">
        <f t="array" ref="B58:B58">IFERROR(INDEX(통합!$A$1:$A$400,SMALL(IF(통합!$E$1:$E$400="교회차2",ROW(통합!$E$1:$E$400)),11)),"")</f>
        <v/>
      </c>
      <c r="C58" s="42">
        <f t="array" ref="C58:C58">IFERROR(INDEX(통합!$B$1:$B$400,SMALL(IF(통합!$E$1:$E$400="교회차2",ROW(통합!$E$1:$E$400)),11)),"")</f>
        <v/>
      </c>
      <c r="D58" s="42">
        <f t="array" ref="D58:D58">IFERROR(INDEX(통합!$C$1:$C$400,SMALL(IF(통합!$E$1:$E$400="교회차2",ROW(통합!$E$1:$E$400)),11)),"")</f>
        <v/>
      </c>
      <c r="E58" s="42" t="n"/>
      <c r="H58" s="42">
        <f t="array" ref="H58:H58">IFERROR(INDEX(통합!$A$1:$A$400,SMALL(IF(통합!$F$1:$F$400="교회차2",ROW(통합!$F$1:$F$400)),11)),"")</f>
        <v/>
      </c>
      <c r="I58" s="42">
        <f t="array" ref="I58:I58">IFERROR(INDEX(통합!$B$1:$B$400,SMALL(IF(통합!$F$1:$F$400="교회차2",ROW(통합!$F$1:$F$400)),11)),"")</f>
        <v/>
      </c>
      <c r="J58" s="42">
        <f t="array" ref="J58:J58">IFERROR(INDEX(통합!$C$1:$C$400,SMALL(IF(통합!$F$1:$F$400="교회차2",ROW(통합!$F$1:$F$400)),11)),"")</f>
        <v/>
      </c>
      <c r="K58" s="42" t="n"/>
    </row>
    <row r="59" ht="19.5" customHeight="1" s="33">
      <c r="A59" s="43" t="n">
        <v>12</v>
      </c>
      <c r="B59" s="44">
        <f t="array" ref="B59:B59">IFERROR(INDEX(통합!$A$1:$A$400,SMALL(IF(통합!$E$1:$E$400="교회차2",ROW(통합!$E$1:$E$400)),12)),"")</f>
        <v/>
      </c>
      <c r="C59" s="44">
        <f t="array" ref="C59:C59">IFERROR(INDEX(통합!$B$1:$B$400,SMALL(IF(통합!$E$1:$E$400="교회차2",ROW(통합!$E$1:$E$400)),12)),"")</f>
        <v/>
      </c>
      <c r="D59" s="44">
        <f t="array" ref="D59:D59">IFERROR(INDEX(통합!$C$1:$C$400,SMALL(IF(통합!$E$1:$E$400="교회차2",ROW(통합!$E$1:$E$400)),12)),"")</f>
        <v/>
      </c>
      <c r="E59" s="44" t="n"/>
      <c r="H59" s="44">
        <f t="array" ref="H59:H59">IFERROR(INDEX(통합!$A$1:$A$400,SMALL(IF(통합!$F$1:$F$400="교회차2",ROW(통합!$F$1:$F$400)),12)),"")</f>
        <v/>
      </c>
      <c r="I59" s="44">
        <f t="array" ref="I59:I59">IFERROR(INDEX(통합!$B$1:$B$400,SMALL(IF(통합!$F$1:$F$400="교회차2",ROW(통합!$F$1:$F$400)),12)),"")</f>
        <v/>
      </c>
      <c r="J59" s="44">
        <f t="array" ref="J59:J59">IFERROR(INDEX(통합!$C$1:$C$400,SMALL(IF(통합!$F$1:$F$400="교회차2",ROW(통합!$F$1:$F$400)),12)),"")</f>
        <v/>
      </c>
      <c r="K59" s="44" t="n"/>
    </row>
    <row r="60" ht="19.5" customHeight="1" s="33">
      <c r="A60" s="41" t="n">
        <v>13</v>
      </c>
      <c r="B60" s="42">
        <f t="array" ref="B60:B60">IFERROR(INDEX(통합!$A$1:$A$400,SMALL(IF(통합!$E$1:$E$400="교회차2",ROW(통합!$E$1:$E$400)),13)),"")</f>
        <v/>
      </c>
      <c r="C60" s="42">
        <f t="array" ref="C60:C60">IFERROR(INDEX(통합!$B$1:$B$400,SMALL(IF(통합!$E$1:$E$400="교회차2",ROW(통합!$E$1:$E$400)),13)),"")</f>
        <v/>
      </c>
      <c r="D60" s="42">
        <f t="array" ref="D60:D60">IFERROR(INDEX(통합!$C$1:$C$400,SMALL(IF(통합!$E$1:$E$400="교회차2",ROW(통합!$E$1:$E$400)),13)),"")</f>
        <v/>
      </c>
      <c r="E60" s="42" t="n"/>
      <c r="H60" s="42">
        <f t="array" ref="H60:H60">IFERROR(INDEX(통합!$A$1:$A$400,SMALL(IF(통합!$F$1:$F$400="교회차2",ROW(통합!$F$1:$F$400)),13)),"")</f>
        <v/>
      </c>
      <c r="I60" s="42">
        <f t="array" ref="I60:I60">IFERROR(INDEX(통합!$B$1:$B$400,SMALL(IF(통합!$F$1:$F$400="교회차2",ROW(통합!$F$1:$F$400)),13)),"")</f>
        <v/>
      </c>
      <c r="J60" s="42">
        <f t="array" ref="J60:J60">IFERROR(INDEX(통합!$C$1:$C$400,SMALL(IF(통합!$F$1:$F$400="교회차2",ROW(통합!$F$1:$F$400)),13)),"")</f>
        <v/>
      </c>
      <c r="K60" s="42" t="n"/>
    </row>
    <row r="61" ht="19.5" customHeight="1" s="33">
      <c r="A61" s="43" t="n">
        <v>14</v>
      </c>
      <c r="B61" s="44">
        <f t="array" ref="B61:B61">IFERROR(INDEX(통합!$A$1:$A$400,SMALL(IF(통합!$E$1:$E$400="교회차2",ROW(통합!$E$1:$E$400)),14)),"")</f>
        <v/>
      </c>
      <c r="C61" s="44">
        <f t="array" ref="C61:C61">IFERROR(INDEX(통합!$B$1:$B$400,SMALL(IF(통합!$E$1:$E$400="교회차2",ROW(통합!$E$1:$E$400)),14)),"")</f>
        <v/>
      </c>
      <c r="D61" s="44">
        <f t="array" ref="D61:D61">IFERROR(INDEX(통합!$C$1:$C$400,SMALL(IF(통합!$E$1:$E$400="교회차2",ROW(통합!$E$1:$E$400)),14)),"")</f>
        <v/>
      </c>
      <c r="E61" s="44" t="n"/>
      <c r="H61" s="44">
        <f t="array" ref="H61:H61">IFERROR(INDEX(통합!$A$1:$A$400,SMALL(IF(통합!$F$1:$F$400="교회차2",ROW(통합!$F$1:$F$400)),14)),"")</f>
        <v/>
      </c>
      <c r="I61" s="44">
        <f t="array" ref="I61:I61">IFERROR(INDEX(통합!$B$1:$B$400,SMALL(IF(통합!$F$1:$F$400="교회차2",ROW(통합!$F$1:$F$400)),14)),"")</f>
        <v/>
      </c>
      <c r="J61" s="44">
        <f t="array" ref="J61:J61">IFERROR(INDEX(통합!$C$1:$C$400,SMALL(IF(통합!$F$1:$F$400="교회차2",ROW(통합!$F$1:$F$400)),14)),"")</f>
        <v/>
      </c>
      <c r="K61" s="44" t="n"/>
    </row>
    <row r="62" ht="19.5" customHeight="1" s="33">
      <c r="A62" s="41" t="n">
        <v>15</v>
      </c>
      <c r="B62" s="42">
        <f t="array" ref="B62:B62">IFERROR(INDEX(통합!$A$1:$A$400,SMALL(IF(통합!$E$1:$E$400="교회차2",ROW(통합!$E$1:$E$400)),15)),"")</f>
        <v/>
      </c>
      <c r="C62" s="42">
        <f t="array" ref="C62:C62">IFERROR(INDEX(통합!$B$1:$B$400,SMALL(IF(통합!$E$1:$E$400="교회차2",ROW(통합!$E$1:$E$400)),15)),"")</f>
        <v/>
      </c>
      <c r="D62" s="42">
        <f t="array" ref="D62:D62">IFERROR(INDEX(통합!$C$1:$C$400,SMALL(IF(통합!$E$1:$E$400="교회차2",ROW(통합!$E$1:$E$400)),15)),"")</f>
        <v/>
      </c>
      <c r="E62" s="42" t="n"/>
      <c r="H62" s="42">
        <f t="array" ref="H62:H62">IFERROR(INDEX(통합!$A$1:$A$400,SMALL(IF(통합!$F$1:$F$400="교회차2",ROW(통합!$F$1:$F$400)),15)),"")</f>
        <v/>
      </c>
      <c r="I62" s="42">
        <f t="array" ref="I62:I62">IFERROR(INDEX(통합!$B$1:$B$400,SMALL(IF(통합!$F$1:$F$400="교회차2",ROW(통합!$F$1:$F$400)),15)),"")</f>
        <v/>
      </c>
      <c r="J62" s="42">
        <f t="array" ref="J62:J62">IFERROR(INDEX(통합!$C$1:$C$400,SMALL(IF(통합!$F$1:$F$400="교회차2",ROW(통합!$F$1:$F$400)),15)),"")</f>
        <v/>
      </c>
      <c r="K62" s="42" t="n"/>
    </row>
    <row r="63" ht="19.5" customHeight="1" s="33">
      <c r="A63" s="43" t="n">
        <v>16</v>
      </c>
      <c r="B63" s="44">
        <f t="array" ref="B63:B63">IFERROR(INDEX(통합!$A$1:$A$400,SMALL(IF(통합!$E$1:$E$400="교회차2",ROW(통합!$E$1:$E$400)),16)),"")</f>
        <v/>
      </c>
      <c r="C63" s="44">
        <f t="array" ref="C63:C63">IFERROR(INDEX(통합!$B$1:$B$400,SMALL(IF(통합!$E$1:$E$400="교회차2",ROW(통합!$E$1:$E$400)),16)),"")</f>
        <v/>
      </c>
      <c r="D63" s="44">
        <f t="array" ref="D63:D63">IFERROR(INDEX(통합!$C$1:$C$400,SMALL(IF(통합!$E$1:$E$400="교회차2",ROW(통합!$E$1:$E$400)),16)),"")</f>
        <v/>
      </c>
      <c r="E63" s="44" t="n"/>
      <c r="H63" s="44">
        <f t="array" ref="H63:H63">IFERROR(INDEX(통합!$A$1:$A$400,SMALL(IF(통합!$F$1:$F$400="교회차2",ROW(통합!$F$1:$F$400)),16)),"")</f>
        <v/>
      </c>
      <c r="I63" s="44">
        <f t="array" ref="I63:I63">IFERROR(INDEX(통합!$B$1:$B$400,SMALL(IF(통합!$F$1:$F$400="교회차2",ROW(통합!$F$1:$F$400)),16)),"")</f>
        <v/>
      </c>
      <c r="J63" s="44">
        <f t="array" ref="J63:J63">IFERROR(INDEX(통합!$C$1:$C$400,SMALL(IF(통합!$F$1:$F$400="교회차2",ROW(통합!$F$1:$F$400)),16)),"")</f>
        <v/>
      </c>
      <c r="K63" s="44" t="n"/>
    </row>
    <row r="64" ht="19.5" customHeight="1" s="33">
      <c r="A64" s="41" t="n">
        <v>17</v>
      </c>
      <c r="B64" s="42">
        <f t="array" ref="B64:B64">IFERROR(INDEX(통합!$A$1:$A$400,SMALL(IF(통합!$E$1:$E$400="교회차2",ROW(통합!$E$1:$E$400)),17)),"")</f>
        <v/>
      </c>
      <c r="C64" s="42">
        <f t="array" ref="C64:C64">IFERROR(INDEX(통합!$B$1:$B$400,SMALL(IF(통합!$E$1:$E$400="교회차2",ROW(통합!$E$1:$E$400)),17)),"")</f>
        <v/>
      </c>
      <c r="D64" s="42">
        <f t="array" ref="D64:D64">IFERROR(INDEX(통합!$C$1:$C$400,SMALL(IF(통합!$E$1:$E$400="교회차2",ROW(통합!$E$1:$E$400)),17)),"")</f>
        <v/>
      </c>
      <c r="E64" s="42" t="n"/>
      <c r="H64" s="42">
        <f t="array" ref="H64:H64">IFERROR(INDEX(통합!$A$1:$A$400,SMALL(IF(통합!$F$1:$F$400="교회차2",ROW(통합!$F$1:$F$400)),17)),"")</f>
        <v/>
      </c>
      <c r="I64" s="42">
        <f t="array" ref="I64:I64">IFERROR(INDEX(통합!$B$1:$B$400,SMALL(IF(통합!$F$1:$F$400="교회차2",ROW(통합!$F$1:$F$400)),17)),"")</f>
        <v/>
      </c>
      <c r="J64" s="42">
        <f t="array" ref="J64:J64">IFERROR(INDEX(통합!$C$1:$C$400,SMALL(IF(통합!$F$1:$F$400="교회차2",ROW(통합!$F$1:$F$400)),17)),"")</f>
        <v/>
      </c>
      <c r="K64" s="42" t="n"/>
    </row>
    <row r="65" ht="19.5" customHeight="1" s="33">
      <c r="A65" s="43" t="n">
        <v>18</v>
      </c>
      <c r="B65" s="44">
        <f t="array" ref="B65:B65">IFERROR(INDEX(통합!$A$1:$A$400,SMALL(IF(통합!$E$1:$E$400="교회차2",ROW(통합!$E$1:$E$400)),18)),"")</f>
        <v/>
      </c>
      <c r="C65" s="44">
        <f t="array" ref="C65:C65">IFERROR(INDEX(통합!$B$1:$B$400,SMALL(IF(통합!$E$1:$E$400="교회차2",ROW(통합!$E$1:$E$400)),18)),"")</f>
        <v/>
      </c>
      <c r="D65" s="44">
        <f t="array" ref="D65:D65">IFERROR(INDEX(통합!$C$1:$C$400,SMALL(IF(통합!$E$1:$E$400="교회차2",ROW(통합!$E$1:$E$400)),18)),"")</f>
        <v/>
      </c>
      <c r="E65" s="44" t="n"/>
      <c r="H65" s="44">
        <f t="array" ref="H65:H65">IFERROR(INDEX(통합!$A$1:$A$400,SMALL(IF(통합!$F$1:$F$400="교회차2",ROW(통합!$F$1:$F$400)),18)),"")</f>
        <v/>
      </c>
      <c r="I65" s="44">
        <f t="array" ref="I65:I65">IFERROR(INDEX(통합!$B$1:$B$400,SMALL(IF(통합!$F$1:$F$400="교회차2",ROW(통합!$F$1:$F$400)),18)),"")</f>
        <v/>
      </c>
      <c r="J65" s="44">
        <f t="array" ref="J65:J65">IFERROR(INDEX(통합!$C$1:$C$400,SMALL(IF(통합!$F$1:$F$400="교회차2",ROW(통합!$F$1:$F$400)),18)),"")</f>
        <v/>
      </c>
      <c r="K65" s="44" t="n"/>
    </row>
    <row r="66" ht="19.5" customHeight="1" s="33">
      <c r="A66" s="41" t="n">
        <v>19</v>
      </c>
      <c r="B66" s="42">
        <f t="array" ref="B66:B66">IFERROR(INDEX(통합!$A$1:$A$400,SMALL(IF(통합!$E$1:$E$400="교회차2",ROW(통합!$E$1:$E$400)),19)),"")</f>
        <v/>
      </c>
      <c r="C66" s="42">
        <f t="array" ref="C66:C66">IFERROR(INDEX(통합!$B$1:$B$400,SMALL(IF(통합!$E$1:$E$400="교회차2",ROW(통합!$E$1:$E$400)),19)),"")</f>
        <v/>
      </c>
      <c r="D66" s="42">
        <f t="array" ref="D66:D66">IFERROR(INDEX(통합!$C$1:$C$400,SMALL(IF(통합!$E$1:$E$400="교회차2",ROW(통합!$E$1:$E$400)),19)),"")</f>
        <v/>
      </c>
      <c r="E66" s="42" t="n"/>
      <c r="H66" s="42">
        <f t="array" ref="H66:H66">IFERROR(INDEX(통합!$A$1:$A$400,SMALL(IF(통합!$F$1:$F$400="교회차2",ROW(통합!$F$1:$F$400)),19)),"")</f>
        <v/>
      </c>
      <c r="I66" s="42">
        <f t="array" ref="I66:I66">IFERROR(INDEX(통합!$B$1:$B$400,SMALL(IF(통합!$F$1:$F$400="교회차2",ROW(통합!$F$1:$F$400)),19)),"")</f>
        <v/>
      </c>
      <c r="J66" s="42">
        <f t="array" ref="J66:J66">IFERROR(INDEX(통합!$C$1:$C$400,SMALL(IF(통합!$F$1:$F$400="교회차2",ROW(통합!$F$1:$F$400)),19)),"")</f>
        <v/>
      </c>
      <c r="K66" s="42" t="n"/>
    </row>
    <row r="67" ht="19.5" customHeight="1" s="33">
      <c r="A67" s="43" t="n">
        <v>20</v>
      </c>
      <c r="B67" s="44">
        <f t="array" ref="B67:B67">IFERROR(INDEX(통합!$A$1:$A$400,SMALL(IF(통합!$E$1:$E$400="교회차2",ROW(통합!$E$1:$E$400)),20)),"")</f>
        <v/>
      </c>
      <c r="C67" s="44">
        <f t="array" ref="C67:C67">IFERROR(INDEX(통합!$B$1:$B$400,SMALL(IF(통합!$E$1:$E$400="교회차2",ROW(통합!$E$1:$E$400)),20)),"")</f>
        <v/>
      </c>
      <c r="D67" s="44">
        <f t="array" ref="D67:D67">IFERROR(INDEX(통합!$C$1:$C$400,SMALL(IF(통합!$E$1:$E$400="교회차2",ROW(통합!$E$1:$E$400)),20)),"")</f>
        <v/>
      </c>
      <c r="E67" s="44" t="n"/>
      <c r="H67" s="44">
        <f t="array" ref="H67:H67">IFERROR(INDEX(통합!$A$1:$A$400,SMALL(IF(통합!$F$1:$F$400="교회차2",ROW(통합!$F$1:$F$400)),20)),"")</f>
        <v/>
      </c>
      <c r="I67" s="44">
        <f t="array" ref="I67:I67">IFERROR(INDEX(통합!$B$1:$B$400,SMALL(IF(통합!$F$1:$F$400="교회차2",ROW(통합!$F$1:$F$400)),20)),"")</f>
        <v/>
      </c>
      <c r="J67" s="44">
        <f t="array" ref="J67:J67">IFERROR(INDEX(통합!$C$1:$C$400,SMALL(IF(통합!$F$1:$F$400="교회차2",ROW(통합!$F$1:$F$400)),20)),"")</f>
        <v/>
      </c>
      <c r="K67" s="44" t="n"/>
    </row>
    <row r="68" ht="19.5" customHeight="1" s="33">
      <c r="A68" s="41" t="n">
        <v>21</v>
      </c>
      <c r="B68" s="42">
        <f t="array" ref="B68:B68">IFERROR(INDEX(통합!$A$1:$A$400,SMALL(IF(통합!$E$1:$E$400="교회차2",ROW(통합!$E$1:$E$400)),21)),"")</f>
        <v/>
      </c>
      <c r="C68" s="42">
        <f t="array" ref="C68:C68">IFERROR(INDEX(통합!$B$1:$B$400,SMALL(IF(통합!$E$1:$E$400="교회차2",ROW(통합!$E$1:$E$400)),21)),"")</f>
        <v/>
      </c>
      <c r="D68" s="42">
        <f t="array" ref="D68:D68">IFERROR(INDEX(통합!$C$1:$C$400,SMALL(IF(통합!$E$1:$E$400="교회차2",ROW(통합!$E$1:$E$400)),21)),"")</f>
        <v/>
      </c>
      <c r="E68" s="42" t="n"/>
      <c r="H68" s="42">
        <f t="array" ref="H68:H68">IFERROR(INDEX(통합!$A$1:$A$400,SMALL(IF(통합!$F$1:$F$400="교회차2",ROW(통합!$F$1:$F$400)),21)),"")</f>
        <v/>
      </c>
      <c r="I68" s="42">
        <f t="array" ref="I68:I68">IFERROR(INDEX(통합!$B$1:$B$400,SMALL(IF(통합!$F$1:$F$400="교회차2",ROW(통합!$F$1:$F$400)),21)),"")</f>
        <v/>
      </c>
      <c r="J68" s="42">
        <f t="array" ref="J68:J68">IFERROR(INDEX(통합!$C$1:$C$400,SMALL(IF(통합!$F$1:$F$400="교회차2",ROW(통합!$F$1:$F$400)),21)),"")</f>
        <v/>
      </c>
      <c r="K68" s="42" t="n"/>
    </row>
    <row r="69" ht="19.5" customHeight="1" s="33">
      <c r="A69" s="43" t="n">
        <v>22</v>
      </c>
      <c r="B69" s="44">
        <f t="array" ref="B69:B69">IFERROR(INDEX(통합!$A$1:$A$400,SMALL(IF(통합!$E$1:$E$400="교회차2",ROW(통합!$E$1:$E$400)),22)),"")</f>
        <v/>
      </c>
      <c r="C69" s="44">
        <f t="array" ref="C69:C69">IFERROR(INDEX(통합!$B$1:$B$400,SMALL(IF(통합!$E$1:$E$400="교회차2",ROW(통합!$E$1:$E$400)),22)),"")</f>
        <v/>
      </c>
      <c r="D69" s="44">
        <f t="array" ref="D69:D69">IFERROR(INDEX(통합!$C$1:$C$400,SMALL(IF(통합!$E$1:$E$400="교회차2",ROW(통합!$E$1:$E$400)),22)),"")</f>
        <v/>
      </c>
      <c r="E69" s="44" t="n"/>
      <c r="H69" s="44">
        <f t="array" ref="H69:H69">IFERROR(INDEX(통합!$A$1:$A$400,SMALL(IF(통합!$F$1:$F$400="교회차2",ROW(통합!$F$1:$F$400)),22)),"")</f>
        <v/>
      </c>
      <c r="I69" s="44">
        <f t="array" ref="I69:I69">IFERROR(INDEX(통합!$B$1:$B$400,SMALL(IF(통합!$F$1:$F$400="교회차2",ROW(통합!$F$1:$F$400)),22)),"")</f>
        <v/>
      </c>
      <c r="J69" s="44">
        <f t="array" ref="J69:J69">IFERROR(INDEX(통합!$C$1:$C$400,SMALL(IF(통합!$F$1:$F$400="교회차2",ROW(통합!$F$1:$F$400)),22)),"")</f>
        <v/>
      </c>
      <c r="K69" s="44" t="n"/>
    </row>
    <row r="70" ht="19.5" customHeight="1" s="33">
      <c r="A70" s="41" t="n">
        <v>23</v>
      </c>
      <c r="B70" s="42">
        <f t="array" ref="B70:B70">IFERROR(INDEX(통합!$A$1:$A$400,SMALL(IF(통합!$E$1:$E$400="교회차2",ROW(통합!$E$1:$E$400)),23)),"")</f>
        <v/>
      </c>
      <c r="C70" s="42">
        <f t="array" ref="C70:C70">IFERROR(INDEX(통합!$B$1:$B$400,SMALL(IF(통합!$E$1:$E$400="교회차2",ROW(통합!$E$1:$E$400)),23)),"")</f>
        <v/>
      </c>
      <c r="D70" s="42">
        <f t="array" ref="D70:D70">IFERROR(INDEX(통합!$C$1:$C$400,SMALL(IF(통합!$E$1:$E$400="교회차2",ROW(통합!$E$1:$E$400)),23)),"")</f>
        <v/>
      </c>
      <c r="E70" s="42" t="n"/>
      <c r="H70" s="42">
        <f t="array" ref="H70:H70">IFERROR(INDEX(통합!$A$1:$A$400,SMALL(IF(통합!$F$1:$F$400="교회차2",ROW(통합!$F$1:$F$400)),23)),"")</f>
        <v/>
      </c>
      <c r="I70" s="42">
        <f t="array" ref="I70:I70">IFERROR(INDEX(통합!$B$1:$B$400,SMALL(IF(통합!$F$1:$F$400="교회차2",ROW(통합!$F$1:$F$400)),23)),"")</f>
        <v/>
      </c>
      <c r="J70" s="42">
        <f t="array" ref="J70:J70">IFERROR(INDEX(통합!$C$1:$C$400,SMALL(IF(통합!$F$1:$F$400="교회차2",ROW(통합!$F$1:$F$400)),23)),"")</f>
        <v/>
      </c>
      <c r="K70" s="42" t="n"/>
    </row>
    <row r="71" ht="19.5" customHeight="1" s="33">
      <c r="A71" s="43" t="n">
        <v>24</v>
      </c>
      <c r="B71" s="44">
        <f t="array" ref="B71:B71">IFERROR(INDEX(통합!$A$1:$A$400,SMALL(IF(통합!$E$1:$E$400="교회차2",ROW(통합!$E$1:$E$400)),24)),"")</f>
        <v/>
      </c>
      <c r="C71" s="44">
        <f t="array" ref="C71:C71">IFERROR(INDEX(통합!$B$1:$B$400,SMALL(IF(통합!$E$1:$E$400="교회차2",ROW(통합!$E$1:$E$400)),24)),"")</f>
        <v/>
      </c>
      <c r="D71" s="44">
        <f t="array" ref="D71:D71">IFERROR(INDEX(통합!$C$1:$C$400,SMALL(IF(통합!$E$1:$E$400="교회차2",ROW(통합!$E$1:$E$400)),24)),"")</f>
        <v/>
      </c>
      <c r="E71" s="44" t="n"/>
      <c r="H71" s="44">
        <f t="array" ref="H71:H71">IFERROR(INDEX(통합!$A$1:$A$400,SMALL(IF(통합!$F$1:$F$400="교회차2",ROW(통합!$F$1:$F$400)),24)),"")</f>
        <v/>
      </c>
      <c r="I71" s="44">
        <f t="array" ref="I71:I71">IFERROR(INDEX(통합!$B$1:$B$400,SMALL(IF(통합!$F$1:$F$400="교회차2",ROW(통합!$F$1:$F$400)),24)),"")</f>
        <v/>
      </c>
      <c r="J71" s="44">
        <f t="array" ref="J71:J71">IFERROR(INDEX(통합!$C$1:$C$400,SMALL(IF(통합!$F$1:$F$400="교회차2",ROW(통합!$F$1:$F$400)),24)),"")</f>
        <v/>
      </c>
      <c r="K71" s="44" t="n"/>
    </row>
    <row r="72" ht="19.5" customHeight="1" s="33">
      <c r="A72" s="41" t="n">
        <v>25</v>
      </c>
      <c r="B72" s="42">
        <f t="array" ref="B72:B72">IFERROR(INDEX(통합!$A$1:$A$400,SMALL(IF(통합!$E$1:$E$400="교회차2",ROW(통합!$E$1:$E$400)),25)),"")</f>
        <v/>
      </c>
      <c r="C72" s="42">
        <f t="array" ref="C72:C72">IFERROR(INDEX(통합!$B$1:$B$400,SMALL(IF(통합!$E$1:$E$400="교회차2",ROW(통합!$E$1:$E$400)),25)),"")</f>
        <v/>
      </c>
      <c r="D72" s="42">
        <f t="array" ref="D72:D72">IFERROR(INDEX(통합!$C$1:$C$400,SMALL(IF(통합!$E$1:$E$400="교회차2",ROW(통합!$E$1:$E$400)),25)),"")</f>
        <v/>
      </c>
      <c r="E72" s="42" t="n"/>
      <c r="H72" s="42">
        <f t="array" ref="H72:H72">IFERROR(INDEX(통합!$A$1:$A$400,SMALL(IF(통합!$F$1:$F$400="교회차2",ROW(통합!$F$1:$F$400)),25)),"")</f>
        <v/>
      </c>
      <c r="I72" s="42">
        <f t="array" ref="I72:I72">IFERROR(INDEX(통합!$B$1:$B$400,SMALL(IF(통합!$F$1:$F$400="교회차2",ROW(통합!$F$1:$F$400)),25)),"")</f>
        <v/>
      </c>
      <c r="J72" s="42">
        <f t="array" ref="J72:J72">IFERROR(INDEX(통합!$C$1:$C$400,SMALL(IF(통합!$F$1:$F$400="교회차2",ROW(통합!$F$1:$F$400)),25)),"")</f>
        <v/>
      </c>
      <c r="K72" s="42" t="n"/>
    </row>
    <row r="73" ht="19.5" customHeight="1" s="33">
      <c r="A73" s="43" t="n">
        <v>26</v>
      </c>
      <c r="B73" s="44">
        <f t="array" ref="B73:B73">IFERROR(INDEX(통합!$A$1:$A$400,SMALL(IF(통합!$E$1:$E$400="교회차2",ROW(통합!$E$1:$E$400)),26)),"")</f>
        <v/>
      </c>
      <c r="C73" s="44">
        <f t="array" ref="C73:C73">IFERROR(INDEX(통합!$B$1:$B$400,SMALL(IF(통합!$E$1:$E$400="교회차2",ROW(통합!$E$1:$E$400)),26)),"")</f>
        <v/>
      </c>
      <c r="D73" s="44">
        <f t="array" ref="D73:D73">IFERROR(INDEX(통합!$C$1:$C$400,SMALL(IF(통합!$E$1:$E$400="교회차2",ROW(통합!$E$1:$E$400)),26)),"")</f>
        <v/>
      </c>
      <c r="E73" s="44" t="n"/>
      <c r="H73" s="44">
        <f t="array" ref="H73:H73">IFERROR(INDEX(통합!$A$1:$A$400,SMALL(IF(통합!$F$1:$F$400="교회차2",ROW(통합!$F$1:$F$400)),26)),"")</f>
        <v/>
      </c>
      <c r="I73" s="44">
        <f t="array" ref="I73:I73">IFERROR(INDEX(통합!$B$1:$B$400,SMALL(IF(통합!$F$1:$F$400="교회차2",ROW(통합!$F$1:$F$400)),26)),"")</f>
        <v/>
      </c>
      <c r="J73" s="44">
        <f t="array" ref="J73:J73">IFERROR(INDEX(통합!$C$1:$C$400,SMALL(IF(통합!$F$1:$F$400="교회차2",ROW(통합!$F$1:$F$400)),26)),"")</f>
        <v/>
      </c>
      <c r="K73" s="44" t="n"/>
    </row>
    <row r="74" ht="19.5" customHeight="1" s="33">
      <c r="A74" s="41" t="n">
        <v>27</v>
      </c>
      <c r="B74" s="42">
        <f t="array" ref="B74:B74">IFERROR(INDEX(통합!$A$1:$A$400,SMALL(IF(통합!$E$1:$E$400="교회차2",ROW(통합!$E$1:$E$400)),27)),"")</f>
        <v/>
      </c>
      <c r="C74" s="42">
        <f t="array" ref="C74:C74">IFERROR(INDEX(통합!$B$1:$B$400,SMALL(IF(통합!$E$1:$E$400="교회차2",ROW(통합!$E$1:$E$400)),27)),"")</f>
        <v/>
      </c>
      <c r="D74" s="42">
        <f t="array" ref="D74:D74">IFERROR(INDEX(통합!$C$1:$C$400,SMALL(IF(통합!$E$1:$E$400="교회차2",ROW(통합!$E$1:$E$400)),27)),"")</f>
        <v/>
      </c>
      <c r="E74" s="42" t="n"/>
      <c r="H74" s="42">
        <f t="array" ref="H74:H74">IFERROR(INDEX(통합!$A$1:$A$400,SMALL(IF(통합!$F$1:$F$400="교회차2",ROW(통합!$F$1:$F$400)),27)),"")</f>
        <v/>
      </c>
      <c r="I74" s="42">
        <f t="array" ref="I74:I74">IFERROR(INDEX(통합!$B$1:$B$400,SMALL(IF(통합!$F$1:$F$400="교회차2",ROW(통합!$F$1:$F$400)),27)),"")</f>
        <v/>
      </c>
      <c r="J74" s="42">
        <f t="array" ref="J74:J74">IFERROR(INDEX(통합!$C$1:$C$400,SMALL(IF(통합!$F$1:$F$400="교회차2",ROW(통합!$F$1:$F$400)),27)),"")</f>
        <v/>
      </c>
      <c r="K74" s="42" t="n"/>
    </row>
    <row r="75" ht="19.5" customHeight="1" s="33">
      <c r="A75" s="43" t="n">
        <v>28</v>
      </c>
      <c r="B75" s="44">
        <f t="array" ref="B75:B75">IFERROR(INDEX(통합!$A$1:$A$400,SMALL(IF(통합!$E$1:$E$400="교회차2",ROW(통합!$E$1:$E$400)),28)),"")</f>
        <v/>
      </c>
      <c r="C75" s="44">
        <f t="array" ref="C75:C75">IFERROR(INDEX(통합!$B$1:$B$400,SMALL(IF(통합!$E$1:$E$400="교회차2",ROW(통합!$E$1:$E$400)),28)),"")</f>
        <v/>
      </c>
      <c r="D75" s="44">
        <f t="array" ref="D75:D75">IFERROR(INDEX(통합!$C$1:$C$400,SMALL(IF(통합!$E$1:$E$400="교회차2",ROW(통합!$E$1:$E$400)),28)),"")</f>
        <v/>
      </c>
      <c r="E75" s="44" t="n"/>
      <c r="H75" s="44">
        <f t="array" ref="H75:H75">IFERROR(INDEX(통합!$A$1:$A$400,SMALL(IF(통합!$F$1:$F$400="교회차2",ROW(통합!$F$1:$F$400)),28)),"")</f>
        <v/>
      </c>
      <c r="I75" s="44">
        <f t="array" ref="I75:I75">IFERROR(INDEX(통합!$B$1:$B$400,SMALL(IF(통합!$F$1:$F$400="교회차2",ROW(통합!$F$1:$F$400)),28)),"")</f>
        <v/>
      </c>
      <c r="J75" s="44">
        <f t="array" ref="J75:J75">IFERROR(INDEX(통합!$C$1:$C$400,SMALL(IF(통합!$F$1:$F$400="교회차2",ROW(통합!$F$1:$F$400)),28)),"")</f>
        <v/>
      </c>
      <c r="K75" s="44" t="n"/>
    </row>
    <row r="76" ht="19.5" customHeight="1" s="33">
      <c r="A76" s="41" t="n">
        <v>29</v>
      </c>
      <c r="B76" s="42">
        <f t="array" ref="B76:B76">IFERROR(INDEX(통합!$A$1:$A$400,SMALL(IF(통합!$E$1:$E$400="교회차2",ROW(통합!$E$1:$E$400)),29)),"")</f>
        <v/>
      </c>
      <c r="C76" s="42">
        <f t="array" ref="C76:C76">IFERROR(INDEX(통합!$B$1:$B$400,SMALL(IF(통합!$E$1:$E$400="교회차2",ROW(통합!$E$1:$E$400)),29)),"")</f>
        <v/>
      </c>
      <c r="D76" s="42">
        <f t="array" ref="D76:D76">IFERROR(INDEX(통합!$C$1:$C$400,SMALL(IF(통합!$E$1:$E$400="교회차2",ROW(통합!$E$1:$E$400)),29)),"")</f>
        <v/>
      </c>
      <c r="E76" s="42" t="n"/>
      <c r="H76" s="42">
        <f t="array" ref="H76:H76">IFERROR(INDEX(통합!$A$1:$A$400,SMALL(IF(통합!$F$1:$F$400="교회차2",ROW(통합!$F$1:$F$400)),29)),"")</f>
        <v/>
      </c>
      <c r="I76" s="42">
        <f t="array" ref="I76:I76">IFERROR(INDEX(통합!$B$1:$B$400,SMALL(IF(통합!$F$1:$F$400="교회차2",ROW(통합!$F$1:$F$400)),29)),"")</f>
        <v/>
      </c>
      <c r="J76" s="42">
        <f t="array" ref="J76:J76">IFERROR(INDEX(통합!$C$1:$C$400,SMALL(IF(통합!$F$1:$F$400="교회차2",ROW(통합!$F$1:$F$400)),29)),"")</f>
        <v/>
      </c>
      <c r="K76" s="42" t="n"/>
    </row>
    <row r="77" ht="19.5" customHeight="1" s="33">
      <c r="A77" s="43" t="n">
        <v>30</v>
      </c>
      <c r="B77" s="44">
        <f t="array" ref="B77:B77">IFERROR(INDEX(통합!$A$1:$A$400,SMALL(IF(통합!$E$1:$E$400="교회차2",ROW(통합!$E$1:$E$400)),30)),"")</f>
        <v/>
      </c>
      <c r="C77" s="44">
        <f t="array" ref="C77:C77">IFERROR(INDEX(통합!$B$1:$B$400,SMALL(IF(통합!$E$1:$E$400="교회차2",ROW(통합!$E$1:$E$400)),30)),"")</f>
        <v/>
      </c>
      <c r="D77" s="44">
        <f t="array" ref="D77:D77">IFERROR(INDEX(통합!$C$1:$C$400,SMALL(IF(통합!$E$1:$E$400="교회차2",ROW(통합!$E$1:$E$400)),30)),"")</f>
        <v/>
      </c>
      <c r="E77" s="44" t="n"/>
      <c r="H77" s="44">
        <f t="array" ref="H77:H77">IFERROR(INDEX(통합!$A$1:$A$400,SMALL(IF(통합!$F$1:$F$400="교회차2",ROW(통합!$F$1:$F$400)),30)),"")</f>
        <v/>
      </c>
      <c r="I77" s="44">
        <f t="array" ref="I77:I77">IFERROR(INDEX(통합!$B$1:$B$400,SMALL(IF(통합!$F$1:$F$400="교회차2",ROW(통합!$F$1:$F$400)),30)),"")</f>
        <v/>
      </c>
      <c r="J77" s="44">
        <f t="array" ref="J77:J77">IFERROR(INDEX(통합!$C$1:$C$400,SMALL(IF(통합!$F$1:$F$400="교회차2",ROW(통합!$F$1:$F$400)),30)),"")</f>
        <v/>
      </c>
      <c r="K77" s="44" t="n"/>
    </row>
    <row r="78" ht="19.5" customHeight="1" s="33">
      <c r="A78" s="41" t="n">
        <v>31</v>
      </c>
      <c r="B78" s="42">
        <f t="array" ref="B78:B78">IFERROR(INDEX(통합!$A$1:$A$400,SMALL(IF(통합!$E$1:$E$400="교회차2",ROW(통합!$E$1:$E$400)),31)),"")</f>
        <v/>
      </c>
      <c r="C78" s="42">
        <f t="array" ref="C78:C78">IFERROR(INDEX(통합!$B$1:$B$400,SMALL(IF(통합!$E$1:$E$400="교회차2",ROW(통합!$E$1:$E$400)),31)),"")</f>
        <v/>
      </c>
      <c r="D78" s="42">
        <f t="array" ref="D78:D78">IFERROR(INDEX(통합!$C$1:$C$400,SMALL(IF(통합!$E$1:$E$400="교회차2",ROW(통합!$E$1:$E$400)),31)),"")</f>
        <v/>
      </c>
      <c r="E78" s="42" t="n"/>
      <c r="H78" s="42">
        <f t="array" ref="H78:H78">IFERROR(INDEX(통합!$A$1:$A$400,SMALL(IF(통합!$F$1:$F$400="교회차2",ROW(통합!$F$1:$F$400)),31)),"")</f>
        <v/>
      </c>
      <c r="I78" s="42">
        <f t="array" ref="I78:I78">IFERROR(INDEX(통합!$B$1:$B$400,SMALL(IF(통합!$F$1:$F$400="교회차2",ROW(통합!$F$1:$F$400)),31)),"")</f>
        <v/>
      </c>
      <c r="J78" s="42">
        <f t="array" ref="J78:J78">IFERROR(INDEX(통합!$C$1:$C$400,SMALL(IF(통합!$F$1:$F$400="교회차2",ROW(통합!$F$1:$F$400)),31)),"")</f>
        <v/>
      </c>
      <c r="K78" s="42" t="n"/>
    </row>
    <row r="79" ht="19.5" customHeight="1" s="33">
      <c r="A79" s="43" t="n">
        <v>32</v>
      </c>
      <c r="B79" s="44">
        <f t="array" ref="B79:B79">IFERROR(INDEX(통합!$A$1:$A$400,SMALL(IF(통합!$E$1:$E$400="교회차2",ROW(통합!$E$1:$E$400)),32)),"")</f>
        <v/>
      </c>
      <c r="C79" s="44">
        <f t="array" ref="C79:C79">IFERROR(INDEX(통합!$B$1:$B$400,SMALL(IF(통합!$E$1:$E$400="교회차2",ROW(통합!$E$1:$E$400)),32)),"")</f>
        <v/>
      </c>
      <c r="D79" s="44">
        <f t="array" ref="D79:D79">IFERROR(INDEX(통합!$C$1:$C$400,SMALL(IF(통합!$E$1:$E$400="교회차2",ROW(통합!$E$1:$E$400)),32)),"")</f>
        <v/>
      </c>
      <c r="E79" s="44" t="n"/>
      <c r="H79" s="44">
        <f t="array" ref="H79:H79">IFERROR(INDEX(통합!$A$1:$A$400,SMALL(IF(통합!$F$1:$F$400="교회차2",ROW(통합!$F$1:$F$400)),32)),"")</f>
        <v/>
      </c>
      <c r="I79" s="44">
        <f t="array" ref="I79:I79">IFERROR(INDEX(통합!$B$1:$B$400,SMALL(IF(통합!$F$1:$F$400="교회차2",ROW(통합!$F$1:$F$400)),32)),"")</f>
        <v/>
      </c>
      <c r="J79" s="44">
        <f t="array" ref="J79:J79">IFERROR(INDEX(통합!$C$1:$C$400,SMALL(IF(통합!$F$1:$F$400="교회차2",ROW(통합!$F$1:$F$400)),32)),"")</f>
        <v/>
      </c>
      <c r="K79" s="44" t="n"/>
    </row>
    <row r="80" ht="19.5" customHeight="1" s="33">
      <c r="A80" s="41" t="n">
        <v>33</v>
      </c>
      <c r="B80" s="42">
        <f t="array" ref="B80:B80">IFERROR(INDEX(통합!$A$1:$A$400,SMALL(IF(통합!$E$1:$E$400="교회차2",ROW(통합!$E$1:$E$400)),33)),"")</f>
        <v/>
      </c>
      <c r="C80" s="42">
        <f t="array" ref="C80:C80">IFERROR(INDEX(통합!$B$1:$B$400,SMALL(IF(통합!$E$1:$E$400="교회차2",ROW(통합!$E$1:$E$400)),33)),"")</f>
        <v/>
      </c>
      <c r="D80" s="42">
        <f t="array" ref="D80:D80">IFERROR(INDEX(통합!$C$1:$C$400,SMALL(IF(통합!$E$1:$E$400="교회차2",ROW(통합!$E$1:$E$400)),33)),"")</f>
        <v/>
      </c>
      <c r="E80" s="42" t="n"/>
      <c r="H80" s="42">
        <f t="array" ref="H80:H80">IFERROR(INDEX(통합!$A$1:$A$400,SMALL(IF(통합!$F$1:$F$400="교회차2",ROW(통합!$F$1:$F$400)),33)),"")</f>
        <v/>
      </c>
      <c r="I80" s="42">
        <f t="array" ref="I80:I80">IFERROR(INDEX(통합!$B$1:$B$400,SMALL(IF(통합!$F$1:$F$400="교회차2",ROW(통합!$F$1:$F$400)),33)),"")</f>
        <v/>
      </c>
      <c r="J80" s="42">
        <f t="array" ref="J80:J80">IFERROR(INDEX(통합!$C$1:$C$400,SMALL(IF(통합!$F$1:$F$400="교회차2",ROW(통합!$F$1:$F$400)),33)),"")</f>
        <v/>
      </c>
      <c r="K80" s="42" t="n"/>
    </row>
    <row r="81" ht="19.5" customHeight="1" s="33">
      <c r="A81" s="43" t="n">
        <v>34</v>
      </c>
      <c r="B81" s="44">
        <f t="array" ref="B81:B81">IFERROR(INDEX(통합!$A$1:$A$400,SMALL(IF(통합!$E$1:$E$400="교회차2",ROW(통합!$E$1:$E$400)),34)),"")</f>
        <v/>
      </c>
      <c r="C81" s="44">
        <f t="array" ref="C81:C81">IFERROR(INDEX(통합!$B$1:$B$400,SMALL(IF(통합!$E$1:$E$400="교회차2",ROW(통합!$E$1:$E$400)),34)),"")</f>
        <v/>
      </c>
      <c r="D81" s="44">
        <f t="array" ref="D81:D81">IFERROR(INDEX(통합!$C$1:$C$400,SMALL(IF(통합!$E$1:$E$400="교회차2",ROW(통합!$E$1:$E$400)),34)),"")</f>
        <v/>
      </c>
      <c r="E81" s="44" t="n"/>
      <c r="H81" s="44">
        <f t="array" ref="H81:H81">IFERROR(INDEX(통합!$A$1:$A$400,SMALL(IF(통합!$F$1:$F$400="교회차2",ROW(통합!$F$1:$F$400)),34)),"")</f>
        <v/>
      </c>
      <c r="I81" s="44">
        <f t="array" ref="I81:I81">IFERROR(INDEX(통합!$B$1:$B$400,SMALL(IF(통합!$F$1:$F$400="교회차2",ROW(통합!$F$1:$F$400)),34)),"")</f>
        <v/>
      </c>
      <c r="J81" s="44">
        <f t="array" ref="J81:J81">IFERROR(INDEX(통합!$C$1:$C$400,SMALL(IF(통합!$F$1:$F$400="교회차2",ROW(통합!$F$1:$F$400)),34)),"")</f>
        <v/>
      </c>
      <c r="K81" s="44" t="n"/>
    </row>
    <row r="82" ht="19.5" customHeight="1" s="33">
      <c r="A82" s="41" t="n">
        <v>35</v>
      </c>
      <c r="B82" s="42">
        <f t="array" ref="B82:B82">IFERROR(INDEX(통합!$A$1:$A$400,SMALL(IF(통합!$E$1:$E$400="교회차2",ROW(통합!$E$1:$E$400)),35)),"")</f>
        <v/>
      </c>
      <c r="C82" s="42">
        <f t="array" ref="C82:C82">IFERROR(INDEX(통합!$B$1:$B$400,SMALL(IF(통합!$E$1:$E$400="교회차2",ROW(통합!$E$1:$E$400)),35)),"")</f>
        <v/>
      </c>
      <c r="D82" s="42">
        <f t="array" ref="D82:D82">IFERROR(INDEX(통합!$C$1:$C$400,SMALL(IF(통합!$E$1:$E$400="교회차2",ROW(통합!$E$1:$E$400)),35)),"")</f>
        <v/>
      </c>
      <c r="E82" s="42" t="n"/>
      <c r="H82" s="42">
        <f t="array" ref="H82:H82">IFERROR(INDEX(통합!$A$1:$A$400,SMALL(IF(통합!$F$1:$F$400="교회차2",ROW(통합!$F$1:$F$400)),35)),"")</f>
        <v/>
      </c>
      <c r="I82" s="42">
        <f t="array" ref="I82:I82">IFERROR(INDEX(통합!$B$1:$B$400,SMALL(IF(통합!$F$1:$F$400="교회차2",ROW(통합!$F$1:$F$400)),35)),"")</f>
        <v/>
      </c>
      <c r="J82" s="42">
        <f t="array" ref="J82:J82">IFERROR(INDEX(통합!$C$1:$C$400,SMALL(IF(통합!$F$1:$F$400="교회차2",ROW(통합!$F$1:$F$400)),35)),"")</f>
        <v/>
      </c>
      <c r="K82" s="42" t="n"/>
    </row>
    <row r="83" ht="19.5" customHeight="1" s="33">
      <c r="A83" s="43" t="n">
        <v>36</v>
      </c>
      <c r="B83" s="44">
        <f t="array" ref="B83:B83">IFERROR(INDEX(통합!$A$1:$A$400,SMALL(IF(통합!$E$1:$E$400="교회차2",ROW(통합!$E$1:$E$400)),36)),"")</f>
        <v/>
      </c>
      <c r="C83" s="44">
        <f t="array" ref="C83:C83">IFERROR(INDEX(통합!$B$1:$B$400,SMALL(IF(통합!$E$1:$E$400="교회차2",ROW(통합!$E$1:$E$400)),36)),"")</f>
        <v/>
      </c>
      <c r="D83" s="44">
        <f t="array" ref="D83:D83">IFERROR(INDEX(통합!$C$1:$C$400,SMALL(IF(통합!$E$1:$E$400="교회차2",ROW(통합!$E$1:$E$400)),36)),"")</f>
        <v/>
      </c>
      <c r="E83" s="44" t="n"/>
      <c r="H83" s="44">
        <f t="array" ref="H83:H83">IFERROR(INDEX(통합!$A$1:$A$400,SMALL(IF(통합!$F$1:$F$400="교회차2",ROW(통합!$F$1:$F$400)),36)),"")</f>
        <v/>
      </c>
      <c r="I83" s="44">
        <f t="array" ref="I83:I83">IFERROR(INDEX(통합!$B$1:$B$400,SMALL(IF(통합!$F$1:$F$400="교회차2",ROW(통합!$F$1:$F$400)),36)),"")</f>
        <v/>
      </c>
      <c r="J83" s="44">
        <f t="array" ref="J83:J83">IFERROR(INDEX(통합!$C$1:$C$400,SMALL(IF(통합!$F$1:$F$400="교회차2",ROW(통합!$F$1:$F$400)),36)),"")</f>
        <v/>
      </c>
      <c r="K83" s="44" t="n"/>
    </row>
    <row r="84" ht="19.5" customHeight="1" s="33">
      <c r="A84" s="41" t="n">
        <v>37</v>
      </c>
      <c r="B84" s="42">
        <f t="array" ref="B84:B84">IFERROR(INDEX(통합!$A$1:$A$400,SMALL(IF(통합!$E$1:$E$400="교회차2",ROW(통합!$E$1:$E$400)),37)),"")</f>
        <v/>
      </c>
      <c r="C84" s="42">
        <f t="array" ref="C84:C84">IFERROR(INDEX(통합!$B$1:$B$400,SMALL(IF(통합!$E$1:$E$400="교회차2",ROW(통합!$E$1:$E$400)),37)),"")</f>
        <v/>
      </c>
      <c r="D84" s="42">
        <f t="array" ref="D84:D84">IFERROR(INDEX(통합!$C$1:$C$400,SMALL(IF(통합!$E$1:$E$400="교회차2",ROW(통합!$E$1:$E$400)),37)),"")</f>
        <v/>
      </c>
      <c r="E84" s="42" t="n"/>
      <c r="H84" s="42">
        <f t="array" ref="H84:H84">IFERROR(INDEX(통합!$A$1:$A$400,SMALL(IF(통합!$F$1:$F$400="교회차2",ROW(통합!$F$1:$F$400)),37)),"")</f>
        <v/>
      </c>
      <c r="I84" s="42">
        <f t="array" ref="I84:I84">IFERROR(INDEX(통합!$B$1:$B$400,SMALL(IF(통합!$F$1:$F$400="교회차2",ROW(통합!$F$1:$F$400)),37)),"")</f>
        <v/>
      </c>
      <c r="J84" s="42">
        <f t="array" ref="J84:J84">IFERROR(INDEX(통합!$C$1:$C$400,SMALL(IF(통합!$F$1:$F$400="교회차2",ROW(통합!$F$1:$F$400)),37)),"")</f>
        <v/>
      </c>
      <c r="K84" s="42" t="n"/>
    </row>
    <row r="85" ht="19.5" customHeight="1" s="33">
      <c r="A85" s="43" t="n">
        <v>38</v>
      </c>
      <c r="B85" s="44">
        <f t="array" ref="B85:B85">IFERROR(INDEX(통합!$A$1:$A$400,SMALL(IF(통합!$E$1:$E$400="교회차2",ROW(통합!$E$1:$E$400)),38)),"")</f>
        <v/>
      </c>
      <c r="C85" s="44">
        <f t="array" ref="C85:C85">IFERROR(INDEX(통합!$B$1:$B$400,SMALL(IF(통합!$E$1:$E$400="교회차2",ROW(통합!$E$1:$E$400)),38)),"")</f>
        <v/>
      </c>
      <c r="D85" s="44">
        <f t="array" ref="D85:D85">IFERROR(INDEX(통합!$C$1:$C$400,SMALL(IF(통합!$E$1:$E$400="교회차2",ROW(통합!$E$1:$E$400)),38)),"")</f>
        <v/>
      </c>
      <c r="E85" s="44" t="n"/>
      <c r="H85" s="44">
        <f t="array" ref="H85:H85">IFERROR(INDEX(통합!$A$1:$A$400,SMALL(IF(통합!$F$1:$F$400="교회차2",ROW(통합!$F$1:$F$400)),38)),"")</f>
        <v/>
      </c>
      <c r="I85" s="44">
        <f t="array" ref="I85:I85">IFERROR(INDEX(통합!$B$1:$B$400,SMALL(IF(통합!$F$1:$F$400="교회차2",ROW(통합!$F$1:$F$400)),38)),"")</f>
        <v/>
      </c>
      <c r="J85" s="44">
        <f t="array" ref="J85:J85">IFERROR(INDEX(통합!$C$1:$C$400,SMALL(IF(통합!$F$1:$F$400="교회차2",ROW(통합!$F$1:$F$400)),38)),"")</f>
        <v/>
      </c>
      <c r="K85" s="44" t="n"/>
    </row>
    <row r="86" ht="19.5" customHeight="1" s="33">
      <c r="A86" s="41" t="n">
        <v>39</v>
      </c>
      <c r="B86" s="42">
        <f t="array" ref="B86:B86">IFERROR(INDEX(통합!$A$1:$A$400,SMALL(IF(통합!$E$1:$E$400="교회차2",ROW(통합!$E$1:$E$400)),39)),"")</f>
        <v/>
      </c>
      <c r="C86" s="42">
        <f t="array" ref="C86:C86">IFERROR(INDEX(통합!$B$1:$B$400,SMALL(IF(통합!$E$1:$E$400="교회차2",ROW(통합!$E$1:$E$400)),39)),"")</f>
        <v/>
      </c>
      <c r="D86" s="42">
        <f t="array" ref="D86:D86">IFERROR(INDEX(통합!$C$1:$C$400,SMALL(IF(통합!$E$1:$E$400="교회차2",ROW(통합!$E$1:$E$400)),39)),"")</f>
        <v/>
      </c>
      <c r="E86" s="42" t="n"/>
      <c r="H86" s="42">
        <f t="array" ref="H86:H86">IFERROR(INDEX(통합!$A$1:$A$400,SMALL(IF(통합!$F$1:$F$400="교회차2",ROW(통합!$F$1:$F$400)),39)),"")</f>
        <v/>
      </c>
      <c r="I86" s="42">
        <f t="array" ref="I86:I86">IFERROR(INDEX(통합!$B$1:$B$400,SMALL(IF(통합!$F$1:$F$400="교회차2",ROW(통합!$F$1:$F$400)),39)),"")</f>
        <v/>
      </c>
      <c r="J86" s="42">
        <f t="array" ref="J86:J86">IFERROR(INDEX(통합!$C$1:$C$400,SMALL(IF(통합!$F$1:$F$400="교회차2",ROW(통합!$F$1:$F$400)),39)),"")</f>
        <v/>
      </c>
      <c r="K86" s="42" t="n"/>
    </row>
    <row r="87" ht="19.5" customHeight="1" s="33">
      <c r="A87" s="43" t="n">
        <v>40</v>
      </c>
      <c r="B87" s="44">
        <f t="array" ref="B87:B87">IFERROR(INDEX(통합!$A$1:$A$400,SMALL(IF(통합!$E$1:$E$400="교회차2",ROW(통합!$E$1:$E$400)),40)),"")</f>
        <v/>
      </c>
      <c r="C87" s="44">
        <f t="array" ref="C87:C87">IFERROR(INDEX(통합!$B$1:$B$400,SMALL(IF(통합!$E$1:$E$400="교회차2",ROW(통합!$E$1:$E$400)),40)),"")</f>
        <v/>
      </c>
      <c r="D87" s="44">
        <f t="array" ref="D87:D87">IFERROR(INDEX(통합!$C$1:$C$400,SMALL(IF(통합!$E$1:$E$400="교회차2",ROW(통합!$E$1:$E$400)),40)),"")</f>
        <v/>
      </c>
      <c r="E87" s="44" t="n"/>
      <c r="H87" s="44">
        <f t="array" ref="H87:H87">IFERROR(INDEX(통합!$A$1:$A$400,SMALL(IF(통합!$F$1:$F$400="교회차2",ROW(통합!$F$1:$F$400)),40)),"")</f>
        <v/>
      </c>
      <c r="I87" s="44">
        <f t="array" ref="I87:I87">IFERROR(INDEX(통합!$B$1:$B$400,SMALL(IF(통합!$F$1:$F$400="교회차2",ROW(통합!$F$1:$F$400)),40)),"")</f>
        <v/>
      </c>
      <c r="J87" s="44">
        <f t="array" ref="J87:J87">IFERROR(INDEX(통합!$C$1:$C$400,SMALL(IF(통합!$F$1:$F$400="교회차2",ROW(통합!$F$1:$F$400)),40)),"")</f>
        <v/>
      </c>
      <c r="K87" s="44" t="n"/>
    </row>
    <row r="88" ht="15" customHeight="1" s="33">
      <c r="A88" s="45" t="inlineStr">
        <is>
          <t>교회차2  합  계</t>
        </is>
      </c>
      <c r="B88" s="35" t="n"/>
      <c r="C88" s="35" t="n"/>
      <c r="D88" s="35" t="n"/>
      <c r="E88" s="35" t="n"/>
      <c r="G88" s="45" t="inlineStr">
        <is>
          <t>교회차2  합  계</t>
        </is>
      </c>
      <c r="H88" s="35" t="n"/>
      <c r="I88" s="35" t="n"/>
      <c r="J88" s="35" t="n"/>
      <c r="K88" s="35" t="n"/>
    </row>
  </sheetData>
  <mergeCells count="10">
    <mergeCell ref="A2:E2"/>
    <mergeCell ref="G2:K2"/>
    <mergeCell ref="A1:K1"/>
    <mergeCell ref="G44:K44"/>
    <mergeCell ref="A46:E46"/>
    <mergeCell ref="A44:E44"/>
    <mergeCell ref="G46:K46"/>
    <mergeCell ref="A88:E88"/>
    <mergeCell ref="A45:K45"/>
    <mergeCell ref="G88:K8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K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5.51" customWidth="1" style="32" min="2" max="2"/>
    <col width="9" customWidth="1" style="32" min="3" max="3"/>
    <col width="8" customWidth="1" style="32" min="4" max="4"/>
    <col width="14.6" customWidth="1" style="32" min="5" max="5"/>
    <col width="2" customWidth="1" style="32" min="6" max="6"/>
    <col width="4" customWidth="1" style="32" min="7" max="7"/>
    <col width="5.51" customWidth="1" style="32" min="8" max="8"/>
    <col width="9" customWidth="1" style="32" min="9" max="9"/>
    <col width="8" customWidth="1" style="32" min="10" max="10"/>
    <col width="14.6" customWidth="1" style="32" min="11" max="11"/>
  </cols>
  <sheetData>
    <row r="1" ht="27.75" customHeight="1" s="33">
      <c r="A1" s="47" t="inlineStr">
        <is>
          <t>개인차1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15" customHeight="1" s="33">
      <c r="A2" s="64" t="inlineStr">
        <is>
          <t>상행</t>
        </is>
      </c>
      <c r="B2" s="35" t="n"/>
      <c r="C2" s="35" t="n"/>
      <c r="D2" s="35" t="n"/>
      <c r="E2" s="35" t="n"/>
      <c r="G2" s="64" t="inlineStr">
        <is>
          <t>하행</t>
        </is>
      </c>
      <c r="H2" s="35" t="n"/>
      <c r="I2" s="35" t="n"/>
      <c r="J2" s="35" t="n"/>
      <c r="K2" s="35" t="n"/>
    </row>
    <row r="3" ht="15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비고</t>
        </is>
      </c>
      <c r="G3" s="48" t="inlineStr">
        <is>
          <t>no</t>
        </is>
      </c>
      <c r="H3" s="49" t="inlineStr">
        <is>
          <t>구역</t>
        </is>
      </c>
      <c r="I3" s="49" t="inlineStr">
        <is>
          <t>회(부서)</t>
        </is>
      </c>
      <c r="J3" s="49" t="inlineStr">
        <is>
          <t>성 명</t>
        </is>
      </c>
      <c r="K3" s="49" t="inlineStr">
        <is>
          <t>비고</t>
        </is>
      </c>
    </row>
    <row r="4" ht="19.5" customHeight="1" s="33">
      <c r="A4" s="41" t="n">
        <v>1</v>
      </c>
      <c r="B4" s="42">
        <f t="array" ref="B4:B4">IFERROR(INDEX(통합!$A$1:$A$400,SMALL(IF(통합!$I$1:$I$400="개인차1",ROW(통합!$I$1:$I$400)),1)),"")</f>
        <v/>
      </c>
      <c r="C4" s="42">
        <f t="array" ref="C4:C4">IFERROR(INDEX(통합!$B$1:$B$400,SMALL(IF(통합!$I$1:$I$400="개인차1",ROW(통합!$I$1:$I$400)),1)),"")</f>
        <v/>
      </c>
      <c r="D4" s="42">
        <f t="array" ref="D4:D4">IFERROR(INDEX(통합!$C$1:$C$400,SMALL(IF(통합!$I$1:$I$400="개인차1",ROW(통합!$I$1:$I$400)),1)),"")</f>
        <v/>
      </c>
      <c r="E4" s="42" t="n"/>
      <c r="H4" s="42">
        <f t="array" ref="H4:H4">IFERROR(INDEX(통합!$A$1:$A$400,SMALL(IF(통합!$J$1:$J$400="개인차1",ROW(통합!$J$1:$J$400)),1)),"")</f>
        <v/>
      </c>
      <c r="I4" s="42">
        <f t="array" ref="I4:I4">IFERROR(INDEX(통합!$B$1:$B$400,SMALL(IF(통합!$J$1:$J$400="개인차1",ROW(통합!$J$1:$J$400)),1)),"")</f>
        <v/>
      </c>
      <c r="J4" s="42">
        <f t="array" ref="J4:J4">IFERROR(INDEX(통합!$C$1:$C$400,SMALL(IF(통합!$J$1:$J$400="개인차1",ROW(통합!$J$1:$J$400)),1)),"")</f>
        <v/>
      </c>
      <c r="K4" s="42" t="n"/>
    </row>
    <row r="5" ht="19.5" customHeight="1" s="33">
      <c r="A5" s="43" t="n">
        <v>2</v>
      </c>
      <c r="B5" s="44">
        <f t="array" ref="B5:B5">IFERROR(INDEX(통합!$A$1:$A$400,SMALL(IF(통합!$I$1:$I$400="개인차1",ROW(통합!$I$1:$I$400)),2)),"")</f>
        <v/>
      </c>
      <c r="C5" s="44">
        <f t="array" ref="C5:C5">IFERROR(INDEX(통합!$B$1:$B$400,SMALL(IF(통합!$I$1:$I$400="개인차1",ROW(통합!$I$1:$I$400)),2)),"")</f>
        <v/>
      </c>
      <c r="D5" s="44">
        <f t="array" ref="D5:D5">IFERROR(INDEX(통합!$C$1:$C$400,SMALL(IF(통합!$I$1:$I$400="개인차1",ROW(통합!$I$1:$I$400)),2)),"")</f>
        <v/>
      </c>
      <c r="E5" s="44" t="n"/>
      <c r="H5" s="44">
        <f t="array" ref="H5:H5">IFERROR(INDEX(통합!$A$1:$A$400,SMALL(IF(통합!$J$1:$J$400="개인차1",ROW(통합!$J$1:$J$400)),2)),"")</f>
        <v/>
      </c>
      <c r="I5" s="44">
        <f t="array" ref="I5:I5">IFERROR(INDEX(통합!$B$1:$B$400,SMALL(IF(통합!$J$1:$J$400="개인차1",ROW(통합!$J$1:$J$400)),2)),"")</f>
        <v/>
      </c>
      <c r="J5" s="44">
        <f t="array" ref="J5:J5">IFERROR(INDEX(통합!$C$1:$C$400,SMALL(IF(통합!$J$1:$J$400="개인차1",ROW(통합!$J$1:$J$400)),2)),"")</f>
        <v/>
      </c>
      <c r="K5" s="44" t="n"/>
    </row>
    <row r="6" ht="19.5" customHeight="1" s="33">
      <c r="A6" s="41" t="n">
        <v>3</v>
      </c>
      <c r="B6" s="42">
        <f t="array" ref="B6:B6">IFERROR(INDEX(통합!$A$1:$A$400,SMALL(IF(통합!$I$1:$I$400="개인차1",ROW(통합!$I$1:$I$400)),3)),"")</f>
        <v/>
      </c>
      <c r="C6" s="42">
        <f t="array" ref="C6:C6">IFERROR(INDEX(통합!$B$1:$B$400,SMALL(IF(통합!$I$1:$I$400="개인차1",ROW(통합!$I$1:$I$400)),3)),"")</f>
        <v/>
      </c>
      <c r="D6" s="42">
        <f t="array" ref="D6:D6">IFERROR(INDEX(통합!$C$1:$C$400,SMALL(IF(통합!$I$1:$I$400="개인차1",ROW(통합!$I$1:$I$400)),3)),"")</f>
        <v/>
      </c>
      <c r="E6" s="42" t="n"/>
      <c r="H6" s="42">
        <f t="array" ref="H6:H6">IFERROR(INDEX(통합!$A$1:$A$400,SMALL(IF(통합!$J$1:$J$400="개인차1",ROW(통합!$J$1:$J$400)),3)),"")</f>
        <v/>
      </c>
      <c r="I6" s="42">
        <f t="array" ref="I6:I6">IFERROR(INDEX(통합!$B$1:$B$400,SMALL(IF(통합!$J$1:$J$400="개인차1",ROW(통합!$J$1:$J$400)),3)),"")</f>
        <v/>
      </c>
      <c r="J6" s="42">
        <f t="array" ref="J6:J6">IFERROR(INDEX(통합!$C$1:$C$400,SMALL(IF(통합!$J$1:$J$400="개인차1",ROW(통합!$J$1:$J$400)),3)),"")</f>
        <v/>
      </c>
      <c r="K6" s="42" t="n"/>
    </row>
    <row r="7" ht="19.5" customHeight="1" s="33">
      <c r="A7" s="43" t="n">
        <v>4</v>
      </c>
      <c r="B7" s="44">
        <f t="array" ref="B7:B7">IFERROR(INDEX(통합!$A$1:$A$400,SMALL(IF(통합!$I$1:$I$400="개인차1",ROW(통합!$I$1:$I$400)),4)),"")</f>
        <v/>
      </c>
      <c r="C7" s="44">
        <f t="array" ref="C7:C7">IFERROR(INDEX(통합!$B$1:$B$400,SMALL(IF(통합!$I$1:$I$400="개인차1",ROW(통합!$I$1:$I$400)),4)),"")</f>
        <v/>
      </c>
      <c r="D7" s="44">
        <f t="array" ref="D7:D7">IFERROR(INDEX(통합!$C$1:$C$400,SMALL(IF(통합!$I$1:$I$400="개인차1",ROW(통합!$I$1:$I$400)),4)),"")</f>
        <v/>
      </c>
      <c r="E7" s="44" t="n"/>
      <c r="H7" s="44">
        <f t="array" ref="H7:H7">IFERROR(INDEX(통합!$A$1:$A$400,SMALL(IF(통합!$J$1:$J$400="개인차1",ROW(통합!$J$1:$J$400)),4)),"")</f>
        <v/>
      </c>
      <c r="I7" s="44">
        <f t="array" ref="I7:I7">IFERROR(INDEX(통합!$B$1:$B$400,SMALL(IF(통합!$J$1:$J$400="개인차1",ROW(통합!$J$1:$J$400)),4)),"")</f>
        <v/>
      </c>
      <c r="J7" s="44">
        <f t="array" ref="J7:J7">IFERROR(INDEX(통합!$C$1:$C$400,SMALL(IF(통합!$J$1:$J$400="개인차1",ROW(통합!$J$1:$J$400)),4)),"")</f>
        <v/>
      </c>
      <c r="K7" s="44" t="n"/>
    </row>
    <row r="8" ht="19.5" customHeight="1" s="33">
      <c r="A8" s="41" t="n">
        <v>5</v>
      </c>
      <c r="B8" s="42">
        <f t="array" ref="B8:B8">IFERROR(INDEX(통합!$A$1:$A$400,SMALL(IF(통합!$I$1:$I$400="개인차1",ROW(통합!$I$1:$I$400)),5)),"")</f>
        <v/>
      </c>
      <c r="C8" s="42">
        <f t="array" ref="C8:C8">IFERROR(INDEX(통합!$B$1:$B$400,SMALL(IF(통합!$I$1:$I$400="개인차1",ROW(통합!$I$1:$I$400)),5)),"")</f>
        <v/>
      </c>
      <c r="D8" s="42">
        <f t="array" ref="D8:D8">IFERROR(INDEX(통합!$C$1:$C$400,SMALL(IF(통합!$I$1:$I$400="개인차1",ROW(통합!$I$1:$I$400)),5)),"")</f>
        <v/>
      </c>
      <c r="E8" s="42" t="n"/>
      <c r="H8" s="42">
        <f t="array" ref="H8:H8">IFERROR(INDEX(통합!$A$1:$A$400,SMALL(IF(통합!$J$1:$J$400="개인차1",ROW(통합!$J$1:$J$400)),5)),"")</f>
        <v/>
      </c>
      <c r="I8" s="42">
        <f t="array" ref="I8:I8">IFERROR(INDEX(통합!$B$1:$B$400,SMALL(IF(통합!$J$1:$J$400="개인차1",ROW(통합!$J$1:$J$400)),5)),"")</f>
        <v/>
      </c>
      <c r="J8" s="42">
        <f t="array" ref="J8:J8">IFERROR(INDEX(통합!$C$1:$C$400,SMALL(IF(통합!$J$1:$J$400="개인차1",ROW(통합!$J$1:$J$400)),5)),"")</f>
        <v/>
      </c>
      <c r="K8" s="42" t="n"/>
    </row>
    <row r="9" ht="19.5" customHeight="1" s="33">
      <c r="A9" s="43" t="n">
        <v>6</v>
      </c>
      <c r="B9" s="44">
        <f t="array" ref="B9:B9">IFERROR(INDEX(통합!$A$1:$A$400,SMALL(IF(통합!$I$1:$I$400="개인차1",ROW(통합!$I$1:$I$400)),6)),"")</f>
        <v/>
      </c>
      <c r="C9" s="44">
        <f t="array" ref="C9:C9">IFERROR(INDEX(통합!$B$1:$B$400,SMALL(IF(통합!$I$1:$I$400="개인차1",ROW(통합!$I$1:$I$400)),6)),"")</f>
        <v/>
      </c>
      <c r="D9" s="44">
        <f t="array" ref="D9:D9">IFERROR(INDEX(통합!$C$1:$C$400,SMALL(IF(통합!$I$1:$I$400="개인차1",ROW(통합!$I$1:$I$400)),6)),"")</f>
        <v/>
      </c>
      <c r="E9" s="44" t="n"/>
      <c r="H9" s="44">
        <f t="array" ref="H9:H9">IFERROR(INDEX(통합!$A$1:$A$400,SMALL(IF(통합!$J$1:$J$400="개인차1",ROW(통합!$J$1:$J$400)),6)),"")</f>
        <v/>
      </c>
      <c r="I9" s="44">
        <f t="array" ref="I9:I9">IFERROR(INDEX(통합!$B$1:$B$400,SMALL(IF(통합!$J$1:$J$400="개인차1",ROW(통합!$J$1:$J$400)),6)),"")</f>
        <v/>
      </c>
      <c r="J9" s="44">
        <f t="array" ref="J9:J9">IFERROR(INDEX(통합!$C$1:$C$400,SMALL(IF(통합!$J$1:$J$400="개인차1",ROW(통합!$J$1:$J$400)),6)),"")</f>
        <v/>
      </c>
      <c r="K9" s="44" t="n"/>
    </row>
    <row r="10" ht="19.5" customHeight="1" s="33">
      <c r="A10" s="41" t="n">
        <v>7</v>
      </c>
      <c r="B10" s="42">
        <f t="array" ref="B10:B10">IFERROR(INDEX(통합!$A$1:$A$400,SMALL(IF(통합!$I$1:$I$400="개인차1",ROW(통합!$I$1:$I$400)),7)),"")</f>
        <v/>
      </c>
      <c r="C10" s="42">
        <f t="array" ref="C10:C10">IFERROR(INDEX(통합!$B$1:$B$400,SMALL(IF(통합!$I$1:$I$400="개인차1",ROW(통합!$I$1:$I$400)),7)),"")</f>
        <v/>
      </c>
      <c r="D10" s="42">
        <f t="array" ref="D10:D10">IFERROR(INDEX(통합!$C$1:$C$400,SMALL(IF(통합!$I$1:$I$400="개인차1",ROW(통합!$I$1:$I$400)),7)),"")</f>
        <v/>
      </c>
      <c r="E10" s="42" t="n"/>
      <c r="H10" s="42">
        <f t="array" ref="H10:H10">IFERROR(INDEX(통합!$A$1:$A$400,SMALL(IF(통합!$J$1:$J$400="개인차1",ROW(통합!$J$1:$J$400)),7)),"")</f>
        <v/>
      </c>
      <c r="I10" s="42">
        <f t="array" ref="I10:I10">IFERROR(INDEX(통합!$B$1:$B$400,SMALL(IF(통합!$J$1:$J$400="개인차1",ROW(통합!$J$1:$J$400)),7)),"")</f>
        <v/>
      </c>
      <c r="J10" s="42">
        <f t="array" ref="J10:J10">IFERROR(INDEX(통합!$C$1:$C$400,SMALL(IF(통합!$J$1:$J$400="개인차1",ROW(통합!$J$1:$J$400)),7)),"")</f>
        <v/>
      </c>
      <c r="K10" s="42" t="n"/>
    </row>
    <row r="11" ht="23.85" customHeight="1" s="33">
      <c r="A11" s="47" t="inlineStr">
        <is>
          <t>개인차2</t>
        </is>
      </c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</row>
    <row r="12" ht="15" customHeight="1" s="33">
      <c r="A12" s="64" t="inlineStr">
        <is>
          <t>상행</t>
        </is>
      </c>
      <c r="B12" s="35" t="n"/>
      <c r="C12" s="35" t="n"/>
      <c r="D12" s="35" t="n"/>
      <c r="E12" s="35" t="n"/>
      <c r="G12" s="64" t="inlineStr">
        <is>
          <t>하행</t>
        </is>
      </c>
      <c r="H12" s="35" t="n"/>
      <c r="I12" s="35" t="n"/>
      <c r="J12" s="35" t="n"/>
      <c r="K12" s="35" t="n"/>
    </row>
    <row r="13" ht="15" customHeight="1" s="33">
      <c r="A13" s="48" t="inlineStr">
        <is>
          <t>no</t>
        </is>
      </c>
      <c r="B13" s="49" t="inlineStr">
        <is>
          <t>구역</t>
        </is>
      </c>
      <c r="C13" s="49" t="inlineStr">
        <is>
          <t>회</t>
        </is>
      </c>
      <c r="D13" s="49" t="inlineStr">
        <is>
          <t>성 명</t>
        </is>
      </c>
      <c r="E13" s="49" t="inlineStr">
        <is>
          <t>비고</t>
        </is>
      </c>
      <c r="G13" s="48" t="inlineStr">
        <is>
          <t>no</t>
        </is>
      </c>
      <c r="H13" s="49" t="inlineStr">
        <is>
          <t>구역</t>
        </is>
      </c>
      <c r="I13" s="49" t="inlineStr">
        <is>
          <t>회</t>
        </is>
      </c>
      <c r="J13" s="49" t="inlineStr">
        <is>
          <t>성 명</t>
        </is>
      </c>
      <c r="K13" s="49" t="inlineStr">
        <is>
          <t>비고</t>
        </is>
      </c>
    </row>
    <row r="14" ht="19.5" customHeight="1" s="33">
      <c r="A14" s="41" t="n">
        <v>1</v>
      </c>
      <c r="B14" s="42">
        <f t="array" ref="B14:B14">IFERROR(INDEX(통합!$A$1:$A$400,SMALL(IF(통합!$I$1:$I$400="개인차2",ROW(통합!$I$1:$I$400)),1)),"")</f>
        <v/>
      </c>
      <c r="C14" s="42">
        <f t="array" ref="C14:C14">IFERROR(INDEX(통합!$B$1:$B$400,SMALL(IF(통합!$I$1:$I$400="개인차2",ROW(통합!$I$1:$I$400)),1)),"")</f>
        <v/>
      </c>
      <c r="D14" s="42">
        <f t="array" ref="D14:D14">IFERROR(INDEX(통합!$C$1:$C$400,SMALL(IF(통합!$I$1:$I$400="개인차2",ROW(통합!$I$1:$I$400)),1)),"")</f>
        <v/>
      </c>
      <c r="E14" s="42" t="n"/>
      <c r="H14" s="42">
        <f t="array" ref="H14:H14">IFERROR(INDEX(통합!$A$1:$A$400,SMALL(IF(통합!$J$1:$J$400="개인차2",ROW(통합!$J$1:$J$400)),1)),"")</f>
        <v/>
      </c>
      <c r="I14" s="42">
        <f t="array" ref="I14:I14">IFERROR(INDEX(통합!$B$1:$B$400,SMALL(IF(통합!$J$1:$J$400="개인차2",ROW(통합!$J$1:$J$400)),1)),"")</f>
        <v/>
      </c>
      <c r="J14" s="42">
        <f t="array" ref="J14:J14">IFERROR(INDEX(통합!$C$1:$C$400,SMALL(IF(통합!$J$1:$J$400="개인차2",ROW(통합!$J$1:$J$400)),1)),"")</f>
        <v/>
      </c>
      <c r="K14" s="42" t="n"/>
    </row>
    <row r="15" ht="19.5" customHeight="1" s="33">
      <c r="A15" s="43" t="n">
        <v>2</v>
      </c>
      <c r="B15" s="44">
        <f t="array" ref="B15:B15">IFERROR(INDEX(통합!$A$1:$A$400,SMALL(IF(통합!$I$1:$I$400="개인차2",ROW(통합!$I$1:$I$400)),2)),"")</f>
        <v/>
      </c>
      <c r="C15" s="44">
        <f t="array" ref="C15:C15">IFERROR(INDEX(통합!$B$1:$B$400,SMALL(IF(통합!$I$1:$I$400="개인차2",ROW(통합!$I$1:$I$400)),2)),"")</f>
        <v/>
      </c>
      <c r="D15" s="44">
        <f t="array" ref="D15:D15">IFERROR(INDEX(통합!$C$1:$C$400,SMALL(IF(통합!$I$1:$I$400="개인차2",ROW(통합!$I$1:$I$400)),2)),"")</f>
        <v/>
      </c>
      <c r="E15" s="44" t="n"/>
      <c r="H15" s="44">
        <f t="array" ref="H15:H15">IFERROR(INDEX(통합!$A$1:$A$400,SMALL(IF(통합!$J$1:$J$400="개인차2",ROW(통합!$J$1:$J$400)),2)),"")</f>
        <v/>
      </c>
      <c r="I15" s="44">
        <f t="array" ref="I15:I15">IFERROR(INDEX(통합!$B$1:$B$400,SMALL(IF(통합!$J$1:$J$400="개인차2",ROW(통합!$J$1:$J$400)),2)),"")</f>
        <v/>
      </c>
      <c r="J15" s="44">
        <f t="array" ref="J15:J15">IFERROR(INDEX(통합!$C$1:$C$400,SMALL(IF(통합!$J$1:$J$400="개인차2",ROW(통합!$J$1:$J$400)),2)),"")</f>
        <v/>
      </c>
      <c r="K15" s="44" t="n"/>
    </row>
    <row r="16" ht="19.5" customHeight="1" s="33">
      <c r="A16" s="41" t="n">
        <v>3</v>
      </c>
      <c r="B16" s="42">
        <f t="array" ref="B16:B16">IFERROR(INDEX(통합!$A$1:$A$400,SMALL(IF(통합!$I$1:$I$400="개인차2",ROW(통합!$I$1:$I$400)),3)),"")</f>
        <v/>
      </c>
      <c r="C16" s="42">
        <f t="array" ref="C16:C16">IFERROR(INDEX(통합!$B$1:$B$400,SMALL(IF(통합!$I$1:$I$400="개인차2",ROW(통합!$I$1:$I$400)),3)),"")</f>
        <v/>
      </c>
      <c r="D16" s="42">
        <f t="array" ref="D16:D16">IFERROR(INDEX(통합!$C$1:$C$400,SMALL(IF(통합!$I$1:$I$400="개인차2",ROW(통합!$I$1:$I$400)),3)),"")</f>
        <v/>
      </c>
      <c r="E16" s="42" t="n"/>
      <c r="H16" s="42">
        <f t="array" ref="H16:H16">IFERROR(INDEX(통합!$A$1:$A$400,SMALL(IF(통합!$J$1:$J$400="개인차2",ROW(통합!$J$1:$J$400)),3)),"")</f>
        <v/>
      </c>
      <c r="I16" s="42">
        <f t="array" ref="I16:I16">IFERROR(INDEX(통합!$B$1:$B$400,SMALL(IF(통합!$J$1:$J$400="개인차2",ROW(통합!$J$1:$J$400)),3)),"")</f>
        <v/>
      </c>
      <c r="J16" s="42">
        <f t="array" ref="J16:J16">IFERROR(INDEX(통합!$C$1:$C$400,SMALL(IF(통합!$J$1:$J$400="개인차2",ROW(통합!$J$1:$J$400)),3)),"")</f>
        <v/>
      </c>
      <c r="K16" s="42" t="n"/>
    </row>
    <row r="17" ht="19.5" customHeight="1" s="33">
      <c r="A17" s="43" t="n">
        <v>4</v>
      </c>
      <c r="B17" s="44">
        <f t="array" ref="B17:B17">IFERROR(INDEX(통합!$A$1:$A$400,SMALL(IF(통합!$I$1:$I$400="개인차2",ROW(통합!$I$1:$I$400)),4)),"")</f>
        <v/>
      </c>
      <c r="C17" s="44">
        <f t="array" ref="C17:C17">IFERROR(INDEX(통합!$B$1:$B$400,SMALL(IF(통합!$I$1:$I$400="개인차2",ROW(통합!$I$1:$I$400)),4)),"")</f>
        <v/>
      </c>
      <c r="D17" s="44">
        <f t="array" ref="D17:D17">IFERROR(INDEX(통합!$C$1:$C$400,SMALL(IF(통합!$I$1:$I$400="개인차2",ROW(통합!$I$1:$I$400)),4)),"")</f>
        <v/>
      </c>
      <c r="E17" s="44" t="n"/>
      <c r="H17" s="44">
        <f t="array" ref="H17:H17">IFERROR(INDEX(통합!$A$1:$A$400,SMALL(IF(통합!$J$1:$J$400="개인차2",ROW(통합!$J$1:$J$400)),4)),"")</f>
        <v/>
      </c>
      <c r="I17" s="44">
        <f t="array" ref="I17:I17">IFERROR(INDEX(통합!$B$1:$B$400,SMALL(IF(통합!$J$1:$J$400="개인차2",ROW(통합!$J$1:$J$400)),4)),"")</f>
        <v/>
      </c>
      <c r="J17" s="44">
        <f t="array" ref="J17:J17">IFERROR(INDEX(통합!$C$1:$C$400,SMALL(IF(통합!$J$1:$J$400="개인차2",ROW(통합!$J$1:$J$400)),4)),"")</f>
        <v/>
      </c>
      <c r="K17" s="44" t="n"/>
    </row>
    <row r="18" ht="19.5" customHeight="1" s="33">
      <c r="A18" s="41" t="n">
        <v>5</v>
      </c>
      <c r="B18" s="42">
        <f t="array" ref="B18:B18">IFERROR(INDEX(통합!$A$1:$A$400,SMALL(IF(통합!$I$1:$I$400="개인차2",ROW(통합!$I$1:$I$400)),5)),"")</f>
        <v/>
      </c>
      <c r="C18" s="42">
        <f t="array" ref="C18:C18">IFERROR(INDEX(통합!$B$1:$B$400,SMALL(IF(통합!$I$1:$I$400="개인차2",ROW(통합!$I$1:$I$400)),5)),"")</f>
        <v/>
      </c>
      <c r="D18" s="42">
        <f t="array" ref="D18:D18">IFERROR(INDEX(통합!$C$1:$C$400,SMALL(IF(통합!$I$1:$I$400="개인차2",ROW(통합!$I$1:$I$400)),5)),"")</f>
        <v/>
      </c>
      <c r="E18" s="42" t="n"/>
      <c r="H18" s="42">
        <f t="array" ref="H18:H18">IFERROR(INDEX(통합!$A$1:$A$400,SMALL(IF(통합!$J$1:$J$400="개인차2",ROW(통합!$J$1:$J$400)),5)),"")</f>
        <v/>
      </c>
      <c r="I18" s="42">
        <f t="array" ref="I18:I18">IFERROR(INDEX(통합!$B$1:$B$400,SMALL(IF(통합!$J$1:$J$400="개인차2",ROW(통합!$J$1:$J$400)),5)),"")</f>
        <v/>
      </c>
      <c r="J18" s="42">
        <f t="array" ref="J18:J18">IFERROR(INDEX(통합!$C$1:$C$400,SMALL(IF(통합!$J$1:$J$400="개인차2",ROW(통합!$J$1:$J$400)),5)),"")</f>
        <v/>
      </c>
      <c r="K18" s="42" t="n"/>
    </row>
    <row r="19" ht="19.5" customHeight="1" s="33">
      <c r="A19" s="43" t="n">
        <v>6</v>
      </c>
      <c r="B19" s="44">
        <f t="array" ref="B19:B19">IFERROR(INDEX(통합!$A$1:$A$400,SMALL(IF(통합!$I$1:$I$400="개인차2",ROW(통합!$I$1:$I$400)),6)),"")</f>
        <v/>
      </c>
      <c r="C19" s="44">
        <f t="array" ref="C19:C19">IFERROR(INDEX(통합!$B$1:$B$400,SMALL(IF(통합!$I$1:$I$400="개인차2",ROW(통합!$I$1:$I$400)),6)),"")</f>
        <v/>
      </c>
      <c r="D19" s="44">
        <f t="array" ref="D19:D19">IFERROR(INDEX(통합!$C$1:$C$400,SMALL(IF(통합!$I$1:$I$400="개인차2",ROW(통합!$I$1:$I$400)),6)),"")</f>
        <v/>
      </c>
      <c r="E19" s="44" t="n"/>
      <c r="H19" s="44">
        <f t="array" ref="H19:H19">IFERROR(INDEX(통합!$A$1:$A$400,SMALL(IF(통합!$J$1:$J$400="개인차2",ROW(통합!$J$1:$J$400)),6)),"")</f>
        <v/>
      </c>
      <c r="I19" s="44">
        <f t="array" ref="I19:I19">IFERROR(INDEX(통합!$B$1:$B$400,SMALL(IF(통합!$J$1:$J$400="개인차2",ROW(통합!$J$1:$J$400)),6)),"")</f>
        <v/>
      </c>
      <c r="J19" s="44">
        <f t="array" ref="J19:J19">IFERROR(INDEX(통합!$C$1:$C$400,SMALL(IF(통합!$J$1:$J$400="개인차2",ROW(통합!$J$1:$J$400)),6)),"")</f>
        <v/>
      </c>
      <c r="K19" s="44" t="n"/>
    </row>
    <row r="20" ht="19.5" customHeight="1" s="33">
      <c r="A20" s="41" t="n">
        <v>7</v>
      </c>
      <c r="B20" s="42">
        <f t="array" ref="B20:B20">IFERROR(INDEX(통합!$A$1:$A$400,SMALL(IF(통합!$I$1:$I$400="개인차2",ROW(통합!$I$1:$I$400)),7)),"")</f>
        <v/>
      </c>
      <c r="C20" s="42">
        <f t="array" ref="C20:C20">IFERROR(INDEX(통합!$B$1:$B$400,SMALL(IF(통합!$I$1:$I$400="개인차2",ROW(통합!$I$1:$I$400)),7)),"")</f>
        <v/>
      </c>
      <c r="D20" s="42">
        <f t="array" ref="D20:D20">IFERROR(INDEX(통합!$C$1:$C$400,SMALL(IF(통합!$I$1:$I$400="개인차2",ROW(통합!$I$1:$I$400)),7)),"")</f>
        <v/>
      </c>
      <c r="E20" s="42" t="n"/>
      <c r="H20" s="42">
        <f t="array" ref="H20:H20">IFERROR(INDEX(통합!$A$1:$A$400,SMALL(IF(통합!$J$1:$J$400="개인차2",ROW(통합!$J$1:$J$400)),7)),"")</f>
        <v/>
      </c>
      <c r="I20" s="42">
        <f t="array" ref="I20:I20">IFERROR(INDEX(통합!$B$1:$B$400,SMALL(IF(통합!$J$1:$J$400="개인차2",ROW(통합!$J$1:$J$400)),7)),"")</f>
        <v/>
      </c>
      <c r="J20" s="42">
        <f t="array" ref="J20:J20">IFERROR(INDEX(통합!$C$1:$C$400,SMALL(IF(통합!$J$1:$J$400="개인차2",ROW(통합!$J$1:$J$400)),7)),"")</f>
        <v/>
      </c>
      <c r="K20" s="42" t="n"/>
    </row>
    <row r="21" ht="23.85" customHeight="1" s="33">
      <c r="A21" s="47" t="inlineStr">
        <is>
          <t>개인차3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</row>
    <row r="22" ht="15" customHeight="1" s="33">
      <c r="A22" s="64" t="inlineStr">
        <is>
          <t>상행</t>
        </is>
      </c>
      <c r="B22" s="35" t="n"/>
      <c r="C22" s="35" t="n"/>
      <c r="D22" s="35" t="n"/>
      <c r="E22" s="35" t="n"/>
      <c r="G22" s="64" t="inlineStr">
        <is>
          <t>하행</t>
        </is>
      </c>
      <c r="H22" s="35" t="n"/>
      <c r="I22" s="35" t="n"/>
      <c r="J22" s="35" t="n"/>
      <c r="K22" s="35" t="n"/>
    </row>
    <row r="23" ht="15" customHeight="1" s="33">
      <c r="A23" s="48" t="inlineStr">
        <is>
          <t>no</t>
        </is>
      </c>
      <c r="B23" s="49" t="inlineStr">
        <is>
          <t>구역</t>
        </is>
      </c>
      <c r="C23" s="49" t="inlineStr">
        <is>
          <t>회</t>
        </is>
      </c>
      <c r="D23" s="49" t="inlineStr">
        <is>
          <t>성 명</t>
        </is>
      </c>
      <c r="E23" s="49" t="inlineStr">
        <is>
          <t>비고</t>
        </is>
      </c>
      <c r="G23" s="48" t="inlineStr">
        <is>
          <t>no</t>
        </is>
      </c>
      <c r="H23" s="49" t="inlineStr">
        <is>
          <t>구역</t>
        </is>
      </c>
      <c r="I23" s="49" t="inlineStr">
        <is>
          <t>회</t>
        </is>
      </c>
      <c r="J23" s="49" t="inlineStr">
        <is>
          <t>성 명</t>
        </is>
      </c>
      <c r="K23" s="49" t="inlineStr">
        <is>
          <t>비고</t>
        </is>
      </c>
    </row>
    <row r="24" ht="19.5" customHeight="1" s="33">
      <c r="A24" s="41" t="n">
        <v>1</v>
      </c>
      <c r="B24" s="42">
        <f t="array" ref="B24:B24">IFERROR(INDEX(통합!$A$1:$A$400,SMALL(IF(통합!$I$1:$I$400="개인차3",ROW(통합!$I$1:$I$400)),1)),"")</f>
        <v/>
      </c>
      <c r="C24" s="42">
        <f t="array" ref="C24:C24">IFERROR(INDEX(통합!$B$1:$B$400,SMALL(IF(통합!$I$1:$I$400="개인차3",ROW(통합!$I$1:$I$400)),1)),"")</f>
        <v/>
      </c>
      <c r="D24" s="42">
        <f t="array" ref="D24:D24">IFERROR(INDEX(통합!$C$1:$C$400,SMALL(IF(통합!$I$1:$I$400="개인차3",ROW(통합!$I$1:$I$400)),1)),"")</f>
        <v/>
      </c>
      <c r="E24" s="42" t="n"/>
      <c r="H24" s="42">
        <f t="array" ref="H24:H24">IFERROR(INDEX(통합!$A$1:$A$400,SMALL(IF(통합!$J$1:$J$400="개인차3",ROW(통합!$J$1:$J$400)),1)),"")</f>
        <v/>
      </c>
      <c r="I24" s="42">
        <f t="array" ref="I24:I24">IFERROR(INDEX(통합!$B$1:$B$400,SMALL(IF(통합!$J$1:$J$400="개인차3",ROW(통합!$J$1:$J$400)),1)),"")</f>
        <v/>
      </c>
      <c r="J24" s="42">
        <f t="array" ref="J24:J24">IFERROR(INDEX(통합!$C$1:$C$400,SMALL(IF(통합!$J$1:$J$400="개인차3",ROW(통합!$J$1:$J$400)),1)),"")</f>
        <v/>
      </c>
      <c r="K24" s="42" t="n"/>
    </row>
    <row r="25" ht="19.5" customHeight="1" s="33">
      <c r="A25" s="43" t="n">
        <v>2</v>
      </c>
      <c r="B25" s="44">
        <f t="array" ref="B25:B25">IFERROR(INDEX(통합!$A$1:$A$400,SMALL(IF(통합!$I$1:$I$400="개인차3",ROW(통합!$I$1:$I$400)),2)),"")</f>
        <v/>
      </c>
      <c r="C25" s="44">
        <f t="array" ref="C25:C25">IFERROR(INDEX(통합!$B$1:$B$400,SMALL(IF(통합!$I$1:$I$400="개인차3",ROW(통합!$I$1:$I$400)),2)),"")</f>
        <v/>
      </c>
      <c r="D25" s="44">
        <f t="array" ref="D25:D25">IFERROR(INDEX(통합!$C$1:$C$400,SMALL(IF(통합!$I$1:$I$400="개인차3",ROW(통합!$I$1:$I$400)),2)),"")</f>
        <v/>
      </c>
      <c r="E25" s="44" t="n"/>
      <c r="H25" s="44">
        <f t="array" ref="H25:H25">IFERROR(INDEX(통합!$A$1:$A$400,SMALL(IF(통합!$J$1:$J$400="개인차3",ROW(통합!$J$1:$J$400)),2)),"")</f>
        <v/>
      </c>
      <c r="I25" s="44">
        <f t="array" ref="I25:I25">IFERROR(INDEX(통합!$B$1:$B$400,SMALL(IF(통합!$J$1:$J$400="개인차3",ROW(통합!$J$1:$J$400)),2)),"")</f>
        <v/>
      </c>
      <c r="J25" s="44">
        <f t="array" ref="J25:J25">IFERROR(INDEX(통합!$C$1:$C$400,SMALL(IF(통합!$J$1:$J$400="개인차3",ROW(통합!$J$1:$J$400)),2)),"")</f>
        <v/>
      </c>
      <c r="K25" s="44" t="n"/>
    </row>
    <row r="26" ht="19.5" customHeight="1" s="33">
      <c r="A26" s="41" t="n">
        <v>3</v>
      </c>
      <c r="B26" s="42">
        <f t="array" ref="B26:B26">IFERROR(INDEX(통합!$A$1:$A$400,SMALL(IF(통합!$I$1:$I$400="개인차3",ROW(통합!$I$1:$I$400)),3)),"")</f>
        <v/>
      </c>
      <c r="C26" s="42">
        <f t="array" ref="C26:C26">IFERROR(INDEX(통합!$B$1:$B$400,SMALL(IF(통합!$I$1:$I$400="개인차3",ROW(통합!$I$1:$I$400)),3)),"")</f>
        <v/>
      </c>
      <c r="D26" s="42">
        <f t="array" ref="D26:D26">IFERROR(INDEX(통합!$C$1:$C$400,SMALL(IF(통합!$I$1:$I$400="개인차3",ROW(통합!$I$1:$I$400)),3)),"")</f>
        <v/>
      </c>
      <c r="E26" s="42" t="n"/>
      <c r="H26" s="42">
        <f t="array" ref="H26:H26">IFERROR(INDEX(통합!$A$1:$A$400,SMALL(IF(통합!$J$1:$J$400="개인차3",ROW(통합!$J$1:$J$400)),3)),"")</f>
        <v/>
      </c>
      <c r="I26" s="42">
        <f t="array" ref="I26:I26">IFERROR(INDEX(통합!$B$1:$B$400,SMALL(IF(통합!$J$1:$J$400="개인차3",ROW(통합!$J$1:$J$400)),3)),"")</f>
        <v/>
      </c>
      <c r="J26" s="42">
        <f t="array" ref="J26:J26">IFERROR(INDEX(통합!$C$1:$C$400,SMALL(IF(통합!$J$1:$J$400="개인차3",ROW(통합!$J$1:$J$400)),3)),"")</f>
        <v/>
      </c>
      <c r="K26" s="42" t="n"/>
    </row>
    <row r="27" ht="19.5" customHeight="1" s="33">
      <c r="A27" s="43" t="n">
        <v>4</v>
      </c>
      <c r="B27" s="44">
        <f t="array" ref="B27:B27">IFERROR(INDEX(통합!$A$1:$A$400,SMALL(IF(통합!$I$1:$I$400="개인차3",ROW(통합!$I$1:$I$400)),4)),"")</f>
        <v/>
      </c>
      <c r="C27" s="44">
        <f t="array" ref="C27:C27">IFERROR(INDEX(통합!$B$1:$B$400,SMALL(IF(통합!$I$1:$I$400="개인차3",ROW(통합!$I$1:$I$400)),4)),"")</f>
        <v/>
      </c>
      <c r="D27" s="44">
        <f t="array" ref="D27:D27">IFERROR(INDEX(통합!$C$1:$C$400,SMALL(IF(통합!$I$1:$I$400="개인차3",ROW(통합!$I$1:$I$400)),4)),"")</f>
        <v/>
      </c>
      <c r="E27" s="44" t="n"/>
      <c r="H27" s="44">
        <f t="array" ref="H27:H27">IFERROR(INDEX(통합!$A$1:$A$400,SMALL(IF(통합!$J$1:$J$400="개인차3",ROW(통합!$J$1:$J$400)),4)),"")</f>
        <v/>
      </c>
      <c r="I27" s="44">
        <f t="array" ref="I27:I27">IFERROR(INDEX(통합!$B$1:$B$400,SMALL(IF(통합!$J$1:$J$400="개인차3",ROW(통합!$J$1:$J$400)),4)),"")</f>
        <v/>
      </c>
      <c r="J27" s="44">
        <f t="array" ref="J27:J27">IFERROR(INDEX(통합!$C$1:$C$400,SMALL(IF(통합!$J$1:$J$400="개인차3",ROW(통합!$J$1:$J$400)),4)),"")</f>
        <v/>
      </c>
      <c r="K27" s="44" t="n"/>
    </row>
    <row r="28" ht="19.5" customHeight="1" s="33">
      <c r="A28" s="41" t="n">
        <v>5</v>
      </c>
      <c r="B28" s="42">
        <f t="array" ref="B28:B28">IFERROR(INDEX(통합!$A$1:$A$400,SMALL(IF(통합!$I$1:$I$400="개인차3",ROW(통합!$I$1:$I$400)),5)),"")</f>
        <v/>
      </c>
      <c r="C28" s="42">
        <f t="array" ref="C28:C28">IFERROR(INDEX(통합!$B$1:$B$400,SMALL(IF(통합!$I$1:$I$400="개인차3",ROW(통합!$I$1:$I$400)),5)),"")</f>
        <v/>
      </c>
      <c r="D28" s="42">
        <f t="array" ref="D28:D28">IFERROR(INDEX(통합!$C$1:$C$400,SMALL(IF(통합!$I$1:$I$400="개인차3",ROW(통합!$I$1:$I$400)),5)),"")</f>
        <v/>
      </c>
      <c r="E28" s="42" t="n"/>
      <c r="H28" s="42">
        <f t="array" ref="H28:H28">IFERROR(INDEX(통합!$A$1:$A$400,SMALL(IF(통합!$J$1:$J$400="개인차3",ROW(통합!$J$1:$J$400)),5)),"")</f>
        <v/>
      </c>
      <c r="I28" s="42">
        <f t="array" ref="I28:I28">IFERROR(INDEX(통합!$B$1:$B$400,SMALL(IF(통합!$J$1:$J$400="개인차3",ROW(통합!$J$1:$J$400)),5)),"")</f>
        <v/>
      </c>
      <c r="J28" s="42">
        <f t="array" ref="J28:J28">IFERROR(INDEX(통합!$C$1:$C$400,SMALL(IF(통합!$J$1:$J$400="개인차3",ROW(통합!$J$1:$J$400)),5)),"")</f>
        <v/>
      </c>
      <c r="K28" s="42" t="n"/>
    </row>
    <row r="29" ht="19.5" customHeight="1" s="33">
      <c r="A29" s="43" t="n">
        <v>6</v>
      </c>
      <c r="B29" s="44">
        <f t="array" ref="B29:B29">IFERROR(INDEX(통합!$A$1:$A$400,SMALL(IF(통합!$I$1:$I$400="개인차3",ROW(통합!$I$1:$I$400)),6)),"")</f>
        <v/>
      </c>
      <c r="C29" s="44">
        <f t="array" ref="C29:C29">IFERROR(INDEX(통합!$B$1:$B$400,SMALL(IF(통합!$I$1:$I$400="개인차3",ROW(통합!$I$1:$I$400)),6)),"")</f>
        <v/>
      </c>
      <c r="D29" s="44">
        <f t="array" ref="D29:D29">IFERROR(INDEX(통합!$C$1:$C$400,SMALL(IF(통합!$I$1:$I$400="개인차3",ROW(통합!$I$1:$I$400)),6)),"")</f>
        <v/>
      </c>
      <c r="E29" s="44" t="n"/>
      <c r="H29" s="44">
        <f t="array" ref="H29:H29">IFERROR(INDEX(통합!$A$1:$A$400,SMALL(IF(통합!$J$1:$J$400="개인차3",ROW(통합!$J$1:$J$400)),6)),"")</f>
        <v/>
      </c>
      <c r="I29" s="44">
        <f t="array" ref="I29:I29">IFERROR(INDEX(통합!$B$1:$B$400,SMALL(IF(통합!$J$1:$J$400="개인차3",ROW(통합!$J$1:$J$400)),6)),"")</f>
        <v/>
      </c>
      <c r="J29" s="44">
        <f t="array" ref="J29:J29">IFERROR(INDEX(통합!$C$1:$C$400,SMALL(IF(통합!$J$1:$J$400="개인차3",ROW(통합!$J$1:$J$400)),6)),"")</f>
        <v/>
      </c>
      <c r="K29" s="44" t="n"/>
    </row>
    <row r="30" ht="19.5" customHeight="1" s="33">
      <c r="A30" s="41" t="n">
        <v>7</v>
      </c>
      <c r="B30" s="42">
        <f t="array" ref="B30:B30">IFERROR(INDEX(통합!$A$1:$A$400,SMALL(IF(통합!$I$1:$I$400="개인차3",ROW(통합!$I$1:$I$400)),7)),"")</f>
        <v/>
      </c>
      <c r="C30" s="42">
        <f t="array" ref="C30:C30">IFERROR(INDEX(통합!$B$1:$B$400,SMALL(IF(통합!$I$1:$I$400="개인차3",ROW(통합!$I$1:$I$400)),7)),"")</f>
        <v/>
      </c>
      <c r="D30" s="42">
        <f t="array" ref="D30:D30">IFERROR(INDEX(통합!$C$1:$C$400,SMALL(IF(통합!$I$1:$I$400="개인차3",ROW(통합!$I$1:$I$400)),7)),"")</f>
        <v/>
      </c>
      <c r="E30" s="42" t="n"/>
      <c r="H30" s="42">
        <f t="array" ref="H30:H30">IFERROR(INDEX(통합!$A$1:$A$400,SMALL(IF(통합!$J$1:$J$400="개인차3",ROW(통합!$J$1:$J$400)),7)),"")</f>
        <v/>
      </c>
      <c r="I30" s="42">
        <f t="array" ref="I30:I30">IFERROR(INDEX(통합!$B$1:$B$400,SMALL(IF(통합!$J$1:$J$400="개인차3",ROW(통합!$J$1:$J$400)),7)),"")</f>
        <v/>
      </c>
      <c r="J30" s="42">
        <f t="array" ref="J30:J30">IFERROR(INDEX(통합!$C$1:$C$400,SMALL(IF(통합!$J$1:$J$400="개인차3",ROW(통합!$J$1:$J$400)),7)),"")</f>
        <v/>
      </c>
      <c r="K30" s="42" t="n"/>
    </row>
    <row r="31" ht="23.85" customHeight="1" s="33">
      <c r="A31" s="47" t="inlineStr">
        <is>
          <t>개인차4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</row>
    <row r="32" ht="15" customHeight="1" s="33">
      <c r="A32" s="64" t="inlineStr">
        <is>
          <t>상행</t>
        </is>
      </c>
      <c r="B32" s="35" t="n"/>
      <c r="C32" s="35" t="n"/>
      <c r="D32" s="35" t="n"/>
      <c r="E32" s="35" t="n"/>
      <c r="G32" s="64" t="inlineStr">
        <is>
          <t>하행</t>
        </is>
      </c>
      <c r="H32" s="35" t="n"/>
      <c r="I32" s="35" t="n"/>
      <c r="J32" s="35" t="n"/>
      <c r="K32" s="35" t="n"/>
    </row>
    <row r="33" ht="15" customHeight="1" s="33">
      <c r="A33" s="48" t="inlineStr">
        <is>
          <t>no</t>
        </is>
      </c>
      <c r="B33" s="49" t="inlineStr">
        <is>
          <t>구역</t>
        </is>
      </c>
      <c r="C33" s="49" t="inlineStr">
        <is>
          <t>회</t>
        </is>
      </c>
      <c r="D33" s="49" t="inlineStr">
        <is>
          <t>성 명</t>
        </is>
      </c>
      <c r="E33" s="49" t="inlineStr">
        <is>
          <t>비고</t>
        </is>
      </c>
      <c r="G33" s="48" t="inlineStr">
        <is>
          <t>no</t>
        </is>
      </c>
      <c r="H33" s="49" t="inlineStr">
        <is>
          <t>구역</t>
        </is>
      </c>
      <c r="I33" s="49" t="inlineStr">
        <is>
          <t>회</t>
        </is>
      </c>
      <c r="J33" s="49" t="inlineStr">
        <is>
          <t>성 명</t>
        </is>
      </c>
      <c r="K33" s="49" t="inlineStr">
        <is>
          <t>비고</t>
        </is>
      </c>
    </row>
    <row r="34" ht="19.5" customHeight="1" s="33">
      <c r="A34" s="41" t="n">
        <v>1</v>
      </c>
      <c r="B34" s="42">
        <f t="array" ref="B34:B34">IFERROR(INDEX(통합!$A$1:$A$400,SMALL(IF(통합!$I$1:$I$400="개인차4",ROW(통합!$I$1:$I$400)),1)),"")</f>
        <v/>
      </c>
      <c r="C34" s="42">
        <f t="array" ref="C34:C34">IFERROR(INDEX(통합!$B$1:$B$400,SMALL(IF(통합!$I$1:$I$400="개인차4",ROW(통합!$I$1:$I$400)),1)),"")</f>
        <v/>
      </c>
      <c r="D34" s="42">
        <f t="array" ref="D34:D34">IFERROR(INDEX(통합!$C$1:$C$400,SMALL(IF(통합!$I$1:$I$400="개인차4",ROW(통합!$I$1:$I$400)),1)),"")</f>
        <v/>
      </c>
      <c r="E34" s="42" t="n"/>
      <c r="H34" s="42">
        <f t="array" ref="H34:H34">IFERROR(INDEX(통합!$A$1:$A$400,SMALL(IF(통합!$J$1:$J$400="개인차4",ROW(통합!$J$1:$J$400)),1)),"")</f>
        <v/>
      </c>
      <c r="I34" s="42">
        <f t="array" ref="I34:I34">IFERROR(INDEX(통합!$B$1:$B$400,SMALL(IF(통합!$J$1:$J$400="개인차4",ROW(통합!$J$1:$J$400)),1)),"")</f>
        <v/>
      </c>
      <c r="J34" s="42">
        <f t="array" ref="J34:J34">IFERROR(INDEX(통합!$C$1:$C$400,SMALL(IF(통합!$J$1:$J$400="개인차4",ROW(통합!$J$1:$J$400)),1)),"")</f>
        <v/>
      </c>
      <c r="K34" s="42" t="n"/>
    </row>
    <row r="35" ht="19.5" customHeight="1" s="33">
      <c r="A35" s="43" t="n">
        <v>2</v>
      </c>
      <c r="B35" s="44">
        <f t="array" ref="B35:B35">IFERROR(INDEX(통합!$A$1:$A$400,SMALL(IF(통합!$I$1:$I$400="개인차4",ROW(통합!$I$1:$I$400)),2)),"")</f>
        <v/>
      </c>
      <c r="C35" s="44">
        <f t="array" ref="C35:C35">IFERROR(INDEX(통합!$B$1:$B$400,SMALL(IF(통합!$I$1:$I$400="개인차4",ROW(통합!$I$1:$I$400)),2)),"")</f>
        <v/>
      </c>
      <c r="D35" s="44">
        <f t="array" ref="D35:D35">IFERROR(INDEX(통합!$C$1:$C$400,SMALL(IF(통합!$I$1:$I$400="개인차4",ROW(통합!$I$1:$I$400)),2)),"")</f>
        <v/>
      </c>
      <c r="E35" s="44" t="n"/>
      <c r="H35" s="44">
        <f t="array" ref="H35:H35">IFERROR(INDEX(통합!$A$1:$A$400,SMALL(IF(통합!$J$1:$J$400="개인차4",ROW(통합!$J$1:$J$400)),2)),"")</f>
        <v/>
      </c>
      <c r="I35" s="44">
        <f t="array" ref="I35:I35">IFERROR(INDEX(통합!$B$1:$B$400,SMALL(IF(통합!$J$1:$J$400="개인차4",ROW(통합!$J$1:$J$400)),2)),"")</f>
        <v/>
      </c>
      <c r="J35" s="44">
        <f t="array" ref="J35:J35">IFERROR(INDEX(통합!$C$1:$C$400,SMALL(IF(통합!$J$1:$J$400="개인차4",ROW(통합!$J$1:$J$400)),2)),"")</f>
        <v/>
      </c>
      <c r="K35" s="44" t="n"/>
    </row>
    <row r="36" ht="19.5" customHeight="1" s="33">
      <c r="A36" s="41" t="n">
        <v>3</v>
      </c>
      <c r="B36" s="42">
        <f t="array" ref="B36:B36">IFERROR(INDEX(통합!$A$1:$A$400,SMALL(IF(통합!$I$1:$I$400="개인차4",ROW(통합!$I$1:$I$400)),3)),"")</f>
        <v/>
      </c>
      <c r="C36" s="42">
        <f t="array" ref="C36:C36">IFERROR(INDEX(통합!$B$1:$B$400,SMALL(IF(통합!$I$1:$I$400="개인차4",ROW(통합!$I$1:$I$400)),3)),"")</f>
        <v/>
      </c>
      <c r="D36" s="42">
        <f t="array" ref="D36:D36">IFERROR(INDEX(통합!$C$1:$C$400,SMALL(IF(통합!$I$1:$I$400="개인차4",ROW(통합!$I$1:$I$400)),3)),"")</f>
        <v/>
      </c>
      <c r="E36" s="42" t="n"/>
      <c r="H36" s="42">
        <f t="array" ref="H36:H36">IFERROR(INDEX(통합!$A$1:$A$400,SMALL(IF(통합!$J$1:$J$400="개인차4",ROW(통합!$J$1:$J$400)),3)),"")</f>
        <v/>
      </c>
      <c r="I36" s="42">
        <f t="array" ref="I36:I36">IFERROR(INDEX(통합!$B$1:$B$400,SMALL(IF(통합!$J$1:$J$400="개인차4",ROW(통합!$J$1:$J$400)),3)),"")</f>
        <v/>
      </c>
      <c r="J36" s="42">
        <f t="array" ref="J36:J36">IFERROR(INDEX(통합!$C$1:$C$400,SMALL(IF(통합!$J$1:$J$400="개인차4",ROW(통합!$J$1:$J$400)),3)),"")</f>
        <v/>
      </c>
      <c r="K36" s="42" t="n"/>
    </row>
    <row r="37" ht="19.5" customHeight="1" s="33">
      <c r="A37" s="43" t="n">
        <v>4</v>
      </c>
      <c r="B37" s="44">
        <f t="array" ref="B37:B37">IFERROR(INDEX(통합!$A$1:$A$400,SMALL(IF(통합!$I$1:$I$400="개인차4",ROW(통합!$I$1:$I$400)),4)),"")</f>
        <v/>
      </c>
      <c r="C37" s="44">
        <f t="array" ref="C37:C37">IFERROR(INDEX(통합!$B$1:$B$400,SMALL(IF(통합!$I$1:$I$400="개인차4",ROW(통합!$I$1:$I$400)),4)),"")</f>
        <v/>
      </c>
      <c r="D37" s="44">
        <f t="array" ref="D37:D37">IFERROR(INDEX(통합!$C$1:$C$400,SMALL(IF(통합!$I$1:$I$400="개인차4",ROW(통합!$I$1:$I$400)),4)),"")</f>
        <v/>
      </c>
      <c r="E37" s="44" t="n"/>
      <c r="H37" s="44">
        <f t="array" ref="H37:H37">IFERROR(INDEX(통합!$A$1:$A$400,SMALL(IF(통합!$J$1:$J$400="개인차4",ROW(통합!$J$1:$J$400)),4)),"")</f>
        <v/>
      </c>
      <c r="I37" s="44">
        <f t="array" ref="I37:I37">IFERROR(INDEX(통합!$B$1:$B$400,SMALL(IF(통합!$J$1:$J$400="개인차4",ROW(통합!$J$1:$J$400)),4)),"")</f>
        <v/>
      </c>
      <c r="J37" s="44">
        <f t="array" ref="J37:J37">IFERROR(INDEX(통합!$C$1:$C$400,SMALL(IF(통합!$J$1:$J$400="개인차4",ROW(통합!$J$1:$J$400)),4)),"")</f>
        <v/>
      </c>
      <c r="K37" s="44" t="n"/>
    </row>
    <row r="38" ht="19.5" customHeight="1" s="33">
      <c r="A38" s="41" t="n">
        <v>5</v>
      </c>
      <c r="B38" s="42">
        <f t="array" ref="B38:B38">IFERROR(INDEX(통합!$A$1:$A$400,SMALL(IF(통합!$I$1:$I$400="개인차4",ROW(통합!$I$1:$I$400)),5)),"")</f>
        <v/>
      </c>
      <c r="C38" s="42">
        <f t="array" ref="C38:C38">IFERROR(INDEX(통합!$B$1:$B$400,SMALL(IF(통합!$I$1:$I$400="개인차4",ROW(통합!$I$1:$I$400)),5)),"")</f>
        <v/>
      </c>
      <c r="D38" s="42">
        <f t="array" ref="D38:D38">IFERROR(INDEX(통합!$C$1:$C$400,SMALL(IF(통합!$I$1:$I$400="개인차4",ROW(통합!$I$1:$I$400)),5)),"")</f>
        <v/>
      </c>
      <c r="E38" s="42" t="n"/>
      <c r="H38" s="42">
        <f t="array" ref="H38:H38">IFERROR(INDEX(통합!$A$1:$A$400,SMALL(IF(통합!$J$1:$J$400="개인차4",ROW(통합!$J$1:$J$400)),5)),"")</f>
        <v/>
      </c>
      <c r="I38" s="42">
        <f t="array" ref="I38:I38">IFERROR(INDEX(통합!$B$1:$B$400,SMALL(IF(통합!$J$1:$J$400="개인차4",ROW(통합!$J$1:$J$400)),5)),"")</f>
        <v/>
      </c>
      <c r="J38" s="42">
        <f t="array" ref="J38:J38">IFERROR(INDEX(통합!$C$1:$C$400,SMALL(IF(통합!$J$1:$J$400="개인차4",ROW(통합!$J$1:$J$400)),5)),"")</f>
        <v/>
      </c>
      <c r="K38" s="42" t="n"/>
    </row>
    <row r="39" ht="19.5" customHeight="1" s="33">
      <c r="A39" s="43" t="n">
        <v>6</v>
      </c>
      <c r="B39" s="44">
        <f t="array" ref="B39:B39">IFERROR(INDEX(통합!$A$1:$A$400,SMALL(IF(통합!$I$1:$I$400="개인차4",ROW(통합!$I$1:$I$400)),6)),"")</f>
        <v/>
      </c>
      <c r="C39" s="44">
        <f t="array" ref="C39:C39">IFERROR(INDEX(통합!$B$1:$B$400,SMALL(IF(통합!$I$1:$I$400="개인차4",ROW(통합!$I$1:$I$400)),6)),"")</f>
        <v/>
      </c>
      <c r="D39" s="44">
        <f t="array" ref="D39:D39">IFERROR(INDEX(통합!$C$1:$C$400,SMALL(IF(통합!$I$1:$I$400="개인차4",ROW(통합!$I$1:$I$400)),6)),"")</f>
        <v/>
      </c>
      <c r="E39" s="44" t="n"/>
      <c r="H39" s="44">
        <f t="array" ref="H39:H39">IFERROR(INDEX(통합!$A$1:$A$400,SMALL(IF(통합!$J$1:$J$400="개인차4",ROW(통합!$J$1:$J$400)),6)),"")</f>
        <v/>
      </c>
      <c r="I39" s="44">
        <f t="array" ref="I39:I39">IFERROR(INDEX(통합!$B$1:$B$400,SMALL(IF(통합!$J$1:$J$400="개인차4",ROW(통합!$J$1:$J$400)),6)),"")</f>
        <v/>
      </c>
      <c r="J39" s="44">
        <f t="array" ref="J39:J39">IFERROR(INDEX(통합!$C$1:$C$400,SMALL(IF(통합!$J$1:$J$400="개인차4",ROW(통합!$J$1:$J$400)),6)),"")</f>
        <v/>
      </c>
      <c r="K39" s="44" t="n"/>
    </row>
    <row r="40" ht="19.5" customHeight="1" s="33">
      <c r="A40" s="41" t="n">
        <v>7</v>
      </c>
      <c r="B40" s="42">
        <f t="array" ref="B40:B40">IFERROR(INDEX(통합!$A$1:$A$400,SMALL(IF(통합!$I$1:$I$400="개인차4",ROW(통합!$I$1:$I$400)),7)),"")</f>
        <v/>
      </c>
      <c r="C40" s="42">
        <f t="array" ref="C40:C40">IFERROR(INDEX(통합!$B$1:$B$400,SMALL(IF(통합!$I$1:$I$400="개인차4",ROW(통합!$I$1:$I$400)),7)),"")</f>
        <v/>
      </c>
      <c r="D40" s="42">
        <f t="array" ref="D40:D40">IFERROR(INDEX(통합!$C$1:$C$400,SMALL(IF(통합!$I$1:$I$400="개인차4",ROW(통합!$I$1:$I$400)),7)),"")</f>
        <v/>
      </c>
      <c r="E40" s="42" t="n"/>
      <c r="H40" s="42">
        <f t="array" ref="H40:H40">IFERROR(INDEX(통합!$A$1:$A$400,SMALL(IF(통합!$J$1:$J$400="개인차4",ROW(통합!$J$1:$J$400)),7)),"")</f>
        <v/>
      </c>
      <c r="I40" s="42">
        <f t="array" ref="I40:I40">IFERROR(INDEX(통합!$B$1:$B$400,SMALL(IF(통합!$J$1:$J$400="개인차4",ROW(통합!$J$1:$J$400)),7)),"")</f>
        <v/>
      </c>
      <c r="J40" s="42">
        <f t="array" ref="J40:J40">IFERROR(INDEX(통합!$C$1:$C$400,SMALL(IF(통합!$J$1:$J$400="개인차4",ROW(통합!$J$1:$J$400)),7)),"")</f>
        <v/>
      </c>
      <c r="K40" s="42" t="n"/>
    </row>
    <row r="41" ht="23.85" customHeight="1" s="33">
      <c r="A41" s="47" t="inlineStr">
        <is>
          <t>개인차5</t>
        </is>
      </c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</row>
    <row r="42" ht="15" customHeight="1" s="33">
      <c r="A42" s="64" t="inlineStr">
        <is>
          <t>상행</t>
        </is>
      </c>
      <c r="B42" s="35" t="n"/>
      <c r="C42" s="35" t="n"/>
      <c r="D42" s="35" t="n"/>
      <c r="E42" s="35" t="n"/>
      <c r="G42" s="64" t="inlineStr">
        <is>
          <t>하행</t>
        </is>
      </c>
      <c r="H42" s="35" t="n"/>
      <c r="I42" s="35" t="n"/>
      <c r="J42" s="35" t="n"/>
      <c r="K42" s="35" t="n"/>
    </row>
    <row r="43" ht="15" customHeight="1" s="33">
      <c r="A43" s="48" t="inlineStr">
        <is>
          <t>no</t>
        </is>
      </c>
      <c r="B43" s="49" t="inlineStr">
        <is>
          <t>구역</t>
        </is>
      </c>
      <c r="C43" s="49" t="inlineStr">
        <is>
          <t>회</t>
        </is>
      </c>
      <c r="D43" s="49" t="inlineStr">
        <is>
          <t>성 명</t>
        </is>
      </c>
      <c r="E43" s="49" t="inlineStr">
        <is>
          <t>비고</t>
        </is>
      </c>
      <c r="G43" s="48" t="inlineStr">
        <is>
          <t>no</t>
        </is>
      </c>
      <c r="H43" s="49" t="inlineStr">
        <is>
          <t>구역</t>
        </is>
      </c>
      <c r="I43" s="49" t="inlineStr">
        <is>
          <t>회</t>
        </is>
      </c>
      <c r="J43" s="49" t="inlineStr">
        <is>
          <t>성 명</t>
        </is>
      </c>
      <c r="K43" s="49" t="inlineStr">
        <is>
          <t>비고</t>
        </is>
      </c>
    </row>
    <row r="44" ht="19.5" customHeight="1" s="33">
      <c r="A44" s="41" t="n">
        <v>1</v>
      </c>
      <c r="B44" s="42">
        <f t="array" ref="B44:B44">IFERROR(INDEX(통합!$A$1:$A$400,SMALL(IF(통합!$I$1:$I$400="개인차5",ROW(통합!$I$1:$I$400)),1)),"")</f>
        <v/>
      </c>
      <c r="C44" s="42">
        <f t="array" ref="C44:C44">IFERROR(INDEX(통합!$B$1:$B$400,SMALL(IF(통합!$I$1:$I$400="개인차5",ROW(통합!$I$1:$I$400)),1)),"")</f>
        <v/>
      </c>
      <c r="D44" s="42">
        <f t="array" ref="D44:D44">IFERROR(INDEX(통합!$C$1:$C$400,SMALL(IF(통합!$I$1:$I$400="개인차5",ROW(통합!$I$1:$I$400)),1)),"")</f>
        <v/>
      </c>
      <c r="E44" s="42" t="n"/>
      <c r="H44" s="42">
        <f t="array" ref="H44:H44">IFERROR(INDEX(통합!$A$1:$A$400,SMALL(IF(통합!$J$1:$J$400="개인차5",ROW(통합!$J$1:$J$400)),1)),"")</f>
        <v/>
      </c>
      <c r="I44" s="42">
        <f t="array" ref="I44:I44">IFERROR(INDEX(통합!$B$1:$B$400,SMALL(IF(통합!$J$1:$J$400="개인차5",ROW(통합!$J$1:$J$400)),1)),"")</f>
        <v/>
      </c>
      <c r="J44" s="42">
        <f t="array" ref="J44:J44">IFERROR(INDEX(통합!$C$1:$C$400,SMALL(IF(통합!$J$1:$J$400="개인차5",ROW(통합!$J$1:$J$400)),1)),"")</f>
        <v/>
      </c>
      <c r="K44" s="42" t="n"/>
    </row>
    <row r="45" ht="19.5" customHeight="1" s="33">
      <c r="A45" s="43" t="n">
        <v>2</v>
      </c>
      <c r="B45" s="44">
        <f t="array" ref="B45:B45">IFERROR(INDEX(통합!$A$1:$A$400,SMALL(IF(통합!$I$1:$I$400="개인차5",ROW(통합!$I$1:$I$400)),2)),"")</f>
        <v/>
      </c>
      <c r="C45" s="44">
        <f t="array" ref="C45:C45">IFERROR(INDEX(통합!$B$1:$B$400,SMALL(IF(통합!$I$1:$I$400="개인차5",ROW(통합!$I$1:$I$400)),2)),"")</f>
        <v/>
      </c>
      <c r="D45" s="44">
        <f t="array" ref="D45:D45">IFERROR(INDEX(통합!$C$1:$C$400,SMALL(IF(통합!$I$1:$I$400="개인차5",ROW(통합!$I$1:$I$400)),2)),"")</f>
        <v/>
      </c>
      <c r="E45" s="44" t="n"/>
      <c r="H45" s="44">
        <f t="array" ref="H45:H45">IFERROR(INDEX(통합!$A$1:$A$400,SMALL(IF(통합!$J$1:$J$400="개인차5",ROW(통합!$J$1:$J$400)),2)),"")</f>
        <v/>
      </c>
      <c r="I45" s="44">
        <f t="array" ref="I45:I45">IFERROR(INDEX(통합!$B$1:$B$400,SMALL(IF(통합!$J$1:$J$400="개인차5",ROW(통합!$J$1:$J$400)),2)),"")</f>
        <v/>
      </c>
      <c r="J45" s="44">
        <f t="array" ref="J45:J45">IFERROR(INDEX(통합!$C$1:$C$400,SMALL(IF(통합!$J$1:$J$400="개인차5",ROW(통합!$J$1:$J$400)),2)),"")</f>
        <v/>
      </c>
      <c r="K45" s="44" t="n"/>
    </row>
    <row r="46" ht="19.5" customHeight="1" s="33">
      <c r="A46" s="41" t="n">
        <v>3</v>
      </c>
      <c r="B46" s="42">
        <f t="array" ref="B46:B46">IFERROR(INDEX(통합!$A$1:$A$400,SMALL(IF(통합!$I$1:$I$400="개인차5",ROW(통합!$I$1:$I$400)),3)),"")</f>
        <v/>
      </c>
      <c r="C46" s="42">
        <f t="array" ref="C46:C46">IFERROR(INDEX(통합!$B$1:$B$400,SMALL(IF(통합!$I$1:$I$400="개인차5",ROW(통합!$I$1:$I$400)),3)),"")</f>
        <v/>
      </c>
      <c r="D46" s="42">
        <f t="array" ref="D46:D46">IFERROR(INDEX(통합!$C$1:$C$400,SMALL(IF(통합!$I$1:$I$400="개인차5",ROW(통합!$I$1:$I$400)),3)),"")</f>
        <v/>
      </c>
      <c r="E46" s="42" t="n"/>
      <c r="H46" s="42">
        <f t="array" ref="H46:H46">IFERROR(INDEX(통합!$A$1:$A$400,SMALL(IF(통합!$J$1:$J$400="개인차5",ROW(통합!$J$1:$J$400)),3)),"")</f>
        <v/>
      </c>
      <c r="I46" s="42">
        <f t="array" ref="I46:I46">IFERROR(INDEX(통합!$B$1:$B$400,SMALL(IF(통합!$J$1:$J$400="개인차5",ROW(통합!$J$1:$J$400)),3)),"")</f>
        <v/>
      </c>
      <c r="J46" s="42">
        <f t="array" ref="J46:J46">IFERROR(INDEX(통합!$C$1:$C$400,SMALL(IF(통합!$J$1:$J$400="개인차5",ROW(통합!$J$1:$J$400)),3)),"")</f>
        <v/>
      </c>
      <c r="K46" s="42" t="n"/>
    </row>
    <row r="47" ht="19.5" customHeight="1" s="33">
      <c r="A47" s="43" t="n">
        <v>4</v>
      </c>
      <c r="B47" s="44">
        <f t="array" ref="B47:B47">IFERROR(INDEX(통합!$A$1:$A$400,SMALL(IF(통합!$I$1:$I$400="개인차5",ROW(통합!$I$1:$I$400)),4)),"")</f>
        <v/>
      </c>
      <c r="C47" s="44">
        <f t="array" ref="C47:C47">IFERROR(INDEX(통합!$B$1:$B$400,SMALL(IF(통합!$I$1:$I$400="개인차5",ROW(통합!$I$1:$I$400)),4)),"")</f>
        <v/>
      </c>
      <c r="D47" s="44">
        <f t="array" ref="D47:D47">IFERROR(INDEX(통합!$C$1:$C$400,SMALL(IF(통합!$I$1:$I$400="개인차5",ROW(통합!$I$1:$I$400)),4)),"")</f>
        <v/>
      </c>
      <c r="E47" s="44" t="n"/>
      <c r="H47" s="44">
        <f t="array" ref="H47:H47">IFERROR(INDEX(통합!$A$1:$A$400,SMALL(IF(통합!$J$1:$J$400="개인차5",ROW(통합!$J$1:$J$400)),4)),"")</f>
        <v/>
      </c>
      <c r="I47" s="44">
        <f t="array" ref="I47:I47">IFERROR(INDEX(통합!$B$1:$B$400,SMALL(IF(통합!$J$1:$J$400="개인차5",ROW(통합!$J$1:$J$400)),4)),"")</f>
        <v/>
      </c>
      <c r="J47" s="44">
        <f t="array" ref="J47:J47">IFERROR(INDEX(통합!$C$1:$C$400,SMALL(IF(통합!$J$1:$J$400="개인차5",ROW(통합!$J$1:$J$400)),4)),"")</f>
        <v/>
      </c>
      <c r="K47" s="44" t="n"/>
    </row>
    <row r="48" ht="19.5" customHeight="1" s="33">
      <c r="A48" s="41" t="n">
        <v>5</v>
      </c>
      <c r="B48" s="42">
        <f t="array" ref="B48:B48">IFERROR(INDEX(통합!$A$1:$A$400,SMALL(IF(통합!$I$1:$I$400="개인차5",ROW(통합!$I$1:$I$400)),5)),"")</f>
        <v/>
      </c>
      <c r="C48" s="42">
        <f t="array" ref="C48:C48">IFERROR(INDEX(통합!$B$1:$B$400,SMALL(IF(통합!$I$1:$I$400="개인차5",ROW(통합!$I$1:$I$400)),5)),"")</f>
        <v/>
      </c>
      <c r="D48" s="42">
        <f t="array" ref="D48:D48">IFERROR(INDEX(통합!$C$1:$C$400,SMALL(IF(통합!$I$1:$I$400="개인차5",ROW(통합!$I$1:$I$400)),5)),"")</f>
        <v/>
      </c>
      <c r="E48" s="42" t="n"/>
      <c r="H48" s="42">
        <f t="array" ref="H48:H48">IFERROR(INDEX(통합!$A$1:$A$400,SMALL(IF(통합!$J$1:$J$400="개인차5",ROW(통합!$J$1:$J$400)),5)),"")</f>
        <v/>
      </c>
      <c r="I48" s="42">
        <f t="array" ref="I48:I48">IFERROR(INDEX(통합!$B$1:$B$400,SMALL(IF(통합!$J$1:$J$400="개인차5",ROW(통합!$J$1:$J$400)),5)),"")</f>
        <v/>
      </c>
      <c r="J48" s="42">
        <f t="array" ref="J48:J48">IFERROR(INDEX(통합!$C$1:$C$400,SMALL(IF(통합!$J$1:$J$400="개인차5",ROW(통합!$J$1:$J$400)),5)),"")</f>
        <v/>
      </c>
      <c r="K48" s="42" t="n"/>
    </row>
    <row r="49" ht="19.5" customHeight="1" s="33">
      <c r="A49" s="43" t="n">
        <v>6</v>
      </c>
      <c r="B49" s="44">
        <f t="array" ref="B49:B49">IFERROR(INDEX(통합!$A$1:$A$400,SMALL(IF(통합!$I$1:$I$400="개인차5",ROW(통합!$I$1:$I$400)),6)),"")</f>
        <v/>
      </c>
      <c r="C49" s="44">
        <f t="array" ref="C49:C49">IFERROR(INDEX(통합!$B$1:$B$400,SMALL(IF(통합!$I$1:$I$400="개인차5",ROW(통합!$I$1:$I$400)),6)),"")</f>
        <v/>
      </c>
      <c r="D49" s="44">
        <f t="array" ref="D49:D49">IFERROR(INDEX(통합!$C$1:$C$400,SMALL(IF(통합!$I$1:$I$400="개인차5",ROW(통합!$I$1:$I$400)),6)),"")</f>
        <v/>
      </c>
      <c r="E49" s="44" t="n"/>
      <c r="H49" s="44">
        <f t="array" ref="H49:H49">IFERROR(INDEX(통합!$A$1:$A$400,SMALL(IF(통합!$J$1:$J$400="개인차5",ROW(통합!$J$1:$J$400)),6)),"")</f>
        <v/>
      </c>
      <c r="I49" s="44">
        <f t="array" ref="I49:I49">IFERROR(INDEX(통합!$B$1:$B$400,SMALL(IF(통합!$J$1:$J$400="개인차5",ROW(통합!$J$1:$J$400)),6)),"")</f>
        <v/>
      </c>
      <c r="J49" s="44">
        <f t="array" ref="J49:J49">IFERROR(INDEX(통합!$C$1:$C$400,SMALL(IF(통합!$J$1:$J$400="개인차5",ROW(통합!$J$1:$J$400)),6)),"")</f>
        <v/>
      </c>
      <c r="K49" s="44" t="n"/>
    </row>
    <row r="50" ht="19.5" customHeight="1" s="33">
      <c r="A50" s="41" t="n">
        <v>7</v>
      </c>
      <c r="B50" s="42">
        <f t="array" ref="B50:B50">IFERROR(INDEX(통합!$A$1:$A$400,SMALL(IF(통합!$I$1:$I$400="개인차5",ROW(통합!$I$1:$I$400)),7)),"")</f>
        <v/>
      </c>
      <c r="C50" s="42">
        <f t="array" ref="C50:C50">IFERROR(INDEX(통합!$B$1:$B$400,SMALL(IF(통합!$I$1:$I$400="개인차5",ROW(통합!$I$1:$I$400)),7)),"")</f>
        <v/>
      </c>
      <c r="D50" s="42">
        <f t="array" ref="D50:D50">IFERROR(INDEX(통합!$C$1:$C$400,SMALL(IF(통합!$I$1:$I$400="개인차5",ROW(통합!$I$1:$I$400)),7)),"")</f>
        <v/>
      </c>
      <c r="E50" s="42" t="n"/>
      <c r="H50" s="42">
        <f t="array" ref="H50:H50">IFERROR(INDEX(통합!$A$1:$A$400,SMALL(IF(통합!$J$1:$J$400="개인차5",ROW(통합!$J$1:$J$400)),7)),"")</f>
        <v/>
      </c>
      <c r="I50" s="42">
        <f t="array" ref="I50:I50">IFERROR(INDEX(통합!$B$1:$B$400,SMALL(IF(통합!$J$1:$J$400="개인차5",ROW(통합!$J$1:$J$400)),7)),"")</f>
        <v/>
      </c>
      <c r="J50" s="42">
        <f t="array" ref="J50:J50">IFERROR(INDEX(통합!$C$1:$C$400,SMALL(IF(통합!$J$1:$J$400="개인차5",ROW(통합!$J$1:$J$400)),7)),"")</f>
        <v/>
      </c>
      <c r="K50" s="42" t="n"/>
    </row>
    <row r="51" ht="23.85" customHeight="1" s="33">
      <c r="A51" s="47" t="inlineStr">
        <is>
          <t>개인차6</t>
        </is>
      </c>
      <c r="B51" s="35" t="n"/>
      <c r="C51" s="35" t="n"/>
      <c r="D51" s="35" t="n"/>
      <c r="E51" s="35" t="n"/>
      <c r="F51" s="35" t="n"/>
      <c r="G51" s="35" t="n"/>
      <c r="H51" s="35" t="n"/>
      <c r="I51" s="35" t="n"/>
      <c r="J51" s="35" t="n"/>
      <c r="K51" s="35" t="n"/>
    </row>
    <row r="52" ht="15" customHeight="1" s="33">
      <c r="A52" s="64" t="inlineStr">
        <is>
          <t>상행</t>
        </is>
      </c>
      <c r="B52" s="35" t="n"/>
      <c r="C52" s="35" t="n"/>
      <c r="D52" s="35" t="n"/>
      <c r="E52" s="35" t="n"/>
      <c r="G52" s="64" t="inlineStr">
        <is>
          <t>하행</t>
        </is>
      </c>
      <c r="H52" s="35" t="n"/>
      <c r="I52" s="35" t="n"/>
      <c r="J52" s="35" t="n"/>
      <c r="K52" s="35" t="n"/>
    </row>
    <row r="53" ht="15" customHeight="1" s="33">
      <c r="A53" s="48" t="inlineStr">
        <is>
          <t>no</t>
        </is>
      </c>
      <c r="B53" s="49" t="inlineStr">
        <is>
          <t>구역</t>
        </is>
      </c>
      <c r="C53" s="49" t="inlineStr">
        <is>
          <t>회</t>
        </is>
      </c>
      <c r="D53" s="49" t="inlineStr">
        <is>
          <t>성 명</t>
        </is>
      </c>
      <c r="E53" s="49" t="inlineStr">
        <is>
          <t>비고</t>
        </is>
      </c>
      <c r="G53" s="48" t="inlineStr">
        <is>
          <t>no</t>
        </is>
      </c>
      <c r="H53" s="49" t="inlineStr">
        <is>
          <t>구역</t>
        </is>
      </c>
      <c r="I53" s="49" t="inlineStr">
        <is>
          <t>회</t>
        </is>
      </c>
      <c r="J53" s="49" t="inlineStr">
        <is>
          <t>성 명</t>
        </is>
      </c>
      <c r="K53" s="49" t="inlineStr">
        <is>
          <t>비고</t>
        </is>
      </c>
    </row>
    <row r="54" ht="19.5" customHeight="1" s="33">
      <c r="A54" s="41" t="n">
        <v>1</v>
      </c>
      <c r="B54" s="42">
        <f t="array" ref="B54:B54">IFERROR(INDEX(통합!$A$1:$A$400,SMALL(IF(통합!$I$1:$I$400="개인차6",ROW(통합!$I$1:$I$400)),1)),"")</f>
        <v/>
      </c>
      <c r="C54" s="42">
        <f t="array" ref="C54:C54">IFERROR(INDEX(통합!$B$1:$B$400,SMALL(IF(통합!$I$1:$I$400="개인차6",ROW(통합!$I$1:$I$400)),1)),"")</f>
        <v/>
      </c>
      <c r="D54" s="42">
        <f t="array" ref="D54:D54">IFERROR(INDEX(통합!$C$1:$C$400,SMALL(IF(통합!$I$1:$I$400="개인차6",ROW(통합!$I$1:$I$400)),1)),"")</f>
        <v/>
      </c>
      <c r="E54" s="42" t="n"/>
      <c r="H54" s="42">
        <f t="array" ref="H54:H54">IFERROR(INDEX(통합!$A$1:$A$400,SMALL(IF(통합!$J$1:$J$400="개인차6",ROW(통합!$J$1:$J$400)),1)),"")</f>
        <v/>
      </c>
      <c r="I54" s="42">
        <f t="array" ref="I54:I54">IFERROR(INDEX(통합!$B$1:$B$400,SMALL(IF(통합!$J$1:$J$400="개인차6",ROW(통합!$J$1:$J$400)),1)),"")</f>
        <v/>
      </c>
      <c r="J54" s="42">
        <f t="array" ref="J54:J54">IFERROR(INDEX(통합!$C$1:$C$400,SMALL(IF(통합!$J$1:$J$400="개인차6",ROW(통합!$J$1:$J$400)),1)),"")</f>
        <v/>
      </c>
      <c r="K54" s="42" t="n"/>
    </row>
    <row r="55" ht="19.5" customHeight="1" s="33">
      <c r="A55" s="43" t="n">
        <v>2</v>
      </c>
      <c r="B55" s="44">
        <f t="array" ref="B55:B55">IFERROR(INDEX(통합!$A$1:$A$400,SMALL(IF(통합!$I$1:$I$400="개인차6",ROW(통합!$I$1:$I$400)),2)),"")</f>
        <v/>
      </c>
      <c r="C55" s="44">
        <f t="array" ref="C55:C55">IFERROR(INDEX(통합!$B$1:$B$400,SMALL(IF(통합!$I$1:$I$400="개인차6",ROW(통합!$I$1:$I$400)),2)),"")</f>
        <v/>
      </c>
      <c r="D55" s="44">
        <f t="array" ref="D55:D55">IFERROR(INDEX(통합!$C$1:$C$400,SMALL(IF(통합!$I$1:$I$400="개인차6",ROW(통합!$I$1:$I$400)),2)),"")</f>
        <v/>
      </c>
      <c r="E55" s="44" t="n"/>
      <c r="H55" s="44">
        <f t="array" ref="H55:H55">IFERROR(INDEX(통합!$A$1:$A$400,SMALL(IF(통합!$J$1:$J$400="개인차6",ROW(통합!$J$1:$J$400)),2)),"")</f>
        <v/>
      </c>
      <c r="I55" s="44">
        <f t="array" ref="I55:I55">IFERROR(INDEX(통합!$B$1:$B$400,SMALL(IF(통합!$J$1:$J$400="개인차6",ROW(통합!$J$1:$J$400)),2)),"")</f>
        <v/>
      </c>
      <c r="J55" s="44">
        <f t="array" ref="J55:J55">IFERROR(INDEX(통합!$C$1:$C$400,SMALL(IF(통합!$J$1:$J$400="개인차6",ROW(통합!$J$1:$J$400)),2)),"")</f>
        <v/>
      </c>
      <c r="K55" s="44" t="n"/>
    </row>
    <row r="56" ht="19.5" customHeight="1" s="33">
      <c r="A56" s="41" t="n">
        <v>3</v>
      </c>
      <c r="B56" s="42">
        <f t="array" ref="B56:B56">IFERROR(INDEX(통합!$A$1:$A$400,SMALL(IF(통합!$I$1:$I$400="개인차6",ROW(통합!$I$1:$I$400)),3)),"")</f>
        <v/>
      </c>
      <c r="C56" s="42">
        <f t="array" ref="C56:C56">IFERROR(INDEX(통합!$B$1:$B$400,SMALL(IF(통합!$I$1:$I$400="개인차6",ROW(통합!$I$1:$I$400)),3)),"")</f>
        <v/>
      </c>
      <c r="D56" s="42">
        <f t="array" ref="D56:D56">IFERROR(INDEX(통합!$C$1:$C$400,SMALL(IF(통합!$I$1:$I$400="개인차6",ROW(통합!$I$1:$I$400)),3)),"")</f>
        <v/>
      </c>
      <c r="E56" s="42" t="n"/>
      <c r="H56" s="42">
        <f t="array" ref="H56:H56">IFERROR(INDEX(통합!$A$1:$A$400,SMALL(IF(통합!$J$1:$J$400="개인차6",ROW(통합!$J$1:$J$400)),3)),"")</f>
        <v/>
      </c>
      <c r="I56" s="42">
        <f t="array" ref="I56:I56">IFERROR(INDEX(통합!$B$1:$B$400,SMALL(IF(통합!$J$1:$J$400="개인차6",ROW(통합!$J$1:$J$400)),3)),"")</f>
        <v/>
      </c>
      <c r="J56" s="42">
        <f t="array" ref="J56:J56">IFERROR(INDEX(통합!$C$1:$C$400,SMALL(IF(통합!$J$1:$J$400="개인차6",ROW(통합!$J$1:$J$400)),3)),"")</f>
        <v/>
      </c>
      <c r="K56" s="42" t="n"/>
    </row>
    <row r="57" ht="19.5" customHeight="1" s="33">
      <c r="A57" s="43" t="n">
        <v>4</v>
      </c>
      <c r="B57" s="44">
        <f t="array" ref="B57:B57">IFERROR(INDEX(통합!$A$1:$A$400,SMALL(IF(통합!$I$1:$I$400="개인차6",ROW(통합!$I$1:$I$400)),4)),"")</f>
        <v/>
      </c>
      <c r="C57" s="44">
        <f t="array" ref="C57:C57">IFERROR(INDEX(통합!$B$1:$B$400,SMALL(IF(통합!$I$1:$I$400="개인차6",ROW(통합!$I$1:$I$400)),4)),"")</f>
        <v/>
      </c>
      <c r="D57" s="44">
        <f t="array" ref="D57:D57">IFERROR(INDEX(통합!$C$1:$C$400,SMALL(IF(통합!$I$1:$I$400="개인차6",ROW(통합!$I$1:$I$400)),4)),"")</f>
        <v/>
      </c>
      <c r="E57" s="44" t="n"/>
      <c r="H57" s="44">
        <f t="array" ref="H57:H57">IFERROR(INDEX(통합!$A$1:$A$400,SMALL(IF(통합!$J$1:$J$400="개인차6",ROW(통합!$J$1:$J$400)),4)),"")</f>
        <v/>
      </c>
      <c r="I57" s="44">
        <f t="array" ref="I57:I57">IFERROR(INDEX(통합!$B$1:$B$400,SMALL(IF(통합!$J$1:$J$400="개인차6",ROW(통합!$J$1:$J$400)),4)),"")</f>
        <v/>
      </c>
      <c r="J57" s="44">
        <f t="array" ref="J57:J57">IFERROR(INDEX(통합!$C$1:$C$400,SMALL(IF(통합!$J$1:$J$400="개인차6",ROW(통합!$J$1:$J$400)),4)),"")</f>
        <v/>
      </c>
      <c r="K57" s="44" t="n"/>
    </row>
    <row r="58" ht="19.5" customHeight="1" s="33">
      <c r="A58" s="41" t="n">
        <v>5</v>
      </c>
      <c r="B58" s="42">
        <f t="array" ref="B58:B58">IFERROR(INDEX(통합!$A$1:$A$400,SMALL(IF(통합!$I$1:$I$400="개인차6",ROW(통합!$I$1:$I$400)),5)),"")</f>
        <v/>
      </c>
      <c r="C58" s="42">
        <f t="array" ref="C58:C58">IFERROR(INDEX(통합!$B$1:$B$400,SMALL(IF(통합!$I$1:$I$400="개인차6",ROW(통합!$I$1:$I$400)),5)),"")</f>
        <v/>
      </c>
      <c r="D58" s="42">
        <f t="array" ref="D58:D58">IFERROR(INDEX(통합!$C$1:$C$400,SMALL(IF(통합!$I$1:$I$400="개인차6",ROW(통합!$I$1:$I$400)),5)),"")</f>
        <v/>
      </c>
      <c r="E58" s="42" t="n"/>
      <c r="H58" s="42">
        <f t="array" ref="H58:H58">IFERROR(INDEX(통합!$A$1:$A$400,SMALL(IF(통합!$J$1:$J$400="개인차6",ROW(통합!$J$1:$J$400)),5)),"")</f>
        <v/>
      </c>
      <c r="I58" s="42">
        <f t="array" ref="I58:I58">IFERROR(INDEX(통합!$B$1:$B$400,SMALL(IF(통합!$J$1:$J$400="개인차6",ROW(통합!$J$1:$J$400)),5)),"")</f>
        <v/>
      </c>
      <c r="J58" s="42">
        <f t="array" ref="J58:J58">IFERROR(INDEX(통합!$C$1:$C$400,SMALL(IF(통합!$J$1:$J$400="개인차6",ROW(통합!$J$1:$J$400)),5)),"")</f>
        <v/>
      </c>
      <c r="K58" s="42" t="n"/>
    </row>
    <row r="59" ht="19.5" customHeight="1" s="33">
      <c r="A59" s="43" t="n">
        <v>6</v>
      </c>
      <c r="B59" s="44">
        <f t="array" ref="B59:B59">IFERROR(INDEX(통합!$A$1:$A$400,SMALL(IF(통합!$I$1:$I$400="개인차6",ROW(통합!$I$1:$I$400)),6)),"")</f>
        <v/>
      </c>
      <c r="C59" s="44">
        <f t="array" ref="C59:C59">IFERROR(INDEX(통합!$B$1:$B$400,SMALL(IF(통합!$I$1:$I$400="개인차6",ROW(통합!$I$1:$I$400)),6)),"")</f>
        <v/>
      </c>
      <c r="D59" s="44">
        <f t="array" ref="D59:D59">IFERROR(INDEX(통합!$C$1:$C$400,SMALL(IF(통합!$I$1:$I$400="개인차6",ROW(통합!$I$1:$I$400)),6)),"")</f>
        <v/>
      </c>
      <c r="E59" s="44" t="n"/>
      <c r="H59" s="44">
        <f t="array" ref="H59:H59">IFERROR(INDEX(통합!$A$1:$A$400,SMALL(IF(통합!$J$1:$J$400="개인차6",ROW(통합!$J$1:$J$400)),6)),"")</f>
        <v/>
      </c>
      <c r="I59" s="44">
        <f t="array" ref="I59:I59">IFERROR(INDEX(통합!$B$1:$B$400,SMALL(IF(통합!$J$1:$J$400="개인차6",ROW(통합!$J$1:$J$400)),6)),"")</f>
        <v/>
      </c>
      <c r="J59" s="44">
        <f t="array" ref="J59:J59">IFERROR(INDEX(통합!$C$1:$C$400,SMALL(IF(통합!$J$1:$J$400="개인차6",ROW(통합!$J$1:$J$400)),6)),"")</f>
        <v/>
      </c>
      <c r="K59" s="44" t="n"/>
    </row>
    <row r="60" ht="19.5" customHeight="1" s="33">
      <c r="A60" s="41" t="n">
        <v>7</v>
      </c>
      <c r="B60" s="42">
        <f t="array" ref="B60:B60">IFERROR(INDEX(통합!$A$1:$A$400,SMALL(IF(통합!$I$1:$I$400="개인차6",ROW(통합!$I$1:$I$400)),7)),"")</f>
        <v/>
      </c>
      <c r="C60" s="42">
        <f t="array" ref="C60:C60">IFERROR(INDEX(통합!$B$1:$B$400,SMALL(IF(통합!$I$1:$I$400="개인차6",ROW(통합!$I$1:$I$400)),7)),"")</f>
        <v/>
      </c>
      <c r="D60" s="42">
        <f t="array" ref="D60:D60">IFERROR(INDEX(통합!$C$1:$C$400,SMALL(IF(통합!$I$1:$I$400="개인차6",ROW(통합!$I$1:$I$400)),7)),"")</f>
        <v/>
      </c>
      <c r="E60" s="42" t="n"/>
      <c r="H60" s="42">
        <f t="array" ref="H60:H60">IFERROR(INDEX(통합!$A$1:$A$400,SMALL(IF(통합!$J$1:$J$400="개인차6",ROW(통합!$J$1:$J$400)),7)),"")</f>
        <v/>
      </c>
      <c r="I60" s="42">
        <f t="array" ref="I60:I60">IFERROR(INDEX(통합!$B$1:$B$400,SMALL(IF(통합!$J$1:$J$400="개인차6",ROW(통합!$J$1:$J$400)),7)),"")</f>
        <v/>
      </c>
      <c r="J60" s="42">
        <f t="array" ref="J60:J60">IFERROR(INDEX(통합!$C$1:$C$400,SMALL(IF(통합!$J$1:$J$400="개인차6",ROW(통합!$J$1:$J$400)),7)),"")</f>
        <v/>
      </c>
      <c r="K60" s="42" t="n"/>
    </row>
    <row r="61" ht="23.85" customHeight="1" s="33">
      <c r="A61" s="47" t="inlineStr">
        <is>
          <t>개인차7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</row>
    <row r="62" ht="15" customHeight="1" s="33">
      <c r="A62" s="64" t="inlineStr">
        <is>
          <t>상행</t>
        </is>
      </c>
      <c r="B62" s="35" t="n"/>
      <c r="C62" s="35" t="n"/>
      <c r="D62" s="35" t="n"/>
      <c r="E62" s="35" t="n"/>
      <c r="G62" s="64" t="inlineStr">
        <is>
          <t>하행</t>
        </is>
      </c>
      <c r="H62" s="35" t="n"/>
      <c r="I62" s="35" t="n"/>
      <c r="J62" s="35" t="n"/>
      <c r="K62" s="35" t="n"/>
    </row>
    <row r="63" ht="15" customHeight="1" s="33">
      <c r="A63" s="48" t="inlineStr">
        <is>
          <t>no</t>
        </is>
      </c>
      <c r="B63" s="49" t="inlineStr">
        <is>
          <t>구역</t>
        </is>
      </c>
      <c r="C63" s="49" t="inlineStr">
        <is>
          <t>회</t>
        </is>
      </c>
      <c r="D63" s="49" t="inlineStr">
        <is>
          <t>성 명</t>
        </is>
      </c>
      <c r="E63" s="49" t="inlineStr">
        <is>
          <t>비고</t>
        </is>
      </c>
      <c r="G63" s="48" t="inlineStr">
        <is>
          <t>no</t>
        </is>
      </c>
      <c r="H63" s="49" t="inlineStr">
        <is>
          <t>구역</t>
        </is>
      </c>
      <c r="I63" s="49" t="inlineStr">
        <is>
          <t>회</t>
        </is>
      </c>
      <c r="J63" s="49" t="inlineStr">
        <is>
          <t>성 명</t>
        </is>
      </c>
      <c r="K63" s="49" t="inlineStr">
        <is>
          <t>비고</t>
        </is>
      </c>
    </row>
    <row r="64" ht="19.5" customHeight="1" s="33">
      <c r="A64" s="41" t="n">
        <v>1</v>
      </c>
      <c r="B64" s="42">
        <f t="array" ref="B64:B64">IFERROR(INDEX(통합!$A$1:$A$400,SMALL(IF(통합!$I$1:$I$400="개인차7",ROW(통합!$I$1:$I$400)),1)),"")</f>
        <v/>
      </c>
      <c r="C64" s="42">
        <f t="array" ref="C64:C64">IFERROR(INDEX(통합!$B$1:$B$400,SMALL(IF(통합!$I$1:$I$400="개인차7",ROW(통합!$I$1:$I$400)),1)),"")</f>
        <v/>
      </c>
      <c r="D64" s="42">
        <f t="array" ref="D64:D64">IFERROR(INDEX(통합!$C$1:$C$400,SMALL(IF(통합!$I$1:$I$400="개인차7",ROW(통합!$I$1:$I$400)),1)),"")</f>
        <v/>
      </c>
      <c r="E64" s="42" t="n"/>
      <c r="H64" s="42">
        <f t="array" ref="H64:H64">IFERROR(INDEX(통합!$A$1:$A$400,SMALL(IF(통합!$J$1:$J$400="개인차7",ROW(통합!$J$1:$J$400)),1)),"")</f>
        <v/>
      </c>
      <c r="I64" s="42">
        <f t="array" ref="I64:I64">IFERROR(INDEX(통합!$B$1:$B$400,SMALL(IF(통합!$J$1:$J$400="개인차7",ROW(통합!$J$1:$J$400)),1)),"")</f>
        <v/>
      </c>
      <c r="J64" s="42">
        <f t="array" ref="J64:J64">IFERROR(INDEX(통합!$C$1:$C$400,SMALL(IF(통합!$J$1:$J$400="개인차7",ROW(통합!$J$1:$J$400)),1)),"")</f>
        <v/>
      </c>
      <c r="K64" s="42" t="n"/>
    </row>
    <row r="65" ht="19.5" customHeight="1" s="33">
      <c r="A65" s="43" t="n">
        <v>2</v>
      </c>
      <c r="B65" s="44">
        <f t="array" ref="B65:B65">IFERROR(INDEX(통합!$A$1:$A$400,SMALL(IF(통합!$I$1:$I$400="개인차7",ROW(통합!$I$1:$I$400)),2)),"")</f>
        <v/>
      </c>
      <c r="C65" s="44">
        <f t="array" ref="C65:C65">IFERROR(INDEX(통합!$B$1:$B$400,SMALL(IF(통합!$I$1:$I$400="개인차7",ROW(통합!$I$1:$I$400)),2)),"")</f>
        <v/>
      </c>
      <c r="D65" s="44">
        <f t="array" ref="D65:D65">IFERROR(INDEX(통합!$C$1:$C$400,SMALL(IF(통합!$I$1:$I$400="개인차7",ROW(통합!$I$1:$I$400)),2)),"")</f>
        <v/>
      </c>
      <c r="E65" s="44" t="n"/>
      <c r="H65" s="44">
        <f t="array" ref="H65:H65">IFERROR(INDEX(통합!$A$1:$A$400,SMALL(IF(통합!$J$1:$J$400="개인차7",ROW(통합!$J$1:$J$400)),2)),"")</f>
        <v/>
      </c>
      <c r="I65" s="44">
        <f t="array" ref="I65:I65">IFERROR(INDEX(통합!$B$1:$B$400,SMALL(IF(통합!$J$1:$J$400="개인차7",ROW(통합!$J$1:$J$400)),2)),"")</f>
        <v/>
      </c>
      <c r="J65" s="44">
        <f t="array" ref="J65:J65">IFERROR(INDEX(통합!$C$1:$C$400,SMALL(IF(통합!$J$1:$J$400="개인차7",ROW(통합!$J$1:$J$400)),2)),"")</f>
        <v/>
      </c>
      <c r="K65" s="44" t="n"/>
    </row>
    <row r="66" ht="19.5" customHeight="1" s="33">
      <c r="A66" s="41" t="n">
        <v>3</v>
      </c>
      <c r="B66" s="42">
        <f t="array" ref="B66:B66">IFERROR(INDEX(통합!$A$1:$A$400,SMALL(IF(통합!$I$1:$I$400="개인차7",ROW(통합!$I$1:$I$400)),3)),"")</f>
        <v/>
      </c>
      <c r="C66" s="42">
        <f t="array" ref="C66:C66">IFERROR(INDEX(통합!$B$1:$B$400,SMALL(IF(통합!$I$1:$I$400="개인차7",ROW(통합!$I$1:$I$400)),3)),"")</f>
        <v/>
      </c>
      <c r="D66" s="42">
        <f t="array" ref="D66:D66">IFERROR(INDEX(통합!$C$1:$C$400,SMALL(IF(통합!$I$1:$I$400="개인차7",ROW(통합!$I$1:$I$400)),3)),"")</f>
        <v/>
      </c>
      <c r="E66" s="42" t="n"/>
      <c r="H66" s="42">
        <f t="array" ref="H66:H66">IFERROR(INDEX(통합!$A$1:$A$400,SMALL(IF(통합!$J$1:$J$400="개인차7",ROW(통합!$J$1:$J$400)),3)),"")</f>
        <v/>
      </c>
      <c r="I66" s="42">
        <f t="array" ref="I66:I66">IFERROR(INDEX(통합!$B$1:$B$400,SMALL(IF(통합!$J$1:$J$400="개인차7",ROW(통합!$J$1:$J$400)),3)),"")</f>
        <v/>
      </c>
      <c r="J66" s="42">
        <f t="array" ref="J66:J66">IFERROR(INDEX(통합!$C$1:$C$400,SMALL(IF(통합!$J$1:$J$400="개인차7",ROW(통합!$J$1:$J$400)),3)),"")</f>
        <v/>
      </c>
      <c r="K66" s="42" t="n"/>
    </row>
    <row r="67" ht="19.5" customHeight="1" s="33">
      <c r="A67" s="43" t="n">
        <v>4</v>
      </c>
      <c r="B67" s="44">
        <f t="array" ref="B67:B67">IFERROR(INDEX(통합!$A$1:$A$400,SMALL(IF(통합!$I$1:$I$400="개인차7",ROW(통합!$I$1:$I$400)),4)),"")</f>
        <v/>
      </c>
      <c r="C67" s="44">
        <f t="array" ref="C67:C67">IFERROR(INDEX(통합!$B$1:$B$400,SMALL(IF(통합!$I$1:$I$400="개인차7",ROW(통합!$I$1:$I$400)),4)),"")</f>
        <v/>
      </c>
      <c r="D67" s="44">
        <f t="array" ref="D67:D67">IFERROR(INDEX(통합!$C$1:$C$400,SMALL(IF(통합!$I$1:$I$400="개인차7",ROW(통합!$I$1:$I$400)),4)),"")</f>
        <v/>
      </c>
      <c r="E67" s="44" t="n"/>
      <c r="H67" s="44">
        <f t="array" ref="H67:H67">IFERROR(INDEX(통합!$A$1:$A$400,SMALL(IF(통합!$J$1:$J$400="개인차7",ROW(통합!$J$1:$J$400)),4)),"")</f>
        <v/>
      </c>
      <c r="I67" s="44">
        <f t="array" ref="I67:I67">IFERROR(INDEX(통합!$B$1:$B$400,SMALL(IF(통합!$J$1:$J$400="개인차7",ROW(통합!$J$1:$J$400)),4)),"")</f>
        <v/>
      </c>
      <c r="J67" s="44">
        <f t="array" ref="J67:J67">IFERROR(INDEX(통합!$C$1:$C$400,SMALL(IF(통합!$J$1:$J$400="개인차7",ROW(통합!$J$1:$J$400)),4)),"")</f>
        <v/>
      </c>
      <c r="K67" s="44" t="n"/>
    </row>
    <row r="68" ht="19.5" customHeight="1" s="33">
      <c r="A68" s="41" t="n">
        <v>5</v>
      </c>
      <c r="B68" s="42">
        <f t="array" ref="B68:B68">IFERROR(INDEX(통합!$A$1:$A$400,SMALL(IF(통합!$I$1:$I$400="개인차7",ROW(통합!$I$1:$I$400)),5)),"")</f>
        <v/>
      </c>
      <c r="C68" s="42">
        <f t="array" ref="C68:C68">IFERROR(INDEX(통합!$B$1:$B$400,SMALL(IF(통합!$I$1:$I$400="개인차7",ROW(통합!$I$1:$I$400)),5)),"")</f>
        <v/>
      </c>
      <c r="D68" s="42">
        <f t="array" ref="D68:D68">IFERROR(INDEX(통합!$C$1:$C$400,SMALL(IF(통합!$I$1:$I$400="개인차7",ROW(통합!$I$1:$I$400)),5)),"")</f>
        <v/>
      </c>
      <c r="E68" s="42" t="n"/>
      <c r="H68" s="42">
        <f t="array" ref="H68:H68">IFERROR(INDEX(통합!$A$1:$A$400,SMALL(IF(통합!$J$1:$J$400="개인차7",ROW(통합!$J$1:$J$400)),5)),"")</f>
        <v/>
      </c>
      <c r="I68" s="42">
        <f t="array" ref="I68:I68">IFERROR(INDEX(통합!$B$1:$B$400,SMALL(IF(통합!$J$1:$J$400="개인차7",ROW(통합!$J$1:$J$400)),5)),"")</f>
        <v/>
      </c>
      <c r="J68" s="42">
        <f t="array" ref="J68:J68">IFERROR(INDEX(통합!$C$1:$C$400,SMALL(IF(통합!$J$1:$J$400="개인차7",ROW(통합!$J$1:$J$400)),5)),"")</f>
        <v/>
      </c>
      <c r="K68" s="42" t="n"/>
    </row>
    <row r="69" ht="19.5" customHeight="1" s="33">
      <c r="A69" s="43" t="n">
        <v>6</v>
      </c>
      <c r="B69" s="44">
        <f t="array" ref="B69:B69">IFERROR(INDEX(통합!$A$1:$A$400,SMALL(IF(통합!$I$1:$I$400="개인차7",ROW(통합!$I$1:$I$400)),6)),"")</f>
        <v/>
      </c>
      <c r="C69" s="44">
        <f t="array" ref="C69:C69">IFERROR(INDEX(통합!$B$1:$B$400,SMALL(IF(통합!$I$1:$I$400="개인차7",ROW(통합!$I$1:$I$400)),6)),"")</f>
        <v/>
      </c>
      <c r="D69" s="44">
        <f t="array" ref="D69:D69">IFERROR(INDEX(통합!$C$1:$C$400,SMALL(IF(통합!$I$1:$I$400="개인차7",ROW(통합!$I$1:$I$400)),6)),"")</f>
        <v/>
      </c>
      <c r="E69" s="44" t="n"/>
      <c r="H69" s="44">
        <f t="array" ref="H69:H69">IFERROR(INDEX(통합!$A$1:$A$400,SMALL(IF(통합!$J$1:$J$400="개인차7",ROW(통합!$J$1:$J$400)),6)),"")</f>
        <v/>
      </c>
      <c r="I69" s="44">
        <f t="array" ref="I69:I69">IFERROR(INDEX(통합!$B$1:$B$400,SMALL(IF(통합!$J$1:$J$400="개인차7",ROW(통합!$J$1:$J$400)),6)),"")</f>
        <v/>
      </c>
      <c r="J69" s="44">
        <f t="array" ref="J69:J69">IFERROR(INDEX(통합!$C$1:$C$400,SMALL(IF(통합!$J$1:$J$400="개인차7",ROW(통합!$J$1:$J$400)),6)),"")</f>
        <v/>
      </c>
      <c r="K69" s="44" t="n"/>
    </row>
    <row r="70" ht="19.5" customHeight="1" s="33">
      <c r="A70" s="41" t="n">
        <v>7</v>
      </c>
      <c r="B70" s="42">
        <f t="array" ref="B70:B70">IFERROR(INDEX(통합!$A$1:$A$400,SMALL(IF(통합!$I$1:$I$400="개인차7",ROW(통합!$I$1:$I$400)),7)),"")</f>
        <v/>
      </c>
      <c r="C70" s="42">
        <f t="array" ref="C70:C70">IFERROR(INDEX(통합!$B$1:$B$400,SMALL(IF(통합!$I$1:$I$400="개인차7",ROW(통합!$I$1:$I$400)),7)),"")</f>
        <v/>
      </c>
      <c r="D70" s="42">
        <f t="array" ref="D70:D70">IFERROR(INDEX(통합!$C$1:$C$400,SMALL(IF(통합!$I$1:$I$400="개인차7",ROW(통합!$I$1:$I$400)),7)),"")</f>
        <v/>
      </c>
      <c r="E70" s="42" t="n"/>
      <c r="H70" s="42">
        <f t="array" ref="H70:H70">IFERROR(INDEX(통합!$A$1:$A$400,SMALL(IF(통합!$J$1:$J$400="개인차7",ROW(통합!$J$1:$J$400)),7)),"")</f>
        <v/>
      </c>
      <c r="I70" s="42">
        <f t="array" ref="I70:I70">IFERROR(INDEX(통합!$B$1:$B$400,SMALL(IF(통합!$J$1:$J$400="개인차7",ROW(통합!$J$1:$J$400)),7)),"")</f>
        <v/>
      </c>
      <c r="J70" s="42">
        <f t="array" ref="J70:J70">IFERROR(INDEX(통합!$C$1:$C$400,SMALL(IF(통합!$J$1:$J$400="개인차7",ROW(통합!$J$1:$J$400)),7)),"")</f>
        <v/>
      </c>
      <c r="K70" s="42" t="n"/>
    </row>
    <row r="71" ht="23.85" customHeight="1" s="33">
      <c r="A71" s="47" t="inlineStr">
        <is>
          <t>개인차8</t>
        </is>
      </c>
      <c r="B71" s="35" t="n"/>
      <c r="C71" s="35" t="n"/>
      <c r="D71" s="35" t="n"/>
      <c r="E71" s="35" t="n"/>
      <c r="F71" s="35" t="n"/>
      <c r="G71" s="35" t="n"/>
      <c r="H71" s="35" t="n"/>
      <c r="I71" s="35" t="n"/>
      <c r="J71" s="35" t="n"/>
      <c r="K71" s="35" t="n"/>
    </row>
    <row r="72" ht="15" customHeight="1" s="33">
      <c r="A72" s="64" t="inlineStr">
        <is>
          <t>상행</t>
        </is>
      </c>
      <c r="B72" s="35" t="n"/>
      <c r="C72" s="35" t="n"/>
      <c r="D72" s="35" t="n"/>
      <c r="E72" s="35" t="n"/>
      <c r="G72" s="64" t="inlineStr">
        <is>
          <t>하행</t>
        </is>
      </c>
      <c r="H72" s="35" t="n"/>
      <c r="I72" s="35" t="n"/>
      <c r="J72" s="35" t="n"/>
      <c r="K72" s="35" t="n"/>
    </row>
    <row r="73" ht="15" customHeight="1" s="33">
      <c r="A73" s="48" t="inlineStr">
        <is>
          <t>no</t>
        </is>
      </c>
      <c r="B73" s="49" t="inlineStr">
        <is>
          <t>구역</t>
        </is>
      </c>
      <c r="C73" s="49" t="inlineStr">
        <is>
          <t>회</t>
        </is>
      </c>
      <c r="D73" s="49" t="inlineStr">
        <is>
          <t>성 명</t>
        </is>
      </c>
      <c r="E73" s="49" t="inlineStr">
        <is>
          <t>비고</t>
        </is>
      </c>
      <c r="G73" s="48" t="inlineStr">
        <is>
          <t>no</t>
        </is>
      </c>
      <c r="H73" s="49" t="inlineStr">
        <is>
          <t>구역</t>
        </is>
      </c>
      <c r="I73" s="49" t="inlineStr">
        <is>
          <t>회</t>
        </is>
      </c>
      <c r="J73" s="49" t="inlineStr">
        <is>
          <t>성 명</t>
        </is>
      </c>
      <c r="K73" s="49" t="inlineStr">
        <is>
          <t>비고</t>
        </is>
      </c>
    </row>
    <row r="74" ht="19.5" customHeight="1" s="33">
      <c r="A74" s="41" t="n">
        <v>1</v>
      </c>
      <c r="B74" s="42">
        <f t="array" ref="B74:B74">IFERROR(INDEX(통합!$A$1:$A$400,SMALL(IF(통합!$I$1:$I$400="개인차8",ROW(통합!$I$1:$I$400)),1)),"")</f>
        <v/>
      </c>
      <c r="C74" s="42">
        <f t="array" ref="C74:C74">IFERROR(INDEX(통합!$B$1:$B$400,SMALL(IF(통합!$I$1:$I$400="개인차8",ROW(통합!$I$1:$I$400)),1)),"")</f>
        <v/>
      </c>
      <c r="D74" s="42">
        <f t="array" ref="D74:D74">IFERROR(INDEX(통합!$C$1:$C$400,SMALL(IF(통합!$I$1:$I$400="개인차8",ROW(통합!$I$1:$I$400)),1)),"")</f>
        <v/>
      </c>
      <c r="E74" s="42" t="n"/>
      <c r="H74" s="42">
        <f t="array" ref="H74:H74">IFERROR(INDEX(통합!$A$1:$A$400,SMALL(IF(통합!$J$1:$J$400="개인차8",ROW(통합!$J$1:$J$400)),1)),"")</f>
        <v/>
      </c>
      <c r="I74" s="42">
        <f t="array" ref="I74:I74">IFERROR(INDEX(통합!$B$1:$B$400,SMALL(IF(통합!$J$1:$J$400="개인차8",ROW(통합!$J$1:$J$400)),1)),"")</f>
        <v/>
      </c>
      <c r="J74" s="42">
        <f t="array" ref="J74:J74">IFERROR(INDEX(통합!$C$1:$C$400,SMALL(IF(통합!$J$1:$J$400="개인차8",ROW(통합!$J$1:$J$400)),1)),"")</f>
        <v/>
      </c>
      <c r="K74" s="42" t="n"/>
    </row>
    <row r="75" ht="19.5" customHeight="1" s="33">
      <c r="A75" s="43" t="n">
        <v>2</v>
      </c>
      <c r="B75" s="44">
        <f t="array" ref="B75:B75">IFERROR(INDEX(통합!$A$1:$A$400,SMALL(IF(통합!$I$1:$I$400="개인차8",ROW(통합!$I$1:$I$400)),2)),"")</f>
        <v/>
      </c>
      <c r="C75" s="44">
        <f t="array" ref="C75:C75">IFERROR(INDEX(통합!$B$1:$B$400,SMALL(IF(통합!$I$1:$I$400="개인차8",ROW(통합!$I$1:$I$400)),2)),"")</f>
        <v/>
      </c>
      <c r="D75" s="44">
        <f t="array" ref="D75:D75">IFERROR(INDEX(통합!$C$1:$C$400,SMALL(IF(통합!$I$1:$I$400="개인차8",ROW(통합!$I$1:$I$400)),2)),"")</f>
        <v/>
      </c>
      <c r="E75" s="44" t="n"/>
      <c r="H75" s="44">
        <f t="array" ref="H75:H75">IFERROR(INDEX(통합!$A$1:$A$400,SMALL(IF(통합!$J$1:$J$400="개인차8",ROW(통합!$J$1:$J$400)),2)),"")</f>
        <v/>
      </c>
      <c r="I75" s="44">
        <f t="array" ref="I75:I75">IFERROR(INDEX(통합!$B$1:$B$400,SMALL(IF(통합!$J$1:$J$400="개인차8",ROW(통합!$J$1:$J$400)),2)),"")</f>
        <v/>
      </c>
      <c r="J75" s="44">
        <f t="array" ref="J75:J75">IFERROR(INDEX(통합!$C$1:$C$400,SMALL(IF(통합!$J$1:$J$400="개인차8",ROW(통합!$J$1:$J$400)),2)),"")</f>
        <v/>
      </c>
      <c r="K75" s="44" t="n"/>
    </row>
    <row r="76" ht="19.5" customHeight="1" s="33">
      <c r="A76" s="41" t="n">
        <v>3</v>
      </c>
      <c r="B76" s="42">
        <f t="array" ref="B76:B76">IFERROR(INDEX(통합!$A$1:$A$400,SMALL(IF(통합!$I$1:$I$400="개인차8",ROW(통합!$I$1:$I$400)),3)),"")</f>
        <v/>
      </c>
      <c r="C76" s="42">
        <f t="array" ref="C76:C76">IFERROR(INDEX(통합!$B$1:$B$400,SMALL(IF(통합!$I$1:$I$400="개인차8",ROW(통합!$I$1:$I$400)),3)),"")</f>
        <v/>
      </c>
      <c r="D76" s="42">
        <f t="array" ref="D76:D76">IFERROR(INDEX(통합!$C$1:$C$400,SMALL(IF(통합!$I$1:$I$400="개인차8",ROW(통합!$I$1:$I$400)),3)),"")</f>
        <v/>
      </c>
      <c r="E76" s="42" t="n"/>
      <c r="H76" s="42">
        <f t="array" ref="H76:H76">IFERROR(INDEX(통합!$A$1:$A$400,SMALL(IF(통합!$J$1:$J$400="개인차8",ROW(통합!$J$1:$J$400)),3)),"")</f>
        <v/>
      </c>
      <c r="I76" s="42">
        <f t="array" ref="I76:I76">IFERROR(INDEX(통합!$B$1:$B$400,SMALL(IF(통합!$J$1:$J$400="개인차8",ROW(통합!$J$1:$J$400)),3)),"")</f>
        <v/>
      </c>
      <c r="J76" s="42">
        <f t="array" ref="J76:J76">IFERROR(INDEX(통합!$C$1:$C$400,SMALL(IF(통합!$J$1:$J$400="개인차8",ROW(통합!$J$1:$J$400)),3)),"")</f>
        <v/>
      </c>
      <c r="K76" s="42" t="n"/>
    </row>
    <row r="77" ht="19.5" customHeight="1" s="33">
      <c r="A77" s="43" t="n">
        <v>4</v>
      </c>
      <c r="B77" s="44">
        <f t="array" ref="B77:B77">IFERROR(INDEX(통합!$A$1:$A$400,SMALL(IF(통합!$I$1:$I$400="개인차8",ROW(통합!$I$1:$I$400)),4)),"")</f>
        <v/>
      </c>
      <c r="C77" s="44">
        <f t="array" ref="C77:C77">IFERROR(INDEX(통합!$B$1:$B$400,SMALL(IF(통합!$I$1:$I$400="개인차8",ROW(통합!$I$1:$I$400)),4)),"")</f>
        <v/>
      </c>
      <c r="D77" s="44">
        <f t="array" ref="D77:D77">IFERROR(INDEX(통합!$C$1:$C$400,SMALL(IF(통합!$I$1:$I$400="개인차8",ROW(통합!$I$1:$I$400)),4)),"")</f>
        <v/>
      </c>
      <c r="E77" s="44" t="n"/>
      <c r="H77" s="44">
        <f t="array" ref="H77:H77">IFERROR(INDEX(통합!$A$1:$A$400,SMALL(IF(통합!$J$1:$J$400="개인차8",ROW(통합!$J$1:$J$400)),4)),"")</f>
        <v/>
      </c>
      <c r="I77" s="44">
        <f t="array" ref="I77:I77">IFERROR(INDEX(통합!$B$1:$B$400,SMALL(IF(통합!$J$1:$J$400="개인차8",ROW(통합!$J$1:$J$400)),4)),"")</f>
        <v/>
      </c>
      <c r="J77" s="44">
        <f t="array" ref="J77:J77">IFERROR(INDEX(통합!$C$1:$C$400,SMALL(IF(통합!$J$1:$J$400="개인차8",ROW(통합!$J$1:$J$400)),4)),"")</f>
        <v/>
      </c>
      <c r="K77" s="44" t="n"/>
    </row>
    <row r="78" ht="19.5" customHeight="1" s="33">
      <c r="A78" s="41" t="n">
        <v>5</v>
      </c>
      <c r="B78" s="42">
        <f t="array" ref="B78:B78">IFERROR(INDEX(통합!$A$1:$A$400,SMALL(IF(통합!$I$1:$I$400="개인차8",ROW(통합!$I$1:$I$400)),5)),"")</f>
        <v/>
      </c>
      <c r="C78" s="42">
        <f t="array" ref="C78:C78">IFERROR(INDEX(통합!$B$1:$B$400,SMALL(IF(통합!$I$1:$I$400="개인차8",ROW(통합!$I$1:$I$400)),5)),"")</f>
        <v/>
      </c>
      <c r="D78" s="42">
        <f t="array" ref="D78:D78">IFERROR(INDEX(통합!$C$1:$C$400,SMALL(IF(통합!$I$1:$I$400="개인차8",ROW(통합!$I$1:$I$400)),5)),"")</f>
        <v/>
      </c>
      <c r="E78" s="42" t="n"/>
      <c r="H78" s="42">
        <f t="array" ref="H78:H78">IFERROR(INDEX(통합!$A$1:$A$400,SMALL(IF(통합!$J$1:$J$400="개인차8",ROW(통합!$J$1:$J$400)),5)),"")</f>
        <v/>
      </c>
      <c r="I78" s="42">
        <f t="array" ref="I78:I78">IFERROR(INDEX(통합!$B$1:$B$400,SMALL(IF(통합!$J$1:$J$400="개인차8",ROW(통합!$J$1:$J$400)),5)),"")</f>
        <v/>
      </c>
      <c r="J78" s="42">
        <f t="array" ref="J78:J78">IFERROR(INDEX(통합!$C$1:$C$400,SMALL(IF(통합!$J$1:$J$400="개인차8",ROW(통합!$J$1:$J$400)),5)),"")</f>
        <v/>
      </c>
      <c r="K78" s="42" t="n"/>
    </row>
    <row r="79" ht="19.5" customHeight="1" s="33">
      <c r="A79" s="43" t="n">
        <v>6</v>
      </c>
      <c r="B79" s="44">
        <f t="array" ref="B79:B79">IFERROR(INDEX(통합!$A$1:$A$400,SMALL(IF(통합!$I$1:$I$400="개인차8",ROW(통합!$I$1:$I$400)),6)),"")</f>
        <v/>
      </c>
      <c r="C79" s="44">
        <f t="array" ref="C79:C79">IFERROR(INDEX(통합!$B$1:$B$400,SMALL(IF(통합!$I$1:$I$400="개인차8",ROW(통합!$I$1:$I$400)),6)),"")</f>
        <v/>
      </c>
      <c r="D79" s="44">
        <f t="array" ref="D79:D79">IFERROR(INDEX(통합!$C$1:$C$400,SMALL(IF(통합!$I$1:$I$400="개인차8",ROW(통합!$I$1:$I$400)),6)),"")</f>
        <v/>
      </c>
      <c r="E79" s="44" t="n"/>
      <c r="H79" s="44">
        <f t="array" ref="H79:H79">IFERROR(INDEX(통합!$A$1:$A$400,SMALL(IF(통합!$J$1:$J$400="개인차8",ROW(통합!$J$1:$J$400)),6)),"")</f>
        <v/>
      </c>
      <c r="I79" s="44">
        <f t="array" ref="I79:I79">IFERROR(INDEX(통합!$B$1:$B$400,SMALL(IF(통합!$J$1:$J$400="개인차8",ROW(통합!$J$1:$J$400)),6)),"")</f>
        <v/>
      </c>
      <c r="J79" s="44">
        <f t="array" ref="J79:J79">IFERROR(INDEX(통합!$C$1:$C$400,SMALL(IF(통합!$J$1:$J$400="개인차8",ROW(통합!$J$1:$J$400)),6)),"")</f>
        <v/>
      </c>
      <c r="K79" s="44" t="n"/>
    </row>
    <row r="80" ht="19.5" customHeight="1" s="33">
      <c r="A80" s="41" t="n">
        <v>7</v>
      </c>
      <c r="B80" s="42">
        <f t="array" ref="B80:B80">IFERROR(INDEX(통합!$A$1:$A$400,SMALL(IF(통합!$I$1:$I$400="개인차8",ROW(통합!$I$1:$I$400)),7)),"")</f>
        <v/>
      </c>
      <c r="C80" s="42">
        <f t="array" ref="C80:C80">IFERROR(INDEX(통합!$B$1:$B$400,SMALL(IF(통합!$I$1:$I$400="개인차8",ROW(통합!$I$1:$I$400)),7)),"")</f>
        <v/>
      </c>
      <c r="D80" s="42">
        <f t="array" ref="D80:D80">IFERROR(INDEX(통합!$C$1:$C$400,SMALL(IF(통합!$I$1:$I$400="개인차8",ROW(통합!$I$1:$I$400)),7)),"")</f>
        <v/>
      </c>
      <c r="E80" s="42" t="n"/>
      <c r="H80" s="42">
        <f t="array" ref="H80:H80">IFERROR(INDEX(통합!$A$1:$A$400,SMALL(IF(통합!$J$1:$J$400="개인차8",ROW(통합!$J$1:$J$400)),7)),"")</f>
        <v/>
      </c>
      <c r="I80" s="42">
        <f t="array" ref="I80:I80">IFERROR(INDEX(통합!$B$1:$B$400,SMALL(IF(통합!$J$1:$J$400="개인차8",ROW(통합!$J$1:$J$400)),7)),"")</f>
        <v/>
      </c>
      <c r="J80" s="42">
        <f t="array" ref="J80:J80">IFERROR(INDEX(통합!$C$1:$C$400,SMALL(IF(통합!$J$1:$J$400="개인차8",ROW(통합!$J$1:$J$400)),7)),"")</f>
        <v/>
      </c>
      <c r="K80" s="42" t="n"/>
    </row>
    <row r="81" ht="23.85" customHeight="1" s="33">
      <c r="A81" s="47" t="inlineStr">
        <is>
          <t>개인차9</t>
        </is>
      </c>
      <c r="B81" s="35" t="n"/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</row>
    <row r="82" ht="15" customHeight="1" s="33">
      <c r="A82" s="64" t="inlineStr">
        <is>
          <t>상행</t>
        </is>
      </c>
      <c r="B82" s="35" t="n"/>
      <c r="C82" s="35" t="n"/>
      <c r="D82" s="35" t="n"/>
      <c r="E82" s="35" t="n"/>
      <c r="G82" s="64" t="inlineStr">
        <is>
          <t>하행</t>
        </is>
      </c>
      <c r="H82" s="35" t="n"/>
      <c r="I82" s="35" t="n"/>
      <c r="J82" s="35" t="n"/>
      <c r="K82" s="35" t="n"/>
    </row>
    <row r="83" ht="15" customHeight="1" s="33">
      <c r="A83" s="48" t="inlineStr">
        <is>
          <t>no</t>
        </is>
      </c>
      <c r="B83" s="49" t="inlineStr">
        <is>
          <t>구역</t>
        </is>
      </c>
      <c r="C83" s="49" t="inlineStr">
        <is>
          <t>회</t>
        </is>
      </c>
      <c r="D83" s="49" t="inlineStr">
        <is>
          <t>성 명</t>
        </is>
      </c>
      <c r="E83" s="49" t="inlineStr">
        <is>
          <t>비고</t>
        </is>
      </c>
      <c r="G83" s="48" t="inlineStr">
        <is>
          <t>no</t>
        </is>
      </c>
      <c r="H83" s="49" t="inlineStr">
        <is>
          <t>구역</t>
        </is>
      </c>
      <c r="I83" s="49" t="inlineStr">
        <is>
          <t>회</t>
        </is>
      </c>
      <c r="J83" s="49" t="inlineStr">
        <is>
          <t>성 명</t>
        </is>
      </c>
      <c r="K83" s="49" t="inlineStr">
        <is>
          <t>비고</t>
        </is>
      </c>
    </row>
    <row r="84" ht="19.5" customHeight="1" s="33">
      <c r="A84" s="41" t="n">
        <v>1</v>
      </c>
      <c r="B84" s="42">
        <f t="array" ref="B84:B84">IFERROR(INDEX(통합!$A$1:$A$400,SMALL(IF(통합!$I$1:$I$400="개인차9",ROW(통합!$I$1:$I$400)),1)),"")</f>
        <v/>
      </c>
      <c r="C84" s="42">
        <f t="array" ref="C84:C84">IFERROR(INDEX(통합!$B$1:$B$400,SMALL(IF(통합!$I$1:$I$400="개인차9",ROW(통합!$I$1:$I$400)),1)),"")</f>
        <v/>
      </c>
      <c r="D84" s="42">
        <f t="array" ref="D84:D84">IFERROR(INDEX(통합!$C$1:$C$400,SMALL(IF(통합!$I$1:$I$400="개인차9",ROW(통합!$I$1:$I$400)),1)),"")</f>
        <v/>
      </c>
      <c r="E84" s="42" t="n"/>
      <c r="H84" s="42">
        <f t="array" ref="H84:H84">IFERROR(INDEX(통합!$A$1:$A$400,SMALL(IF(통합!$J$1:$J$400="개인차9",ROW(통합!$J$1:$J$400)),1)),"")</f>
        <v/>
      </c>
      <c r="I84" s="42">
        <f t="array" ref="I84:I84">IFERROR(INDEX(통합!$B$1:$B$400,SMALL(IF(통합!$J$1:$J$400="개인차9",ROW(통합!$J$1:$J$400)),1)),"")</f>
        <v/>
      </c>
      <c r="J84" s="42">
        <f t="array" ref="J84:J84">IFERROR(INDEX(통합!$C$1:$C$400,SMALL(IF(통합!$J$1:$J$400="개인차9",ROW(통합!$J$1:$J$400)),1)),"")</f>
        <v/>
      </c>
      <c r="K84" s="42" t="n"/>
    </row>
    <row r="85" ht="19.5" customHeight="1" s="33">
      <c r="A85" s="43" t="n">
        <v>2</v>
      </c>
      <c r="B85" s="44">
        <f t="array" ref="B85:B85">IFERROR(INDEX(통합!$A$1:$A$400,SMALL(IF(통합!$I$1:$I$400="개인차9",ROW(통합!$I$1:$I$400)),2)),"")</f>
        <v/>
      </c>
      <c r="C85" s="44">
        <f t="array" ref="C85:C85">IFERROR(INDEX(통합!$B$1:$B$400,SMALL(IF(통합!$I$1:$I$400="개인차9",ROW(통합!$I$1:$I$400)),2)),"")</f>
        <v/>
      </c>
      <c r="D85" s="44">
        <f t="array" ref="D85:D85">IFERROR(INDEX(통합!$C$1:$C$400,SMALL(IF(통합!$I$1:$I$400="개인차9",ROW(통합!$I$1:$I$400)),2)),"")</f>
        <v/>
      </c>
      <c r="E85" s="44" t="n"/>
      <c r="H85" s="44">
        <f t="array" ref="H85:H85">IFERROR(INDEX(통합!$A$1:$A$400,SMALL(IF(통합!$J$1:$J$400="개인차9",ROW(통합!$J$1:$J$400)),2)),"")</f>
        <v/>
      </c>
      <c r="I85" s="44">
        <f t="array" ref="I85:I85">IFERROR(INDEX(통합!$B$1:$B$400,SMALL(IF(통합!$J$1:$J$400="개인차9",ROW(통합!$J$1:$J$400)),2)),"")</f>
        <v/>
      </c>
      <c r="J85" s="44">
        <f t="array" ref="J85:J85">IFERROR(INDEX(통합!$C$1:$C$400,SMALL(IF(통합!$J$1:$J$400="개인차9",ROW(통합!$J$1:$J$400)),2)),"")</f>
        <v/>
      </c>
      <c r="K85" s="44" t="n"/>
    </row>
    <row r="86" ht="19.5" customHeight="1" s="33">
      <c r="A86" s="41" t="n">
        <v>3</v>
      </c>
      <c r="B86" s="42">
        <f t="array" ref="B86:B86">IFERROR(INDEX(통합!$A$1:$A$400,SMALL(IF(통합!$I$1:$I$400="개인차9",ROW(통합!$I$1:$I$400)),3)),"")</f>
        <v/>
      </c>
      <c r="C86" s="42">
        <f t="array" ref="C86:C86">IFERROR(INDEX(통합!$B$1:$B$400,SMALL(IF(통합!$I$1:$I$400="개인차9",ROW(통합!$I$1:$I$400)),3)),"")</f>
        <v/>
      </c>
      <c r="D86" s="42">
        <f t="array" ref="D86:D86">IFERROR(INDEX(통합!$C$1:$C$400,SMALL(IF(통합!$I$1:$I$400="개인차9",ROW(통합!$I$1:$I$400)),3)),"")</f>
        <v/>
      </c>
      <c r="E86" s="42" t="n"/>
      <c r="H86" s="42">
        <f t="array" ref="H86:H86">IFERROR(INDEX(통합!$A$1:$A$400,SMALL(IF(통합!$J$1:$J$400="개인차9",ROW(통합!$J$1:$J$400)),3)),"")</f>
        <v/>
      </c>
      <c r="I86" s="42">
        <f t="array" ref="I86:I86">IFERROR(INDEX(통합!$B$1:$B$400,SMALL(IF(통합!$J$1:$J$400="개인차9",ROW(통합!$J$1:$J$400)),3)),"")</f>
        <v/>
      </c>
      <c r="J86" s="42">
        <f t="array" ref="J86:J86">IFERROR(INDEX(통합!$C$1:$C$400,SMALL(IF(통합!$J$1:$J$400="개인차9",ROW(통합!$J$1:$J$400)),3)),"")</f>
        <v/>
      </c>
      <c r="K86" s="42" t="n"/>
    </row>
    <row r="87" ht="19.5" customHeight="1" s="33">
      <c r="A87" s="43" t="n">
        <v>4</v>
      </c>
      <c r="B87" s="44">
        <f t="array" ref="B87:B87">IFERROR(INDEX(통합!$A$1:$A$400,SMALL(IF(통합!$I$1:$I$400="개인차9",ROW(통합!$I$1:$I$400)),4)),"")</f>
        <v/>
      </c>
      <c r="C87" s="44">
        <f t="array" ref="C87:C87">IFERROR(INDEX(통합!$B$1:$B$400,SMALL(IF(통합!$I$1:$I$400="개인차9",ROW(통합!$I$1:$I$400)),4)),"")</f>
        <v/>
      </c>
      <c r="D87" s="44">
        <f t="array" ref="D87:D87">IFERROR(INDEX(통합!$C$1:$C$400,SMALL(IF(통합!$I$1:$I$400="개인차9",ROW(통합!$I$1:$I$400)),4)),"")</f>
        <v/>
      </c>
      <c r="E87" s="44" t="n"/>
      <c r="H87" s="44">
        <f t="array" ref="H87:H87">IFERROR(INDEX(통합!$A$1:$A$400,SMALL(IF(통합!$J$1:$J$400="개인차9",ROW(통합!$J$1:$J$400)),4)),"")</f>
        <v/>
      </c>
      <c r="I87" s="44">
        <f t="array" ref="I87:I87">IFERROR(INDEX(통합!$B$1:$B$400,SMALL(IF(통합!$J$1:$J$400="개인차9",ROW(통합!$J$1:$J$400)),4)),"")</f>
        <v/>
      </c>
      <c r="J87" s="44">
        <f t="array" ref="J87:J87">IFERROR(INDEX(통합!$C$1:$C$400,SMALL(IF(통합!$J$1:$J$400="개인차9",ROW(통합!$J$1:$J$400)),4)),"")</f>
        <v/>
      </c>
      <c r="K87" s="44" t="n"/>
    </row>
    <row r="88" ht="19.5" customHeight="1" s="33">
      <c r="A88" s="41" t="n">
        <v>5</v>
      </c>
      <c r="B88" s="42">
        <f t="array" ref="B88:B88">IFERROR(INDEX(통합!$A$1:$A$400,SMALL(IF(통합!$I$1:$I$400="개인차9",ROW(통합!$I$1:$I$400)),5)),"")</f>
        <v/>
      </c>
      <c r="C88" s="42">
        <f t="array" ref="C88:C88">IFERROR(INDEX(통합!$B$1:$B$400,SMALL(IF(통합!$I$1:$I$400="개인차9",ROW(통합!$I$1:$I$400)),5)),"")</f>
        <v/>
      </c>
      <c r="D88" s="42">
        <f t="array" ref="D88:D88">IFERROR(INDEX(통합!$C$1:$C$400,SMALL(IF(통합!$I$1:$I$400="개인차9",ROW(통합!$I$1:$I$400)),5)),"")</f>
        <v/>
      </c>
      <c r="E88" s="42" t="n"/>
      <c r="H88" s="42">
        <f t="array" ref="H88:H88">IFERROR(INDEX(통합!$A$1:$A$400,SMALL(IF(통합!$J$1:$J$400="개인차9",ROW(통합!$J$1:$J$400)),5)),"")</f>
        <v/>
      </c>
      <c r="I88" s="42">
        <f t="array" ref="I88:I88">IFERROR(INDEX(통합!$B$1:$B$400,SMALL(IF(통합!$J$1:$J$400="개인차9",ROW(통합!$J$1:$J$400)),5)),"")</f>
        <v/>
      </c>
      <c r="J88" s="42">
        <f t="array" ref="J88:J88">IFERROR(INDEX(통합!$C$1:$C$400,SMALL(IF(통합!$J$1:$J$400="개인차9",ROW(통합!$J$1:$J$400)),5)),"")</f>
        <v/>
      </c>
      <c r="K88" s="42" t="n"/>
    </row>
    <row r="89" ht="19.5" customHeight="1" s="33">
      <c r="A89" s="43" t="n">
        <v>6</v>
      </c>
      <c r="B89" s="44">
        <f t="array" ref="B89:B89">IFERROR(INDEX(통합!$A$1:$A$400,SMALL(IF(통합!$I$1:$I$400="개인차9",ROW(통합!$I$1:$I$400)),6)),"")</f>
        <v/>
      </c>
      <c r="C89" s="44">
        <f t="array" ref="C89:C89">IFERROR(INDEX(통합!$B$1:$B$400,SMALL(IF(통합!$I$1:$I$400="개인차9",ROW(통합!$I$1:$I$400)),6)),"")</f>
        <v/>
      </c>
      <c r="D89" s="44">
        <f t="array" ref="D89:D89">IFERROR(INDEX(통합!$C$1:$C$400,SMALL(IF(통합!$I$1:$I$400="개인차9",ROW(통합!$I$1:$I$400)),6)),"")</f>
        <v/>
      </c>
      <c r="E89" s="44" t="n"/>
      <c r="H89" s="44">
        <f t="array" ref="H89:H89">IFERROR(INDEX(통합!$A$1:$A$400,SMALL(IF(통합!$J$1:$J$400="개인차9",ROW(통합!$J$1:$J$400)),6)),"")</f>
        <v/>
      </c>
      <c r="I89" s="44">
        <f t="array" ref="I89:I89">IFERROR(INDEX(통합!$B$1:$B$400,SMALL(IF(통합!$J$1:$J$400="개인차9",ROW(통합!$J$1:$J$400)),6)),"")</f>
        <v/>
      </c>
      <c r="J89" s="44">
        <f t="array" ref="J89:J89">IFERROR(INDEX(통합!$C$1:$C$400,SMALL(IF(통합!$J$1:$J$400="개인차9",ROW(통합!$J$1:$J$400)),6)),"")</f>
        <v/>
      </c>
      <c r="K89" s="44" t="n"/>
    </row>
    <row r="90" ht="19.5" customHeight="1" s="33">
      <c r="A90" s="41" t="n">
        <v>7</v>
      </c>
      <c r="B90" s="42">
        <f t="array" ref="B90:B90">IFERROR(INDEX(통합!$A$1:$A$400,SMALL(IF(통합!$I$1:$I$400="개인차9",ROW(통합!$I$1:$I$400)),7)),"")</f>
        <v/>
      </c>
      <c r="C90" s="42">
        <f t="array" ref="C90:C90">IFERROR(INDEX(통합!$B$1:$B$400,SMALL(IF(통합!$I$1:$I$400="개인차9",ROW(통합!$I$1:$I$400)),7)),"")</f>
        <v/>
      </c>
      <c r="D90" s="42">
        <f t="array" ref="D90:D90">IFERROR(INDEX(통합!$C$1:$C$400,SMALL(IF(통합!$I$1:$I$400="개인차9",ROW(통합!$I$1:$I$400)),7)),"")</f>
        <v/>
      </c>
      <c r="E90" s="42" t="n"/>
      <c r="H90" s="42">
        <f t="array" ref="H90:H90">IFERROR(INDEX(통합!$A$1:$A$400,SMALL(IF(통합!$J$1:$J$400="개인차9",ROW(통합!$J$1:$J$400)),7)),"")</f>
        <v/>
      </c>
      <c r="I90" s="42">
        <f t="array" ref="I90:I90">IFERROR(INDEX(통합!$B$1:$B$400,SMALL(IF(통합!$J$1:$J$400="개인차9",ROW(통합!$J$1:$J$400)),7)),"")</f>
        <v/>
      </c>
      <c r="J90" s="42">
        <f t="array" ref="J90:J90">IFERROR(INDEX(통합!$C$1:$C$400,SMALL(IF(통합!$J$1:$J$400="개인차9",ROW(통합!$J$1:$J$400)),7)),"")</f>
        <v/>
      </c>
      <c r="K90" s="42" t="n"/>
    </row>
    <row r="91" ht="23.85" customHeight="1" s="33">
      <c r="A91" s="47" t="inlineStr">
        <is>
          <t>개인차10</t>
        </is>
      </c>
      <c r="B91" s="35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</row>
    <row r="92" ht="15" customHeight="1" s="33">
      <c r="A92" s="64" t="inlineStr">
        <is>
          <t>상행</t>
        </is>
      </c>
      <c r="B92" s="35" t="n"/>
      <c r="C92" s="35" t="n"/>
      <c r="D92" s="35" t="n"/>
      <c r="E92" s="35" t="n"/>
      <c r="G92" s="64" t="inlineStr">
        <is>
          <t>하행</t>
        </is>
      </c>
      <c r="H92" s="35" t="n"/>
      <c r="I92" s="35" t="n"/>
      <c r="J92" s="35" t="n"/>
      <c r="K92" s="35" t="n"/>
    </row>
    <row r="93" ht="15" customHeight="1" s="33">
      <c r="A93" s="48" t="inlineStr">
        <is>
          <t>no</t>
        </is>
      </c>
      <c r="B93" s="49" t="inlineStr">
        <is>
          <t>구역</t>
        </is>
      </c>
      <c r="C93" s="49" t="inlineStr">
        <is>
          <t>회</t>
        </is>
      </c>
      <c r="D93" s="49" t="inlineStr">
        <is>
          <t>성 명</t>
        </is>
      </c>
      <c r="E93" s="49" t="inlineStr">
        <is>
          <t>비고</t>
        </is>
      </c>
      <c r="G93" s="48" t="inlineStr">
        <is>
          <t>no</t>
        </is>
      </c>
      <c r="H93" s="49" t="inlineStr">
        <is>
          <t>구역</t>
        </is>
      </c>
      <c r="I93" s="49" t="inlineStr">
        <is>
          <t>회</t>
        </is>
      </c>
      <c r="J93" s="49" t="inlineStr">
        <is>
          <t>성 명</t>
        </is>
      </c>
      <c r="K93" s="49" t="inlineStr">
        <is>
          <t>비고</t>
        </is>
      </c>
    </row>
    <row r="94" ht="19.5" customHeight="1" s="33">
      <c r="A94" s="41" t="n">
        <v>1</v>
      </c>
      <c r="B94" s="42">
        <f t="array" ref="B94:B94">IFERROR(INDEX(통합!$A$1:$A$400,SMALL(IF(통합!$I$1:$I$400="개인차10",ROW(통합!$I$1:$I$400)),1)),"")</f>
        <v/>
      </c>
      <c r="C94" s="42">
        <f t="array" ref="C94:C94">IFERROR(INDEX(통합!$B$1:$B$400,SMALL(IF(통합!$I$1:$I$400="개인차10",ROW(통합!$I$1:$I$400)),1)),"")</f>
        <v/>
      </c>
      <c r="D94" s="42">
        <f t="array" ref="D94:D94">IFERROR(INDEX(통합!$C$1:$C$400,SMALL(IF(통합!$I$1:$I$400="개인차10",ROW(통합!$I$1:$I$400)),1)),"")</f>
        <v/>
      </c>
      <c r="E94" s="42" t="n"/>
      <c r="H94" s="42">
        <f t="array" ref="H94:H94">IFERROR(INDEX(통합!$A$1:$A$400,SMALL(IF(통합!$J$1:$J$400="개인차10",ROW(통합!$J$1:$J$400)),1)),"")</f>
        <v/>
      </c>
      <c r="I94" s="42">
        <f t="array" ref="I94:I94">IFERROR(INDEX(통합!$B$1:$B$400,SMALL(IF(통합!$J$1:$J$400="개인차10",ROW(통합!$J$1:$J$400)),1)),"")</f>
        <v/>
      </c>
      <c r="J94" s="42">
        <f t="array" ref="J94:J94">IFERROR(INDEX(통합!$C$1:$C$400,SMALL(IF(통합!$J$1:$J$400="개인차10",ROW(통합!$J$1:$J$400)),1)),"")</f>
        <v/>
      </c>
      <c r="K94" s="42" t="n"/>
    </row>
    <row r="95" ht="19.5" customHeight="1" s="33">
      <c r="A95" s="43" t="n">
        <v>2</v>
      </c>
      <c r="B95" s="44">
        <f t="array" ref="B95:B95">IFERROR(INDEX(통합!$A$1:$A$400,SMALL(IF(통합!$I$1:$I$400="개인차10",ROW(통합!$I$1:$I$400)),2)),"")</f>
        <v/>
      </c>
      <c r="C95" s="44">
        <f t="array" ref="C95:C95">IFERROR(INDEX(통합!$B$1:$B$400,SMALL(IF(통합!$I$1:$I$400="개인차10",ROW(통합!$I$1:$I$400)),2)),"")</f>
        <v/>
      </c>
      <c r="D95" s="44">
        <f t="array" ref="D95:D95">IFERROR(INDEX(통합!$C$1:$C$400,SMALL(IF(통합!$I$1:$I$400="개인차10",ROW(통합!$I$1:$I$400)),2)),"")</f>
        <v/>
      </c>
      <c r="E95" s="44" t="n"/>
      <c r="H95" s="44">
        <f t="array" ref="H95:H95">IFERROR(INDEX(통합!$A$1:$A$400,SMALL(IF(통합!$J$1:$J$400="개인차10",ROW(통합!$J$1:$J$400)),2)),"")</f>
        <v/>
      </c>
      <c r="I95" s="44">
        <f t="array" ref="I95:I95">IFERROR(INDEX(통합!$B$1:$B$400,SMALL(IF(통합!$J$1:$J$400="개인차10",ROW(통합!$J$1:$J$400)),2)),"")</f>
        <v/>
      </c>
      <c r="J95" s="44">
        <f t="array" ref="J95:J95">IFERROR(INDEX(통합!$C$1:$C$400,SMALL(IF(통합!$J$1:$J$400="개인차10",ROW(통합!$J$1:$J$400)),2)),"")</f>
        <v/>
      </c>
      <c r="K95" s="44" t="n"/>
    </row>
    <row r="96" ht="19.5" customHeight="1" s="33">
      <c r="A96" s="41" t="n">
        <v>3</v>
      </c>
      <c r="B96" s="42">
        <f t="array" ref="B96:B96">IFERROR(INDEX(통합!$A$1:$A$400,SMALL(IF(통합!$I$1:$I$400="개인차10",ROW(통합!$I$1:$I$400)),3)),"")</f>
        <v/>
      </c>
      <c r="C96" s="42">
        <f t="array" ref="C96:C96">IFERROR(INDEX(통합!$B$1:$B$400,SMALL(IF(통합!$I$1:$I$400="개인차10",ROW(통합!$I$1:$I$400)),3)),"")</f>
        <v/>
      </c>
      <c r="D96" s="42">
        <f t="array" ref="D96:D96">IFERROR(INDEX(통합!$C$1:$C$400,SMALL(IF(통합!$I$1:$I$400="개인차10",ROW(통합!$I$1:$I$400)),3)),"")</f>
        <v/>
      </c>
      <c r="E96" s="42" t="n"/>
      <c r="H96" s="42">
        <f t="array" ref="H96:H96">IFERROR(INDEX(통합!$A$1:$A$400,SMALL(IF(통합!$J$1:$J$400="개인차10",ROW(통합!$J$1:$J$400)),3)),"")</f>
        <v/>
      </c>
      <c r="I96" s="42">
        <f t="array" ref="I96:I96">IFERROR(INDEX(통합!$B$1:$B$400,SMALL(IF(통합!$J$1:$J$400="개인차10",ROW(통합!$J$1:$J$400)),3)),"")</f>
        <v/>
      </c>
      <c r="J96" s="42">
        <f t="array" ref="J96:J96">IFERROR(INDEX(통합!$C$1:$C$400,SMALL(IF(통합!$J$1:$J$400="개인차10",ROW(통합!$J$1:$J$400)),3)),"")</f>
        <v/>
      </c>
      <c r="K96" s="42" t="n"/>
    </row>
    <row r="97" ht="19.5" customHeight="1" s="33">
      <c r="A97" s="43" t="n">
        <v>4</v>
      </c>
      <c r="B97" s="44">
        <f t="array" ref="B97:B97">IFERROR(INDEX(통합!$A$1:$A$400,SMALL(IF(통합!$I$1:$I$400="개인차10",ROW(통합!$I$1:$I$400)),4)),"")</f>
        <v/>
      </c>
      <c r="C97" s="44">
        <f t="array" ref="C97:C97">IFERROR(INDEX(통합!$B$1:$B$400,SMALL(IF(통합!$I$1:$I$400="개인차10",ROW(통합!$I$1:$I$400)),4)),"")</f>
        <v/>
      </c>
      <c r="D97" s="44">
        <f t="array" ref="D97:D97">IFERROR(INDEX(통합!$C$1:$C$400,SMALL(IF(통합!$I$1:$I$400="개인차10",ROW(통합!$I$1:$I$400)),4)),"")</f>
        <v/>
      </c>
      <c r="E97" s="44" t="n"/>
      <c r="H97" s="44">
        <f t="array" ref="H97:H97">IFERROR(INDEX(통합!$A$1:$A$400,SMALL(IF(통합!$J$1:$J$400="개인차10",ROW(통합!$J$1:$J$400)),4)),"")</f>
        <v/>
      </c>
      <c r="I97" s="44">
        <f t="array" ref="I97:I97">IFERROR(INDEX(통합!$B$1:$B$400,SMALL(IF(통합!$J$1:$J$400="개인차10",ROW(통합!$J$1:$J$400)),4)),"")</f>
        <v/>
      </c>
      <c r="J97" s="44">
        <f t="array" ref="J97:J97">IFERROR(INDEX(통합!$C$1:$C$400,SMALL(IF(통합!$J$1:$J$400="개인차10",ROW(통합!$J$1:$J$400)),4)),"")</f>
        <v/>
      </c>
      <c r="K97" s="44" t="n"/>
    </row>
    <row r="98" ht="19.5" customHeight="1" s="33">
      <c r="A98" s="41" t="n">
        <v>5</v>
      </c>
      <c r="B98" s="42">
        <f t="array" ref="B98:B98">IFERROR(INDEX(통합!$A$1:$A$400,SMALL(IF(통합!$I$1:$I$400="개인차10",ROW(통합!$I$1:$I$400)),5)),"")</f>
        <v/>
      </c>
      <c r="C98" s="42">
        <f t="array" ref="C98:C98">IFERROR(INDEX(통합!$B$1:$B$400,SMALL(IF(통합!$I$1:$I$400="개인차10",ROW(통합!$I$1:$I$400)),5)),"")</f>
        <v/>
      </c>
      <c r="D98" s="42">
        <f t="array" ref="D98:D98">IFERROR(INDEX(통합!$C$1:$C$400,SMALL(IF(통합!$I$1:$I$400="개인차10",ROW(통합!$I$1:$I$400)),5)),"")</f>
        <v/>
      </c>
      <c r="E98" s="42" t="n"/>
      <c r="H98" s="42">
        <f t="array" ref="H98:H98">IFERROR(INDEX(통합!$A$1:$A$400,SMALL(IF(통합!$J$1:$J$400="개인차10",ROW(통합!$J$1:$J$400)),5)),"")</f>
        <v/>
      </c>
      <c r="I98" s="42">
        <f t="array" ref="I98:I98">IFERROR(INDEX(통합!$B$1:$B$400,SMALL(IF(통합!$J$1:$J$400="개인차10",ROW(통합!$J$1:$J$400)),5)),"")</f>
        <v/>
      </c>
      <c r="J98" s="42">
        <f t="array" ref="J98:J98">IFERROR(INDEX(통합!$C$1:$C$400,SMALL(IF(통합!$J$1:$J$400="개인차10",ROW(통합!$J$1:$J$400)),5)),"")</f>
        <v/>
      </c>
      <c r="K98" s="42" t="n"/>
    </row>
    <row r="99" ht="19.5" customHeight="1" s="33">
      <c r="A99" s="43" t="n">
        <v>6</v>
      </c>
      <c r="B99" s="44">
        <f t="array" ref="B99:B99">IFERROR(INDEX(통합!$A$1:$A$400,SMALL(IF(통합!$I$1:$I$400="개인차10",ROW(통합!$I$1:$I$400)),6)),"")</f>
        <v/>
      </c>
      <c r="C99" s="44">
        <f t="array" ref="C99:C99">IFERROR(INDEX(통합!$B$1:$B$400,SMALL(IF(통합!$I$1:$I$400="개인차10",ROW(통합!$I$1:$I$400)),6)),"")</f>
        <v/>
      </c>
      <c r="D99" s="44">
        <f t="array" ref="D99:D99">IFERROR(INDEX(통합!$C$1:$C$400,SMALL(IF(통합!$I$1:$I$400="개인차10",ROW(통합!$I$1:$I$400)),6)),"")</f>
        <v/>
      </c>
      <c r="E99" s="44" t="n"/>
      <c r="H99" s="44">
        <f t="array" ref="H99:H99">IFERROR(INDEX(통합!$A$1:$A$400,SMALL(IF(통합!$J$1:$J$400="개인차10",ROW(통합!$J$1:$J$400)),6)),"")</f>
        <v/>
      </c>
      <c r="I99" s="44">
        <f t="array" ref="I99:I99">IFERROR(INDEX(통합!$B$1:$B$400,SMALL(IF(통합!$J$1:$J$400="개인차10",ROW(통합!$J$1:$J$400)),6)),"")</f>
        <v/>
      </c>
      <c r="J99" s="44">
        <f t="array" ref="J99:J99">IFERROR(INDEX(통합!$C$1:$C$400,SMALL(IF(통합!$J$1:$J$400="개인차10",ROW(통합!$J$1:$J$400)),6)),"")</f>
        <v/>
      </c>
      <c r="K99" s="44" t="n"/>
    </row>
    <row r="100" ht="19.5" customHeight="1" s="33">
      <c r="A100" s="41" t="n">
        <v>7</v>
      </c>
      <c r="B100" s="42">
        <f t="array" ref="B100:B100">IFERROR(INDEX(통합!$A$1:$A$400,SMALL(IF(통합!$I$1:$I$400="개인차10",ROW(통합!$I$1:$I$400)),7)),"")</f>
        <v/>
      </c>
      <c r="C100" s="42">
        <f t="array" ref="C100:C100">IFERROR(INDEX(통합!$B$1:$B$400,SMALL(IF(통합!$I$1:$I$400="개인차10",ROW(통합!$I$1:$I$400)),7)),"")</f>
        <v/>
      </c>
      <c r="D100" s="42">
        <f t="array" ref="D100:D100">IFERROR(INDEX(통합!$C$1:$C$400,SMALL(IF(통합!$I$1:$I$400="개인차10",ROW(통합!$I$1:$I$400)),7)),"")</f>
        <v/>
      </c>
      <c r="E100" s="42" t="n"/>
      <c r="H100" s="42">
        <f t="array" ref="H100:H100">IFERROR(INDEX(통합!$A$1:$A$400,SMALL(IF(통합!$J$1:$J$400="개인차10",ROW(통합!$J$1:$J$400)),7)),"")</f>
        <v/>
      </c>
      <c r="I100" s="42">
        <f t="array" ref="I100:I100">IFERROR(INDEX(통합!$B$1:$B$400,SMALL(IF(통합!$J$1:$J$400="개인차10",ROW(통합!$J$1:$J$400)),7)),"")</f>
        <v/>
      </c>
      <c r="J100" s="42">
        <f t="array" ref="J100:J100">IFERROR(INDEX(통합!$C$1:$C$400,SMALL(IF(통합!$J$1:$J$400="개인차10",ROW(통합!$J$1:$J$400)),7)),"")</f>
        <v/>
      </c>
      <c r="K100" s="42" t="n"/>
    </row>
    <row r="101" ht="23.85" customHeight="1" s="33">
      <c r="A101" s="47" t="inlineStr">
        <is>
          <t>개인차11</t>
        </is>
      </c>
      <c r="B101" s="35" t="n"/>
      <c r="C101" s="35" t="n"/>
      <c r="D101" s="35" t="n"/>
      <c r="E101" s="35" t="n"/>
      <c r="F101" s="35" t="n"/>
      <c r="G101" s="35" t="n"/>
      <c r="H101" s="35" t="n"/>
      <c r="I101" s="35" t="n"/>
      <c r="J101" s="35" t="n"/>
      <c r="K101" s="35" t="n"/>
    </row>
    <row r="102" ht="15" customHeight="1" s="33">
      <c r="A102" s="64" t="inlineStr">
        <is>
          <t>상행</t>
        </is>
      </c>
      <c r="B102" s="35" t="n"/>
      <c r="C102" s="35" t="n"/>
      <c r="D102" s="35" t="n"/>
      <c r="E102" s="35" t="n"/>
      <c r="G102" s="64" t="inlineStr">
        <is>
          <t>하행</t>
        </is>
      </c>
      <c r="H102" s="35" t="n"/>
      <c r="I102" s="35" t="n"/>
      <c r="J102" s="35" t="n"/>
      <c r="K102" s="35" t="n"/>
    </row>
    <row r="103" ht="15" customHeight="1" s="33">
      <c r="A103" s="48" t="inlineStr">
        <is>
          <t>no</t>
        </is>
      </c>
      <c r="B103" s="49" t="inlineStr">
        <is>
          <t>구역</t>
        </is>
      </c>
      <c r="C103" s="49" t="inlineStr">
        <is>
          <t>회</t>
        </is>
      </c>
      <c r="D103" s="49" t="inlineStr">
        <is>
          <t>성 명</t>
        </is>
      </c>
      <c r="E103" s="49" t="inlineStr">
        <is>
          <t>비고</t>
        </is>
      </c>
      <c r="G103" s="48" t="inlineStr">
        <is>
          <t>no</t>
        </is>
      </c>
      <c r="H103" s="49" t="inlineStr">
        <is>
          <t>구역</t>
        </is>
      </c>
      <c r="I103" s="49" t="inlineStr">
        <is>
          <t>회</t>
        </is>
      </c>
      <c r="J103" s="49" t="inlineStr">
        <is>
          <t>성 명</t>
        </is>
      </c>
      <c r="K103" s="49" t="inlineStr">
        <is>
          <t>비고</t>
        </is>
      </c>
    </row>
    <row r="104" ht="19.5" customHeight="1" s="33">
      <c r="A104" s="41" t="n">
        <v>1</v>
      </c>
      <c r="B104" s="42">
        <f t="array" ref="B104:B104">IFERROR(INDEX(통합!$A$1:$A$400,SMALL(IF(통합!$I$1:$I$400="개인차11",ROW(통합!$I$1:$I$400)),1)),"")</f>
        <v/>
      </c>
      <c r="C104" s="42">
        <f t="array" ref="C104:C104">IFERROR(INDEX(통합!$B$1:$B$400,SMALL(IF(통합!$I$1:$I$400="개인차11",ROW(통합!$I$1:$I$400)),1)),"")</f>
        <v/>
      </c>
      <c r="D104" s="42">
        <f t="array" ref="D104:D104">IFERROR(INDEX(통합!$C$1:$C$400,SMALL(IF(통합!$I$1:$I$400="개인차11",ROW(통합!$I$1:$I$400)),1)),"")</f>
        <v/>
      </c>
      <c r="E104" s="42" t="n"/>
      <c r="H104" s="42">
        <f t="array" ref="H104:H104">IFERROR(INDEX(통합!$A$1:$A$400,SMALL(IF(통합!$J$1:$J$400="개인차11",ROW(통합!$J$1:$J$400)),1)),"")</f>
        <v/>
      </c>
      <c r="I104" s="42">
        <f t="array" ref="I104:I104">IFERROR(INDEX(통합!$B$1:$B$400,SMALL(IF(통합!$J$1:$J$400="개인차11",ROW(통합!$J$1:$J$400)),1)),"")</f>
        <v/>
      </c>
      <c r="J104" s="42">
        <f t="array" ref="J104:J104">IFERROR(INDEX(통합!$C$1:$C$400,SMALL(IF(통합!$J$1:$J$400="개인차11",ROW(통합!$J$1:$J$400)),1)),"")</f>
        <v/>
      </c>
      <c r="K104" s="42" t="n"/>
    </row>
    <row r="105" ht="19.5" customHeight="1" s="33">
      <c r="A105" s="43" t="n">
        <v>2</v>
      </c>
      <c r="B105" s="44">
        <f t="array" ref="B105:B105">IFERROR(INDEX(통합!$A$1:$A$400,SMALL(IF(통합!$I$1:$I$400="개인차11",ROW(통합!$I$1:$I$400)),2)),"")</f>
        <v/>
      </c>
      <c r="C105" s="44">
        <f t="array" ref="C105:C105">IFERROR(INDEX(통합!$B$1:$B$400,SMALL(IF(통합!$I$1:$I$400="개인차11",ROW(통합!$I$1:$I$400)),2)),"")</f>
        <v/>
      </c>
      <c r="D105" s="44">
        <f t="array" ref="D105:D105">IFERROR(INDEX(통합!$C$1:$C$400,SMALL(IF(통합!$I$1:$I$400="개인차11",ROW(통합!$I$1:$I$400)),2)),"")</f>
        <v/>
      </c>
      <c r="E105" s="44" t="n"/>
      <c r="H105" s="44">
        <f t="array" ref="H105:H105">IFERROR(INDEX(통합!$A$1:$A$400,SMALL(IF(통합!$J$1:$J$400="개인차11",ROW(통합!$J$1:$J$400)),2)),"")</f>
        <v/>
      </c>
      <c r="I105" s="44">
        <f t="array" ref="I105:I105">IFERROR(INDEX(통합!$B$1:$B$400,SMALL(IF(통합!$J$1:$J$400="개인차11",ROW(통합!$J$1:$J$400)),2)),"")</f>
        <v/>
      </c>
      <c r="J105" s="44">
        <f t="array" ref="J105:J105">IFERROR(INDEX(통합!$C$1:$C$400,SMALL(IF(통합!$J$1:$J$400="개인차11",ROW(통합!$J$1:$J$400)),2)),"")</f>
        <v/>
      </c>
      <c r="K105" s="44" t="n"/>
    </row>
    <row r="106" ht="19.5" customHeight="1" s="33">
      <c r="A106" s="41" t="n">
        <v>3</v>
      </c>
      <c r="B106" s="42">
        <f t="array" ref="B106:B106">IFERROR(INDEX(통합!$A$1:$A$400,SMALL(IF(통합!$I$1:$I$400="개인차11",ROW(통합!$I$1:$I$400)),3)),"")</f>
        <v/>
      </c>
      <c r="C106" s="42">
        <f t="array" ref="C106:C106">IFERROR(INDEX(통합!$B$1:$B$400,SMALL(IF(통합!$I$1:$I$400="개인차11",ROW(통합!$I$1:$I$400)),3)),"")</f>
        <v/>
      </c>
      <c r="D106" s="42">
        <f t="array" ref="D106:D106">IFERROR(INDEX(통합!$C$1:$C$400,SMALL(IF(통합!$I$1:$I$400="개인차11",ROW(통합!$I$1:$I$400)),3)),"")</f>
        <v/>
      </c>
      <c r="E106" s="42" t="n"/>
      <c r="H106" s="42">
        <f t="array" ref="H106:H106">IFERROR(INDEX(통합!$A$1:$A$400,SMALL(IF(통합!$J$1:$J$400="개인차11",ROW(통합!$J$1:$J$400)),3)),"")</f>
        <v/>
      </c>
      <c r="I106" s="42">
        <f t="array" ref="I106:I106">IFERROR(INDEX(통합!$B$1:$B$400,SMALL(IF(통합!$J$1:$J$400="개인차11",ROW(통합!$J$1:$J$400)),3)),"")</f>
        <v/>
      </c>
      <c r="J106" s="42">
        <f t="array" ref="J106:J106">IFERROR(INDEX(통합!$C$1:$C$400,SMALL(IF(통합!$J$1:$J$400="개인차11",ROW(통합!$J$1:$J$400)),3)),"")</f>
        <v/>
      </c>
      <c r="K106" s="42" t="n"/>
    </row>
    <row r="107" ht="19.5" customHeight="1" s="33">
      <c r="A107" s="43" t="n">
        <v>4</v>
      </c>
      <c r="B107" s="44">
        <f t="array" ref="B107:B107">IFERROR(INDEX(통합!$A$1:$A$400,SMALL(IF(통합!$I$1:$I$400="개인차11",ROW(통합!$I$1:$I$400)),4)),"")</f>
        <v/>
      </c>
      <c r="C107" s="44">
        <f t="array" ref="C107:C107">IFERROR(INDEX(통합!$B$1:$B$400,SMALL(IF(통합!$I$1:$I$400="개인차11",ROW(통합!$I$1:$I$400)),4)),"")</f>
        <v/>
      </c>
      <c r="D107" s="44">
        <f t="array" ref="D107:D107">IFERROR(INDEX(통합!$C$1:$C$400,SMALL(IF(통합!$I$1:$I$400="개인차11",ROW(통합!$I$1:$I$400)),4)),"")</f>
        <v/>
      </c>
      <c r="E107" s="44" t="n"/>
      <c r="H107" s="44">
        <f t="array" ref="H107:H107">IFERROR(INDEX(통합!$A$1:$A$400,SMALL(IF(통합!$J$1:$J$400="개인차11",ROW(통합!$J$1:$J$400)),4)),"")</f>
        <v/>
      </c>
      <c r="I107" s="44">
        <f t="array" ref="I107:I107">IFERROR(INDEX(통합!$B$1:$B$400,SMALL(IF(통합!$J$1:$J$400="개인차11",ROW(통합!$J$1:$J$400)),4)),"")</f>
        <v/>
      </c>
      <c r="J107" s="44">
        <f t="array" ref="J107:J107">IFERROR(INDEX(통합!$C$1:$C$400,SMALL(IF(통합!$J$1:$J$400="개인차11",ROW(통합!$J$1:$J$400)),4)),"")</f>
        <v/>
      </c>
      <c r="K107" s="44" t="n"/>
    </row>
    <row r="108" ht="19.5" customHeight="1" s="33">
      <c r="A108" s="41" t="n">
        <v>5</v>
      </c>
      <c r="B108" s="42">
        <f t="array" ref="B108:B108">IFERROR(INDEX(통합!$A$1:$A$400,SMALL(IF(통합!$I$1:$I$400="개인차11",ROW(통합!$I$1:$I$400)),5)),"")</f>
        <v/>
      </c>
      <c r="C108" s="42">
        <f t="array" ref="C108:C108">IFERROR(INDEX(통합!$B$1:$B$400,SMALL(IF(통합!$I$1:$I$400="개인차11",ROW(통합!$I$1:$I$400)),5)),"")</f>
        <v/>
      </c>
      <c r="D108" s="42">
        <f t="array" ref="D108:D108">IFERROR(INDEX(통합!$C$1:$C$400,SMALL(IF(통합!$I$1:$I$400="개인차11",ROW(통합!$I$1:$I$400)),5)),"")</f>
        <v/>
      </c>
      <c r="E108" s="42" t="n"/>
      <c r="H108" s="42">
        <f t="array" ref="H108:H108">IFERROR(INDEX(통합!$A$1:$A$400,SMALL(IF(통합!$J$1:$J$400="개인차11",ROW(통합!$J$1:$J$400)),5)),"")</f>
        <v/>
      </c>
      <c r="I108" s="42">
        <f t="array" ref="I108:I108">IFERROR(INDEX(통합!$B$1:$B$400,SMALL(IF(통합!$J$1:$J$400="개인차11",ROW(통합!$J$1:$J$400)),5)),"")</f>
        <v/>
      </c>
      <c r="J108" s="42">
        <f t="array" ref="J108:J108">IFERROR(INDEX(통합!$C$1:$C$400,SMALL(IF(통합!$J$1:$J$400="개인차11",ROW(통합!$J$1:$J$400)),5)),"")</f>
        <v/>
      </c>
      <c r="K108" s="42" t="n"/>
    </row>
    <row r="109" ht="19.5" customHeight="1" s="33">
      <c r="A109" s="43" t="n">
        <v>6</v>
      </c>
      <c r="B109" s="44">
        <f t="array" ref="B109:B109">IFERROR(INDEX(통합!$A$1:$A$400,SMALL(IF(통합!$I$1:$I$400="개인차11",ROW(통합!$I$1:$I$400)),6)),"")</f>
        <v/>
      </c>
      <c r="C109" s="44">
        <f t="array" ref="C109:C109">IFERROR(INDEX(통합!$B$1:$B$400,SMALL(IF(통합!$I$1:$I$400="개인차11",ROW(통합!$I$1:$I$400)),6)),"")</f>
        <v/>
      </c>
      <c r="D109" s="44">
        <f t="array" ref="D109:D109">IFERROR(INDEX(통합!$C$1:$C$400,SMALL(IF(통합!$I$1:$I$400="개인차11",ROW(통합!$I$1:$I$400)),6)),"")</f>
        <v/>
      </c>
      <c r="E109" s="44" t="n"/>
      <c r="H109" s="44">
        <f t="array" ref="H109:H109">IFERROR(INDEX(통합!$A$1:$A$400,SMALL(IF(통합!$J$1:$J$400="개인차11",ROW(통합!$J$1:$J$400)),6)),"")</f>
        <v/>
      </c>
      <c r="I109" s="44">
        <f t="array" ref="I109:I109">IFERROR(INDEX(통합!$B$1:$B$400,SMALL(IF(통합!$J$1:$J$400="개인차11",ROW(통합!$J$1:$J$400)),6)),"")</f>
        <v/>
      </c>
      <c r="J109" s="44">
        <f t="array" ref="J109:J109">IFERROR(INDEX(통합!$C$1:$C$400,SMALL(IF(통합!$J$1:$J$400="개인차11",ROW(통합!$J$1:$J$400)),6)),"")</f>
        <v/>
      </c>
      <c r="K109" s="44" t="n"/>
    </row>
    <row r="110" ht="19.5" customHeight="1" s="33">
      <c r="A110" s="41" t="n">
        <v>7</v>
      </c>
      <c r="B110" s="42">
        <f t="array" ref="B110:B110">IFERROR(INDEX(통합!$A$1:$A$400,SMALL(IF(통합!$I$1:$I$400="개인차11",ROW(통합!$I$1:$I$400)),7)),"")</f>
        <v/>
      </c>
      <c r="C110" s="42">
        <f t="array" ref="C110:C110">IFERROR(INDEX(통합!$B$1:$B$400,SMALL(IF(통합!$I$1:$I$400="개인차11",ROW(통합!$I$1:$I$400)),7)),"")</f>
        <v/>
      </c>
      <c r="D110" s="42">
        <f t="array" ref="D110:D110">IFERROR(INDEX(통합!$C$1:$C$400,SMALL(IF(통합!$I$1:$I$400="개인차11",ROW(통합!$I$1:$I$400)),7)),"")</f>
        <v/>
      </c>
      <c r="E110" s="42" t="n"/>
      <c r="H110" s="42">
        <f t="array" ref="H110:H110">IFERROR(INDEX(통합!$A$1:$A$400,SMALL(IF(통합!$J$1:$J$400="개인차11",ROW(통합!$J$1:$J$400)),7)),"")</f>
        <v/>
      </c>
      <c r="I110" s="42">
        <f t="array" ref="I110:I110">IFERROR(INDEX(통합!$B$1:$B$400,SMALL(IF(통합!$J$1:$J$400="개인차11",ROW(통합!$J$1:$J$400)),7)),"")</f>
        <v/>
      </c>
      <c r="J110" s="42">
        <f t="array" ref="J110:J110">IFERROR(INDEX(통합!$C$1:$C$400,SMALL(IF(통합!$J$1:$J$400="개인차11",ROW(통합!$J$1:$J$400)),7)),"")</f>
        <v/>
      </c>
      <c r="K110" s="42" t="n"/>
    </row>
    <row r="111" ht="23.85" customHeight="1" s="33">
      <c r="A111" s="47" t="inlineStr">
        <is>
          <t>개인차12</t>
        </is>
      </c>
      <c r="B111" s="35" t="n"/>
      <c r="C111" s="35" t="n"/>
      <c r="D111" s="35" t="n"/>
      <c r="E111" s="35" t="n"/>
      <c r="F111" s="35" t="n"/>
      <c r="G111" s="35" t="n"/>
      <c r="H111" s="35" t="n"/>
      <c r="I111" s="35" t="n"/>
      <c r="J111" s="35" t="n"/>
      <c r="K111" s="35" t="n"/>
    </row>
    <row r="112" ht="15" customHeight="1" s="33">
      <c r="A112" s="64" t="inlineStr">
        <is>
          <t>상행</t>
        </is>
      </c>
      <c r="B112" s="35" t="n"/>
      <c r="C112" s="35" t="n"/>
      <c r="D112" s="35" t="n"/>
      <c r="E112" s="35" t="n"/>
      <c r="G112" s="64" t="inlineStr">
        <is>
          <t>하행</t>
        </is>
      </c>
      <c r="H112" s="35" t="n"/>
      <c r="I112" s="35" t="n"/>
      <c r="J112" s="35" t="n"/>
      <c r="K112" s="35" t="n"/>
    </row>
    <row r="113" ht="15" customHeight="1" s="33">
      <c r="A113" s="48" t="inlineStr">
        <is>
          <t>no</t>
        </is>
      </c>
      <c r="B113" s="49" t="inlineStr">
        <is>
          <t>구역</t>
        </is>
      </c>
      <c r="C113" s="49" t="inlineStr">
        <is>
          <t>회</t>
        </is>
      </c>
      <c r="D113" s="49" t="inlineStr">
        <is>
          <t>성 명</t>
        </is>
      </c>
      <c r="E113" s="49" t="inlineStr">
        <is>
          <t>비고</t>
        </is>
      </c>
      <c r="G113" s="48" t="inlineStr">
        <is>
          <t>no</t>
        </is>
      </c>
      <c r="H113" s="49" t="inlineStr">
        <is>
          <t>구역</t>
        </is>
      </c>
      <c r="I113" s="49" t="inlineStr">
        <is>
          <t>회</t>
        </is>
      </c>
      <c r="J113" s="49" t="inlineStr">
        <is>
          <t>성 명</t>
        </is>
      </c>
      <c r="K113" s="49" t="inlineStr">
        <is>
          <t>비고</t>
        </is>
      </c>
    </row>
    <row r="114" ht="19.5" customHeight="1" s="33">
      <c r="A114" s="41" t="n">
        <v>1</v>
      </c>
      <c r="B114" s="42">
        <f t="array" ref="B114:B114">IFERROR(INDEX(통합!$A$1:$A$400,SMALL(IF(통합!$I$1:$I$400="개인차12",ROW(통합!$I$1:$I$400)),1)),"")</f>
        <v/>
      </c>
      <c r="C114" s="42">
        <f t="array" ref="C114:C114">IFERROR(INDEX(통합!$B$1:$B$400,SMALL(IF(통합!$I$1:$I$400="개인차12",ROW(통합!$I$1:$I$400)),1)),"")</f>
        <v/>
      </c>
      <c r="D114" s="42">
        <f t="array" ref="D114:D114">IFERROR(INDEX(통합!$C$1:$C$400,SMALL(IF(통합!$I$1:$I$400="개인차12",ROW(통합!$I$1:$I$400)),1)),"")</f>
        <v/>
      </c>
      <c r="E114" s="42" t="n"/>
      <c r="H114" s="42">
        <f t="array" ref="H114:H114">IFERROR(INDEX(통합!$A$1:$A$400,SMALL(IF(통합!$J$1:$J$400="개인차12",ROW(통합!$J$1:$J$400)),1)),"")</f>
        <v/>
      </c>
      <c r="I114" s="42">
        <f t="array" ref="I114:I114">IFERROR(INDEX(통합!$B$1:$B$400,SMALL(IF(통합!$J$1:$J$400="개인차12",ROW(통합!$J$1:$J$400)),1)),"")</f>
        <v/>
      </c>
      <c r="J114" s="42">
        <f t="array" ref="J114:J114">IFERROR(INDEX(통합!$C$1:$C$400,SMALL(IF(통합!$J$1:$J$400="개인차12",ROW(통합!$J$1:$J$400)),1)),"")</f>
        <v/>
      </c>
      <c r="K114" s="42" t="n"/>
    </row>
    <row r="115" ht="19.5" customHeight="1" s="33">
      <c r="A115" s="43" t="n">
        <v>2</v>
      </c>
      <c r="B115" s="44">
        <f t="array" ref="B115:B115">IFERROR(INDEX(통합!$A$1:$A$400,SMALL(IF(통합!$I$1:$I$400="개인차12",ROW(통합!$I$1:$I$400)),2)),"")</f>
        <v/>
      </c>
      <c r="C115" s="44">
        <f t="array" ref="C115:C115">IFERROR(INDEX(통합!$B$1:$B$400,SMALL(IF(통합!$I$1:$I$400="개인차12",ROW(통합!$I$1:$I$400)),2)),"")</f>
        <v/>
      </c>
      <c r="D115" s="44">
        <f t="array" ref="D115:D115">IFERROR(INDEX(통합!$C$1:$C$400,SMALL(IF(통합!$I$1:$I$400="개인차12",ROW(통합!$I$1:$I$400)),2)),"")</f>
        <v/>
      </c>
      <c r="E115" s="44" t="n"/>
      <c r="H115" s="44">
        <f t="array" ref="H115:H115">IFERROR(INDEX(통합!$A$1:$A$400,SMALL(IF(통합!$J$1:$J$400="개인차12",ROW(통합!$J$1:$J$400)),2)),"")</f>
        <v/>
      </c>
      <c r="I115" s="44">
        <f t="array" ref="I115:I115">IFERROR(INDEX(통합!$B$1:$B$400,SMALL(IF(통합!$J$1:$J$400="개인차12",ROW(통합!$J$1:$J$400)),2)),"")</f>
        <v/>
      </c>
      <c r="J115" s="44">
        <f t="array" ref="J115:J115">IFERROR(INDEX(통합!$C$1:$C$400,SMALL(IF(통합!$J$1:$J$400="개인차12",ROW(통합!$J$1:$J$400)),2)),"")</f>
        <v/>
      </c>
      <c r="K115" s="44" t="n"/>
    </row>
    <row r="116" ht="19.5" customHeight="1" s="33">
      <c r="A116" s="41" t="n">
        <v>3</v>
      </c>
      <c r="B116" s="42">
        <f t="array" ref="B116:B116">IFERROR(INDEX(통합!$A$1:$A$400,SMALL(IF(통합!$I$1:$I$400="개인차12",ROW(통합!$I$1:$I$400)),3)),"")</f>
        <v/>
      </c>
      <c r="C116" s="42">
        <f t="array" ref="C116:C116">IFERROR(INDEX(통합!$B$1:$B$400,SMALL(IF(통합!$I$1:$I$400="개인차12",ROW(통합!$I$1:$I$400)),3)),"")</f>
        <v/>
      </c>
      <c r="D116" s="42">
        <f t="array" ref="D116:D116">IFERROR(INDEX(통합!$C$1:$C$400,SMALL(IF(통합!$I$1:$I$400="개인차12",ROW(통합!$I$1:$I$400)),3)),"")</f>
        <v/>
      </c>
      <c r="E116" s="42" t="n"/>
      <c r="H116" s="42">
        <f t="array" ref="H116:H116">IFERROR(INDEX(통합!$A$1:$A$400,SMALL(IF(통합!$J$1:$J$400="개인차12",ROW(통합!$J$1:$J$400)),3)),"")</f>
        <v/>
      </c>
      <c r="I116" s="42">
        <f t="array" ref="I116:I116">IFERROR(INDEX(통합!$B$1:$B$400,SMALL(IF(통합!$J$1:$J$400="개인차12",ROW(통합!$J$1:$J$400)),3)),"")</f>
        <v/>
      </c>
      <c r="J116" s="42">
        <f t="array" ref="J116:J116">IFERROR(INDEX(통합!$C$1:$C$400,SMALL(IF(통합!$J$1:$J$400="개인차12",ROW(통합!$J$1:$J$400)),3)),"")</f>
        <v/>
      </c>
      <c r="K116" s="42" t="n"/>
    </row>
    <row r="117" ht="19.5" customHeight="1" s="33">
      <c r="A117" s="43" t="n">
        <v>4</v>
      </c>
      <c r="B117" s="44">
        <f t="array" ref="B117:B117">IFERROR(INDEX(통합!$A$1:$A$400,SMALL(IF(통합!$I$1:$I$400="개인차12",ROW(통합!$I$1:$I$400)),4)),"")</f>
        <v/>
      </c>
      <c r="C117" s="44">
        <f t="array" ref="C117:C117">IFERROR(INDEX(통합!$B$1:$B$400,SMALL(IF(통합!$I$1:$I$400="개인차12",ROW(통합!$I$1:$I$400)),4)),"")</f>
        <v/>
      </c>
      <c r="D117" s="44">
        <f t="array" ref="D117:D117">IFERROR(INDEX(통합!$C$1:$C$400,SMALL(IF(통합!$I$1:$I$400="개인차12",ROW(통합!$I$1:$I$400)),4)),"")</f>
        <v/>
      </c>
      <c r="E117" s="44" t="n"/>
      <c r="H117" s="44">
        <f t="array" ref="H117:H117">IFERROR(INDEX(통합!$A$1:$A$400,SMALL(IF(통합!$J$1:$J$400="개인차12",ROW(통합!$J$1:$J$400)),4)),"")</f>
        <v/>
      </c>
      <c r="I117" s="44">
        <f t="array" ref="I117:I117">IFERROR(INDEX(통합!$B$1:$B$400,SMALL(IF(통합!$J$1:$J$400="개인차12",ROW(통합!$J$1:$J$400)),4)),"")</f>
        <v/>
      </c>
      <c r="J117" s="44">
        <f t="array" ref="J117:J117">IFERROR(INDEX(통합!$C$1:$C$400,SMALL(IF(통합!$J$1:$J$400="개인차12",ROW(통합!$J$1:$J$400)),4)),"")</f>
        <v/>
      </c>
      <c r="K117" s="44" t="n"/>
    </row>
    <row r="118" ht="19.5" customHeight="1" s="33">
      <c r="A118" s="41" t="n">
        <v>5</v>
      </c>
      <c r="B118" s="42">
        <f t="array" ref="B118:B118">IFERROR(INDEX(통합!$A$1:$A$400,SMALL(IF(통합!$I$1:$I$400="개인차12",ROW(통합!$I$1:$I$400)),5)),"")</f>
        <v/>
      </c>
      <c r="C118" s="42">
        <f t="array" ref="C118:C118">IFERROR(INDEX(통합!$B$1:$B$400,SMALL(IF(통합!$I$1:$I$400="개인차12",ROW(통합!$I$1:$I$400)),5)),"")</f>
        <v/>
      </c>
      <c r="D118" s="42">
        <f t="array" ref="D118:D118">IFERROR(INDEX(통합!$C$1:$C$400,SMALL(IF(통합!$I$1:$I$400="개인차12",ROW(통합!$I$1:$I$400)),5)),"")</f>
        <v/>
      </c>
      <c r="E118" s="42" t="n"/>
      <c r="H118" s="42">
        <f t="array" ref="H118:H118">IFERROR(INDEX(통합!$A$1:$A$400,SMALL(IF(통합!$J$1:$J$400="개인차12",ROW(통합!$J$1:$J$400)),5)),"")</f>
        <v/>
      </c>
      <c r="I118" s="42">
        <f t="array" ref="I118:I118">IFERROR(INDEX(통합!$B$1:$B$400,SMALL(IF(통합!$J$1:$J$400="개인차12",ROW(통합!$J$1:$J$400)),5)),"")</f>
        <v/>
      </c>
      <c r="J118" s="42">
        <f t="array" ref="J118:J118">IFERROR(INDEX(통합!$C$1:$C$400,SMALL(IF(통합!$J$1:$J$400="개인차12",ROW(통합!$J$1:$J$400)),5)),"")</f>
        <v/>
      </c>
      <c r="K118" s="42" t="n"/>
    </row>
    <row r="119" ht="19.5" customHeight="1" s="33">
      <c r="A119" s="43" t="n">
        <v>6</v>
      </c>
      <c r="B119" s="44">
        <f t="array" ref="B119:B119">IFERROR(INDEX(통합!$A$1:$A$400,SMALL(IF(통합!$I$1:$I$400="개인차12",ROW(통합!$I$1:$I$400)),6)),"")</f>
        <v/>
      </c>
      <c r="C119" s="44">
        <f t="array" ref="C119:C119">IFERROR(INDEX(통합!$B$1:$B$400,SMALL(IF(통합!$I$1:$I$400="개인차12",ROW(통합!$I$1:$I$400)),6)),"")</f>
        <v/>
      </c>
      <c r="D119" s="44">
        <f t="array" ref="D119:D119">IFERROR(INDEX(통합!$C$1:$C$400,SMALL(IF(통합!$I$1:$I$400="개인차12",ROW(통합!$I$1:$I$400)),6)),"")</f>
        <v/>
      </c>
      <c r="E119" s="44" t="n"/>
      <c r="H119" s="44">
        <f t="array" ref="H119:H119">IFERROR(INDEX(통합!$A$1:$A$400,SMALL(IF(통합!$J$1:$J$400="개인차12",ROW(통합!$J$1:$J$400)),6)),"")</f>
        <v/>
      </c>
      <c r="I119" s="44">
        <f t="array" ref="I119:I119">IFERROR(INDEX(통합!$B$1:$B$400,SMALL(IF(통합!$J$1:$J$400="개인차12",ROW(통합!$J$1:$J$400)),6)),"")</f>
        <v/>
      </c>
      <c r="J119" s="44">
        <f t="array" ref="J119:J119">IFERROR(INDEX(통합!$C$1:$C$400,SMALL(IF(통합!$J$1:$J$400="개인차12",ROW(통합!$J$1:$J$400)),6)),"")</f>
        <v/>
      </c>
      <c r="K119" s="44" t="n"/>
    </row>
    <row r="120" ht="19.5" customHeight="1" s="33">
      <c r="A120" s="41" t="n">
        <v>7</v>
      </c>
      <c r="B120" s="42">
        <f t="array" ref="B120:B120">IFERROR(INDEX(통합!$A$1:$A$400,SMALL(IF(통합!$I$1:$I$400="개인차12",ROW(통합!$I$1:$I$400)),7)),"")</f>
        <v/>
      </c>
      <c r="C120" s="42">
        <f t="array" ref="C120:C120">IFERROR(INDEX(통합!$B$1:$B$400,SMALL(IF(통합!$I$1:$I$400="개인차12",ROW(통합!$I$1:$I$400)),7)),"")</f>
        <v/>
      </c>
      <c r="D120" s="42">
        <f t="array" ref="D120:D120">IFERROR(INDEX(통합!$C$1:$C$400,SMALL(IF(통합!$I$1:$I$400="개인차12",ROW(통합!$I$1:$I$400)),7)),"")</f>
        <v/>
      </c>
      <c r="E120" s="42" t="n"/>
      <c r="H120" s="42">
        <f t="array" ref="H120:H120">IFERROR(INDEX(통합!$A$1:$A$400,SMALL(IF(통합!$J$1:$J$400="개인차12",ROW(통합!$J$1:$J$400)),7)),"")</f>
        <v/>
      </c>
      <c r="I120" s="42">
        <f t="array" ref="I120:I120">IFERROR(INDEX(통합!$B$1:$B$400,SMALL(IF(통합!$J$1:$J$400="개인차12",ROW(통합!$J$1:$J$400)),7)),"")</f>
        <v/>
      </c>
      <c r="J120" s="42">
        <f t="array" ref="J120:J120">IFERROR(INDEX(통합!$C$1:$C$400,SMALL(IF(통합!$J$1:$J$400="개인차12",ROW(통합!$J$1:$J$400)),7)),"")</f>
        <v/>
      </c>
      <c r="K120" s="42" t="n"/>
    </row>
    <row r="121" ht="23.85" customHeight="1" s="33">
      <c r="A121" s="47" t="inlineStr">
        <is>
          <t>개인차13</t>
        </is>
      </c>
      <c r="B121" s="35" t="n"/>
      <c r="C121" s="35" t="n"/>
      <c r="D121" s="35" t="n"/>
      <c r="E121" s="35" t="n"/>
      <c r="F121" s="35" t="n"/>
      <c r="G121" s="35" t="n"/>
      <c r="H121" s="35" t="n"/>
      <c r="I121" s="35" t="n"/>
      <c r="J121" s="35" t="n"/>
      <c r="K121" s="35" t="n"/>
    </row>
    <row r="122" ht="15" customHeight="1" s="33">
      <c r="A122" s="64" t="inlineStr">
        <is>
          <t>상행</t>
        </is>
      </c>
      <c r="B122" s="35" t="n"/>
      <c r="C122" s="35" t="n"/>
      <c r="D122" s="35" t="n"/>
      <c r="E122" s="35" t="n"/>
      <c r="G122" s="64" t="inlineStr">
        <is>
          <t>하행</t>
        </is>
      </c>
      <c r="H122" s="35" t="n"/>
      <c r="I122" s="35" t="n"/>
      <c r="J122" s="35" t="n"/>
      <c r="K122" s="35" t="n"/>
    </row>
    <row r="123" ht="15" customHeight="1" s="33">
      <c r="A123" s="48" t="inlineStr">
        <is>
          <t>no</t>
        </is>
      </c>
      <c r="B123" s="49" t="inlineStr">
        <is>
          <t>구역</t>
        </is>
      </c>
      <c r="C123" s="49" t="inlineStr">
        <is>
          <t>회</t>
        </is>
      </c>
      <c r="D123" s="49" t="inlineStr">
        <is>
          <t>성 명</t>
        </is>
      </c>
      <c r="E123" s="49" t="inlineStr">
        <is>
          <t>비고</t>
        </is>
      </c>
      <c r="G123" s="48" t="inlineStr">
        <is>
          <t>no</t>
        </is>
      </c>
      <c r="H123" s="49" t="inlineStr">
        <is>
          <t>구역</t>
        </is>
      </c>
      <c r="I123" s="49" t="inlineStr">
        <is>
          <t>회</t>
        </is>
      </c>
      <c r="J123" s="49" t="inlineStr">
        <is>
          <t>성 명</t>
        </is>
      </c>
      <c r="K123" s="49" t="inlineStr">
        <is>
          <t>비고</t>
        </is>
      </c>
    </row>
    <row r="124" ht="19.5" customHeight="1" s="33">
      <c r="A124" s="41" t="n">
        <v>1</v>
      </c>
      <c r="B124" s="42">
        <f t="array" ref="B124:B124">IFERROR(INDEX(통합!$A$1:$A$400,SMALL(IF(통합!$I$1:$I$400="개인차13",ROW(통합!$I$1:$I$400)),1)),"")</f>
        <v/>
      </c>
      <c r="C124" s="42">
        <f t="array" ref="C124:C124">IFERROR(INDEX(통합!$B$1:$B$400,SMALL(IF(통합!$I$1:$I$400="개인차13",ROW(통합!$I$1:$I$400)),1)),"")</f>
        <v/>
      </c>
      <c r="D124" s="42">
        <f t="array" ref="D124:D124">IFERROR(INDEX(통합!$C$1:$C$400,SMALL(IF(통합!$I$1:$I$400="개인차13",ROW(통합!$I$1:$I$400)),1)),"")</f>
        <v/>
      </c>
      <c r="E124" s="42" t="n"/>
      <c r="H124" s="42">
        <f t="array" ref="H124:H124">IFERROR(INDEX(통합!$A$1:$A$400,SMALL(IF(통합!$J$1:$J$400="개인차13",ROW(통합!$J$1:$J$400)),1)),"")</f>
        <v/>
      </c>
      <c r="I124" s="42">
        <f t="array" ref="I124:I124">IFERROR(INDEX(통합!$B$1:$B$400,SMALL(IF(통합!$J$1:$J$400="개인차13",ROW(통합!$J$1:$J$400)),1)),"")</f>
        <v/>
      </c>
      <c r="J124" s="42">
        <f t="array" ref="J124:J124">IFERROR(INDEX(통합!$C$1:$C$400,SMALL(IF(통합!$J$1:$J$400="개인차13",ROW(통합!$J$1:$J$400)),1)),"")</f>
        <v/>
      </c>
      <c r="K124" s="42" t="n"/>
    </row>
    <row r="125" ht="19.5" customHeight="1" s="33">
      <c r="A125" s="43" t="n">
        <v>2</v>
      </c>
      <c r="B125" s="44">
        <f t="array" ref="B125:B125">IFERROR(INDEX(통합!$A$1:$A$400,SMALL(IF(통합!$I$1:$I$400="개인차13",ROW(통합!$I$1:$I$400)),2)),"")</f>
        <v/>
      </c>
      <c r="C125" s="44">
        <f t="array" ref="C125:C125">IFERROR(INDEX(통합!$B$1:$B$400,SMALL(IF(통합!$I$1:$I$400="개인차13",ROW(통합!$I$1:$I$400)),2)),"")</f>
        <v/>
      </c>
      <c r="D125" s="44">
        <f t="array" ref="D125:D125">IFERROR(INDEX(통합!$C$1:$C$400,SMALL(IF(통합!$I$1:$I$400="개인차13",ROW(통합!$I$1:$I$400)),2)),"")</f>
        <v/>
      </c>
      <c r="E125" s="44" t="n"/>
      <c r="H125" s="44">
        <f t="array" ref="H125:H125">IFERROR(INDEX(통합!$A$1:$A$400,SMALL(IF(통합!$J$1:$J$400="개인차13",ROW(통합!$J$1:$J$400)),2)),"")</f>
        <v/>
      </c>
      <c r="I125" s="44">
        <f t="array" ref="I125:I125">IFERROR(INDEX(통합!$B$1:$B$400,SMALL(IF(통합!$J$1:$J$400="개인차13",ROW(통합!$J$1:$J$400)),2)),"")</f>
        <v/>
      </c>
      <c r="J125" s="44">
        <f t="array" ref="J125:J125">IFERROR(INDEX(통합!$C$1:$C$400,SMALL(IF(통합!$J$1:$J$400="개인차13",ROW(통합!$J$1:$J$400)),2)),"")</f>
        <v/>
      </c>
      <c r="K125" s="44" t="n"/>
    </row>
    <row r="126" ht="19.5" customHeight="1" s="33">
      <c r="A126" s="41" t="n">
        <v>3</v>
      </c>
      <c r="B126" s="42">
        <f t="array" ref="B126:B126">IFERROR(INDEX(통합!$A$1:$A$400,SMALL(IF(통합!$I$1:$I$400="개인차13",ROW(통합!$I$1:$I$400)),3)),"")</f>
        <v/>
      </c>
      <c r="C126" s="42">
        <f t="array" ref="C126:C126">IFERROR(INDEX(통합!$B$1:$B$400,SMALL(IF(통합!$I$1:$I$400="개인차13",ROW(통합!$I$1:$I$400)),3)),"")</f>
        <v/>
      </c>
      <c r="D126" s="42">
        <f t="array" ref="D126:D126">IFERROR(INDEX(통합!$C$1:$C$400,SMALL(IF(통합!$I$1:$I$400="개인차13",ROW(통합!$I$1:$I$400)),3)),"")</f>
        <v/>
      </c>
      <c r="E126" s="42" t="n"/>
      <c r="H126" s="42">
        <f t="array" ref="H126:H126">IFERROR(INDEX(통합!$A$1:$A$400,SMALL(IF(통합!$J$1:$J$400="개인차13",ROW(통합!$J$1:$J$400)),3)),"")</f>
        <v/>
      </c>
      <c r="I126" s="42">
        <f t="array" ref="I126:I126">IFERROR(INDEX(통합!$B$1:$B$400,SMALL(IF(통합!$J$1:$J$400="개인차13",ROW(통합!$J$1:$J$400)),3)),"")</f>
        <v/>
      </c>
      <c r="J126" s="42">
        <f t="array" ref="J126:J126">IFERROR(INDEX(통합!$C$1:$C$400,SMALL(IF(통합!$J$1:$J$400="개인차13",ROW(통합!$J$1:$J$400)),3)),"")</f>
        <v/>
      </c>
      <c r="K126" s="42" t="n"/>
    </row>
    <row r="127" ht="19.5" customHeight="1" s="33">
      <c r="A127" s="43" t="n">
        <v>4</v>
      </c>
      <c r="B127" s="44">
        <f t="array" ref="B127:B127">IFERROR(INDEX(통합!$A$1:$A$400,SMALL(IF(통합!$I$1:$I$400="개인차13",ROW(통합!$I$1:$I$400)),4)),"")</f>
        <v/>
      </c>
      <c r="C127" s="44">
        <f t="array" ref="C127:C127">IFERROR(INDEX(통합!$B$1:$B$400,SMALL(IF(통합!$I$1:$I$400="개인차13",ROW(통합!$I$1:$I$400)),4)),"")</f>
        <v/>
      </c>
      <c r="D127" s="44">
        <f t="array" ref="D127:D127">IFERROR(INDEX(통합!$C$1:$C$400,SMALL(IF(통합!$I$1:$I$400="개인차13",ROW(통합!$I$1:$I$400)),4)),"")</f>
        <v/>
      </c>
      <c r="E127" s="44" t="n"/>
      <c r="H127" s="44">
        <f t="array" ref="H127:H127">IFERROR(INDEX(통합!$A$1:$A$400,SMALL(IF(통합!$J$1:$J$400="개인차13",ROW(통합!$J$1:$J$400)),4)),"")</f>
        <v/>
      </c>
      <c r="I127" s="44">
        <f t="array" ref="I127:I127">IFERROR(INDEX(통합!$B$1:$B$400,SMALL(IF(통합!$J$1:$J$400="개인차13",ROW(통합!$J$1:$J$400)),4)),"")</f>
        <v/>
      </c>
      <c r="J127" s="44">
        <f t="array" ref="J127:J127">IFERROR(INDEX(통합!$C$1:$C$400,SMALL(IF(통합!$J$1:$J$400="개인차13",ROW(통합!$J$1:$J$400)),4)),"")</f>
        <v/>
      </c>
      <c r="K127" s="44" t="n"/>
    </row>
    <row r="128" ht="19.5" customHeight="1" s="33">
      <c r="A128" s="41" t="n">
        <v>5</v>
      </c>
      <c r="B128" s="42">
        <f t="array" ref="B128:B128">IFERROR(INDEX(통합!$A$1:$A$400,SMALL(IF(통합!$I$1:$I$400="개인차13",ROW(통합!$I$1:$I$400)),5)),"")</f>
        <v/>
      </c>
      <c r="C128" s="42">
        <f t="array" ref="C128:C128">IFERROR(INDEX(통합!$B$1:$B$400,SMALL(IF(통합!$I$1:$I$400="개인차13",ROW(통합!$I$1:$I$400)),5)),"")</f>
        <v/>
      </c>
      <c r="D128" s="42">
        <f t="array" ref="D128:D128">IFERROR(INDEX(통합!$C$1:$C$400,SMALL(IF(통합!$I$1:$I$400="개인차13",ROW(통합!$I$1:$I$400)),5)),"")</f>
        <v/>
      </c>
      <c r="E128" s="42" t="n"/>
      <c r="H128" s="42">
        <f t="array" ref="H128:H128">IFERROR(INDEX(통합!$A$1:$A$400,SMALL(IF(통합!$J$1:$J$400="개인차13",ROW(통합!$J$1:$J$400)),5)),"")</f>
        <v/>
      </c>
      <c r="I128" s="42">
        <f t="array" ref="I128:I128">IFERROR(INDEX(통합!$B$1:$B$400,SMALL(IF(통합!$J$1:$J$400="개인차13",ROW(통합!$J$1:$J$400)),5)),"")</f>
        <v/>
      </c>
      <c r="J128" s="42">
        <f t="array" ref="J128:J128">IFERROR(INDEX(통합!$C$1:$C$400,SMALL(IF(통합!$J$1:$J$400="개인차13",ROW(통합!$J$1:$J$400)),5)),"")</f>
        <v/>
      </c>
      <c r="K128" s="42" t="n"/>
    </row>
    <row r="129" ht="19.5" customHeight="1" s="33">
      <c r="A129" s="43" t="n">
        <v>6</v>
      </c>
      <c r="B129" s="44">
        <f t="array" ref="B129:B129">IFERROR(INDEX(통합!$A$1:$A$400,SMALL(IF(통합!$I$1:$I$400="개인차13",ROW(통합!$I$1:$I$400)),6)),"")</f>
        <v/>
      </c>
      <c r="C129" s="44">
        <f t="array" ref="C129:C129">IFERROR(INDEX(통합!$B$1:$B$400,SMALL(IF(통합!$I$1:$I$400="개인차13",ROW(통합!$I$1:$I$400)),6)),"")</f>
        <v/>
      </c>
      <c r="D129" s="44">
        <f t="array" ref="D129:D129">IFERROR(INDEX(통합!$C$1:$C$400,SMALL(IF(통합!$I$1:$I$400="개인차13",ROW(통합!$I$1:$I$400)),6)),"")</f>
        <v/>
      </c>
      <c r="E129" s="44" t="n"/>
      <c r="H129" s="44">
        <f t="array" ref="H129:H129">IFERROR(INDEX(통합!$A$1:$A$400,SMALL(IF(통합!$J$1:$J$400="개인차13",ROW(통합!$J$1:$J$400)),6)),"")</f>
        <v/>
      </c>
      <c r="I129" s="44">
        <f t="array" ref="I129:I129">IFERROR(INDEX(통합!$B$1:$B$400,SMALL(IF(통합!$J$1:$J$400="개인차13",ROW(통합!$J$1:$J$400)),6)),"")</f>
        <v/>
      </c>
      <c r="J129" s="44">
        <f t="array" ref="J129:J129">IFERROR(INDEX(통합!$C$1:$C$400,SMALL(IF(통합!$J$1:$J$400="개인차13",ROW(통합!$J$1:$J$400)),6)),"")</f>
        <v/>
      </c>
      <c r="K129" s="44" t="n"/>
    </row>
    <row r="130" ht="19.5" customHeight="1" s="33">
      <c r="A130" s="41" t="n">
        <v>7</v>
      </c>
      <c r="B130" s="42">
        <f t="array" ref="B130:B130">IFERROR(INDEX(통합!$A$1:$A$400,SMALL(IF(통합!$I$1:$I$400="개인차13",ROW(통합!$I$1:$I$400)),7)),"")</f>
        <v/>
      </c>
      <c r="C130" s="42">
        <f t="array" ref="C130:C130">IFERROR(INDEX(통합!$B$1:$B$400,SMALL(IF(통합!$I$1:$I$400="개인차13",ROW(통합!$I$1:$I$400)),7)),"")</f>
        <v/>
      </c>
      <c r="D130" s="42">
        <f t="array" ref="D130:D130">IFERROR(INDEX(통합!$C$1:$C$400,SMALL(IF(통합!$I$1:$I$400="개인차13",ROW(통합!$I$1:$I$400)),7)),"")</f>
        <v/>
      </c>
      <c r="E130" s="42" t="n"/>
      <c r="H130" s="42">
        <f t="array" ref="H130:H130">IFERROR(INDEX(통합!$A$1:$A$400,SMALL(IF(통합!$J$1:$J$400="개인차13",ROW(통합!$J$1:$J$400)),7)),"")</f>
        <v/>
      </c>
      <c r="I130" s="42">
        <f t="array" ref="I130:I130">IFERROR(INDEX(통합!$B$1:$B$400,SMALL(IF(통합!$J$1:$J$400="개인차13",ROW(통합!$J$1:$J$400)),7)),"")</f>
        <v/>
      </c>
      <c r="J130" s="42">
        <f t="array" ref="J130:J130">IFERROR(INDEX(통합!$C$1:$C$400,SMALL(IF(통합!$J$1:$J$400="개인차13",ROW(통합!$J$1:$J$400)),7)),"")</f>
        <v/>
      </c>
      <c r="K130" s="42" t="n"/>
    </row>
    <row r="131" ht="23.85" customHeight="1" s="33">
      <c r="A131" s="47" t="inlineStr">
        <is>
          <t>개인차14</t>
        </is>
      </c>
      <c r="B131" s="35" t="n"/>
      <c r="C131" s="35" t="n"/>
      <c r="D131" s="35" t="n"/>
      <c r="E131" s="35" t="n"/>
      <c r="F131" s="35" t="n"/>
      <c r="G131" s="35" t="n"/>
      <c r="H131" s="35" t="n"/>
      <c r="I131" s="35" t="n"/>
      <c r="J131" s="35" t="n"/>
      <c r="K131" s="35" t="n"/>
    </row>
    <row r="132" ht="15" customHeight="1" s="33">
      <c r="A132" s="64" t="inlineStr">
        <is>
          <t>상행</t>
        </is>
      </c>
      <c r="B132" s="35" t="n"/>
      <c r="C132" s="35" t="n"/>
      <c r="D132" s="35" t="n"/>
      <c r="E132" s="35" t="n"/>
      <c r="G132" s="64" t="inlineStr">
        <is>
          <t>하행</t>
        </is>
      </c>
      <c r="H132" s="35" t="n"/>
      <c r="I132" s="35" t="n"/>
      <c r="J132" s="35" t="n"/>
      <c r="K132" s="35" t="n"/>
    </row>
    <row r="133" ht="15" customHeight="1" s="33">
      <c r="A133" s="48" t="inlineStr">
        <is>
          <t>no</t>
        </is>
      </c>
      <c r="B133" s="49" t="inlineStr">
        <is>
          <t>구역</t>
        </is>
      </c>
      <c r="C133" s="49" t="inlineStr">
        <is>
          <t>회</t>
        </is>
      </c>
      <c r="D133" s="49" t="inlineStr">
        <is>
          <t>성 명</t>
        </is>
      </c>
      <c r="E133" s="49" t="inlineStr">
        <is>
          <t>비고</t>
        </is>
      </c>
      <c r="G133" s="48" t="inlineStr">
        <is>
          <t>no</t>
        </is>
      </c>
      <c r="H133" s="49" t="inlineStr">
        <is>
          <t>구역</t>
        </is>
      </c>
      <c r="I133" s="49" t="inlineStr">
        <is>
          <t>회</t>
        </is>
      </c>
      <c r="J133" s="49" t="inlineStr">
        <is>
          <t>성 명</t>
        </is>
      </c>
      <c r="K133" s="49" t="inlineStr">
        <is>
          <t>비고</t>
        </is>
      </c>
    </row>
    <row r="134" ht="19.5" customHeight="1" s="33">
      <c r="A134" s="41" t="n">
        <v>1</v>
      </c>
      <c r="B134" s="42">
        <f t="array" ref="B134:B134">IFERROR(INDEX(통합!$A$1:$A$400,SMALL(IF(통합!$I$1:$I$400="개인차14",ROW(통합!$I$1:$I$400)),1)),"")</f>
        <v/>
      </c>
      <c r="C134" s="42">
        <f t="array" ref="C134:C134">IFERROR(INDEX(통합!$B$1:$B$400,SMALL(IF(통합!$I$1:$I$400="개인차14",ROW(통합!$I$1:$I$400)),1)),"")</f>
        <v/>
      </c>
      <c r="D134" s="42">
        <f t="array" ref="D134:D134">IFERROR(INDEX(통합!$C$1:$C$400,SMALL(IF(통합!$I$1:$I$400="개인차14",ROW(통합!$I$1:$I$400)),1)),"")</f>
        <v/>
      </c>
      <c r="E134" s="42" t="n"/>
      <c r="H134" s="42">
        <f t="array" ref="H134:H134">IFERROR(INDEX(통합!$A$1:$A$400,SMALL(IF(통합!$J$1:$J$400="개인차14",ROW(통합!$J$1:$J$400)),1)),"")</f>
        <v/>
      </c>
      <c r="I134" s="42">
        <f t="array" ref="I134:I134">IFERROR(INDEX(통합!$B$1:$B$400,SMALL(IF(통합!$J$1:$J$400="개인차14",ROW(통합!$J$1:$J$400)),1)),"")</f>
        <v/>
      </c>
      <c r="J134" s="42">
        <f t="array" ref="J134:J134">IFERROR(INDEX(통합!$C$1:$C$400,SMALL(IF(통합!$J$1:$J$400="개인차14",ROW(통합!$J$1:$J$400)),1)),"")</f>
        <v/>
      </c>
      <c r="K134" s="42" t="n"/>
    </row>
    <row r="135" ht="19.5" customHeight="1" s="33">
      <c r="A135" s="43" t="n">
        <v>2</v>
      </c>
      <c r="B135" s="44">
        <f t="array" ref="B135:B135">IFERROR(INDEX(통합!$A$1:$A$400,SMALL(IF(통합!$I$1:$I$400="개인차14",ROW(통합!$I$1:$I$400)),2)),"")</f>
        <v/>
      </c>
      <c r="C135" s="44">
        <f t="array" ref="C135:C135">IFERROR(INDEX(통합!$B$1:$B$400,SMALL(IF(통합!$I$1:$I$400="개인차14",ROW(통합!$I$1:$I$400)),2)),"")</f>
        <v/>
      </c>
      <c r="D135" s="44">
        <f t="array" ref="D135:D135">IFERROR(INDEX(통합!$C$1:$C$400,SMALL(IF(통합!$I$1:$I$400="개인차14",ROW(통합!$I$1:$I$400)),2)),"")</f>
        <v/>
      </c>
      <c r="E135" s="44" t="n"/>
      <c r="H135" s="44">
        <f t="array" ref="H135:H135">IFERROR(INDEX(통합!$A$1:$A$400,SMALL(IF(통합!$J$1:$J$400="개인차14",ROW(통합!$J$1:$J$400)),2)),"")</f>
        <v/>
      </c>
      <c r="I135" s="44">
        <f t="array" ref="I135:I135">IFERROR(INDEX(통합!$B$1:$B$400,SMALL(IF(통합!$J$1:$J$400="개인차14",ROW(통합!$J$1:$J$400)),2)),"")</f>
        <v/>
      </c>
      <c r="J135" s="44">
        <f t="array" ref="J135:J135">IFERROR(INDEX(통합!$C$1:$C$400,SMALL(IF(통합!$J$1:$J$400="개인차14",ROW(통합!$J$1:$J$400)),2)),"")</f>
        <v/>
      </c>
      <c r="K135" s="44" t="n"/>
    </row>
    <row r="136" ht="19.5" customHeight="1" s="33">
      <c r="A136" s="41" t="n">
        <v>3</v>
      </c>
      <c r="B136" s="42">
        <f t="array" ref="B136:B136">IFERROR(INDEX(통합!$A$1:$A$400,SMALL(IF(통합!$I$1:$I$400="개인차14",ROW(통합!$I$1:$I$400)),3)),"")</f>
        <v/>
      </c>
      <c r="C136" s="42">
        <f t="array" ref="C136:C136">IFERROR(INDEX(통합!$B$1:$B$400,SMALL(IF(통합!$I$1:$I$400="개인차14",ROW(통합!$I$1:$I$400)),3)),"")</f>
        <v/>
      </c>
      <c r="D136" s="42">
        <f t="array" ref="D136:D136">IFERROR(INDEX(통합!$C$1:$C$400,SMALL(IF(통합!$I$1:$I$400="개인차14",ROW(통합!$I$1:$I$400)),3)),"")</f>
        <v/>
      </c>
      <c r="E136" s="42" t="n"/>
      <c r="H136" s="42">
        <f t="array" ref="H136:H136">IFERROR(INDEX(통합!$A$1:$A$400,SMALL(IF(통합!$J$1:$J$400="개인차14",ROW(통합!$J$1:$J$400)),3)),"")</f>
        <v/>
      </c>
      <c r="I136" s="42">
        <f t="array" ref="I136:I136">IFERROR(INDEX(통합!$B$1:$B$400,SMALL(IF(통합!$J$1:$J$400="개인차14",ROW(통합!$J$1:$J$400)),3)),"")</f>
        <v/>
      </c>
      <c r="J136" s="42">
        <f t="array" ref="J136:J136">IFERROR(INDEX(통합!$C$1:$C$400,SMALL(IF(통합!$J$1:$J$400="개인차14",ROW(통합!$J$1:$J$400)),3)),"")</f>
        <v/>
      </c>
      <c r="K136" s="42" t="n"/>
    </row>
    <row r="137" ht="19.5" customHeight="1" s="33">
      <c r="A137" s="43" t="n">
        <v>4</v>
      </c>
      <c r="B137" s="44">
        <f t="array" ref="B137:B137">IFERROR(INDEX(통합!$A$1:$A$400,SMALL(IF(통합!$I$1:$I$400="개인차14",ROW(통합!$I$1:$I$400)),4)),"")</f>
        <v/>
      </c>
      <c r="C137" s="44">
        <f t="array" ref="C137:C137">IFERROR(INDEX(통합!$B$1:$B$400,SMALL(IF(통합!$I$1:$I$400="개인차14",ROW(통합!$I$1:$I$400)),4)),"")</f>
        <v/>
      </c>
      <c r="D137" s="44">
        <f t="array" ref="D137:D137">IFERROR(INDEX(통합!$C$1:$C$400,SMALL(IF(통합!$I$1:$I$400="개인차14",ROW(통합!$I$1:$I$400)),4)),"")</f>
        <v/>
      </c>
      <c r="E137" s="44" t="n"/>
      <c r="H137" s="44">
        <f t="array" ref="H137:H137">IFERROR(INDEX(통합!$A$1:$A$400,SMALL(IF(통합!$J$1:$J$400="개인차14",ROW(통합!$J$1:$J$400)),4)),"")</f>
        <v/>
      </c>
      <c r="I137" s="44">
        <f t="array" ref="I137:I137">IFERROR(INDEX(통합!$B$1:$B$400,SMALL(IF(통합!$J$1:$J$400="개인차14",ROW(통합!$J$1:$J$400)),4)),"")</f>
        <v/>
      </c>
      <c r="J137" s="44">
        <f t="array" ref="J137:J137">IFERROR(INDEX(통합!$C$1:$C$400,SMALL(IF(통합!$J$1:$J$400="개인차14",ROW(통합!$J$1:$J$400)),4)),"")</f>
        <v/>
      </c>
      <c r="K137" s="44" t="n"/>
    </row>
    <row r="138" ht="19.5" customHeight="1" s="33">
      <c r="A138" s="41" t="n">
        <v>5</v>
      </c>
      <c r="B138" s="42">
        <f t="array" ref="B138:B138">IFERROR(INDEX(통합!$A$1:$A$400,SMALL(IF(통합!$I$1:$I$400="개인차14",ROW(통합!$I$1:$I$400)),5)),"")</f>
        <v/>
      </c>
      <c r="C138" s="42">
        <f t="array" ref="C138:C138">IFERROR(INDEX(통합!$B$1:$B$400,SMALL(IF(통합!$I$1:$I$400="개인차14",ROW(통합!$I$1:$I$400)),5)),"")</f>
        <v/>
      </c>
      <c r="D138" s="42">
        <f t="array" ref="D138:D138">IFERROR(INDEX(통합!$C$1:$C$400,SMALL(IF(통합!$I$1:$I$400="개인차14",ROW(통합!$I$1:$I$400)),5)),"")</f>
        <v/>
      </c>
      <c r="E138" s="42" t="n"/>
      <c r="H138" s="42">
        <f t="array" ref="H138:H138">IFERROR(INDEX(통합!$A$1:$A$400,SMALL(IF(통합!$J$1:$J$400="개인차14",ROW(통합!$J$1:$J$400)),5)),"")</f>
        <v/>
      </c>
      <c r="I138" s="42">
        <f t="array" ref="I138:I138">IFERROR(INDEX(통합!$B$1:$B$400,SMALL(IF(통합!$J$1:$J$400="개인차14",ROW(통합!$J$1:$J$400)),5)),"")</f>
        <v/>
      </c>
      <c r="J138" s="42">
        <f t="array" ref="J138:J138">IFERROR(INDEX(통합!$C$1:$C$400,SMALL(IF(통합!$J$1:$J$400="개인차14",ROW(통합!$J$1:$J$400)),5)),"")</f>
        <v/>
      </c>
      <c r="K138" s="42" t="n"/>
    </row>
    <row r="139" ht="19.5" customHeight="1" s="33">
      <c r="A139" s="43" t="n">
        <v>6</v>
      </c>
      <c r="B139" s="44">
        <f t="array" ref="B139:B139">IFERROR(INDEX(통합!$A$1:$A$400,SMALL(IF(통합!$I$1:$I$400="개인차14",ROW(통합!$I$1:$I$400)),6)),"")</f>
        <v/>
      </c>
      <c r="C139" s="44">
        <f t="array" ref="C139:C139">IFERROR(INDEX(통합!$B$1:$B$400,SMALL(IF(통합!$I$1:$I$400="개인차14",ROW(통합!$I$1:$I$400)),6)),"")</f>
        <v/>
      </c>
      <c r="D139" s="44">
        <f t="array" ref="D139:D139">IFERROR(INDEX(통합!$C$1:$C$400,SMALL(IF(통합!$I$1:$I$400="개인차14",ROW(통합!$I$1:$I$400)),6)),"")</f>
        <v/>
      </c>
      <c r="E139" s="44" t="n"/>
      <c r="H139" s="44">
        <f t="array" ref="H139:H139">IFERROR(INDEX(통합!$A$1:$A$400,SMALL(IF(통합!$J$1:$J$400="개인차14",ROW(통합!$J$1:$J$400)),6)),"")</f>
        <v/>
      </c>
      <c r="I139" s="44">
        <f t="array" ref="I139:I139">IFERROR(INDEX(통합!$B$1:$B$400,SMALL(IF(통합!$J$1:$J$400="개인차14",ROW(통합!$J$1:$J$400)),6)),"")</f>
        <v/>
      </c>
      <c r="J139" s="44">
        <f t="array" ref="J139:J139">IFERROR(INDEX(통합!$C$1:$C$400,SMALL(IF(통합!$J$1:$J$400="개인차14",ROW(통합!$J$1:$J$400)),6)),"")</f>
        <v/>
      </c>
      <c r="K139" s="44" t="n"/>
    </row>
    <row r="140" ht="19.5" customHeight="1" s="33">
      <c r="A140" s="41" t="n">
        <v>7</v>
      </c>
      <c r="B140" s="42">
        <f t="array" ref="B140:B140">IFERROR(INDEX(통합!$A$1:$A$400,SMALL(IF(통합!$I$1:$I$400="개인차14",ROW(통합!$I$1:$I$400)),7)),"")</f>
        <v/>
      </c>
      <c r="C140" s="42">
        <f t="array" ref="C140:C140">IFERROR(INDEX(통합!$B$1:$B$400,SMALL(IF(통합!$I$1:$I$400="개인차14",ROW(통합!$I$1:$I$400)),7)),"")</f>
        <v/>
      </c>
      <c r="D140" s="42">
        <f t="array" ref="D140:D140">IFERROR(INDEX(통합!$C$1:$C$400,SMALL(IF(통합!$I$1:$I$400="개인차14",ROW(통합!$I$1:$I$400)),7)),"")</f>
        <v/>
      </c>
      <c r="E140" s="42" t="n"/>
      <c r="H140" s="42">
        <f t="array" ref="H140:H140">IFERROR(INDEX(통합!$A$1:$A$400,SMALL(IF(통합!$J$1:$J$400="개인차14",ROW(통합!$J$1:$J$400)),7)),"")</f>
        <v/>
      </c>
      <c r="I140" s="42">
        <f t="array" ref="I140:I140">IFERROR(INDEX(통합!$B$1:$B$400,SMALL(IF(통합!$J$1:$J$400="개인차14",ROW(통합!$J$1:$J$400)),7)),"")</f>
        <v/>
      </c>
      <c r="J140" s="42">
        <f t="array" ref="J140:J140">IFERROR(INDEX(통합!$C$1:$C$400,SMALL(IF(통합!$J$1:$J$400="개인차14",ROW(통합!$J$1:$J$400)),7)),"")</f>
        <v/>
      </c>
      <c r="K140" s="42" t="n"/>
    </row>
    <row r="141" ht="23.85" customHeight="1" s="33">
      <c r="A141" s="47" t="inlineStr">
        <is>
          <t>개인차15</t>
        </is>
      </c>
      <c r="B141" s="35" t="n"/>
      <c r="C141" s="35" t="n"/>
      <c r="D141" s="35" t="n"/>
      <c r="E141" s="35" t="n"/>
      <c r="F141" s="35" t="n"/>
      <c r="G141" s="35" t="n"/>
      <c r="H141" s="35" t="n"/>
      <c r="I141" s="35" t="n"/>
      <c r="J141" s="35" t="n"/>
      <c r="K141" s="35" t="n"/>
    </row>
    <row r="142" ht="15" customHeight="1" s="33">
      <c r="A142" s="64" t="inlineStr">
        <is>
          <t>상행</t>
        </is>
      </c>
      <c r="B142" s="35" t="n"/>
      <c r="C142" s="35" t="n"/>
      <c r="D142" s="35" t="n"/>
      <c r="E142" s="35" t="n"/>
      <c r="G142" s="64" t="inlineStr">
        <is>
          <t>하행</t>
        </is>
      </c>
      <c r="H142" s="35" t="n"/>
      <c r="I142" s="35" t="n"/>
      <c r="J142" s="35" t="n"/>
      <c r="K142" s="35" t="n"/>
    </row>
    <row r="143" ht="15" customHeight="1" s="33">
      <c r="A143" s="48" t="inlineStr">
        <is>
          <t>no</t>
        </is>
      </c>
      <c r="B143" s="49" t="inlineStr">
        <is>
          <t>구역</t>
        </is>
      </c>
      <c r="C143" s="49" t="inlineStr">
        <is>
          <t>회</t>
        </is>
      </c>
      <c r="D143" s="49" t="inlineStr">
        <is>
          <t>성 명</t>
        </is>
      </c>
      <c r="E143" s="49" t="inlineStr">
        <is>
          <t>비고</t>
        </is>
      </c>
      <c r="G143" s="48" t="inlineStr">
        <is>
          <t>no</t>
        </is>
      </c>
      <c r="H143" s="49" t="inlineStr">
        <is>
          <t>구역</t>
        </is>
      </c>
      <c r="I143" s="49" t="inlineStr">
        <is>
          <t>회</t>
        </is>
      </c>
      <c r="J143" s="49" t="inlineStr">
        <is>
          <t>성 명</t>
        </is>
      </c>
      <c r="K143" s="49" t="inlineStr">
        <is>
          <t>비고</t>
        </is>
      </c>
    </row>
    <row r="144" ht="19.5" customHeight="1" s="33">
      <c r="A144" s="41" t="n">
        <v>1</v>
      </c>
      <c r="B144" s="42">
        <f t="array" ref="B144:B144">IFERROR(INDEX(통합!$A$1:$A$400,SMALL(IF(통합!$I$1:$I$400="개인차15",ROW(통합!$I$1:$I$400)),1)),"")</f>
        <v/>
      </c>
      <c r="C144" s="42">
        <f t="array" ref="C144:C144">IFERROR(INDEX(통합!$B$1:$B$400,SMALL(IF(통합!$I$1:$I$400="개인차15",ROW(통합!$I$1:$I$400)),1)),"")</f>
        <v/>
      </c>
      <c r="D144" s="42">
        <f t="array" ref="D144:D144">IFERROR(INDEX(통합!$C$1:$C$400,SMALL(IF(통합!$I$1:$I$400="개인차15",ROW(통합!$I$1:$I$400)),1)),"")</f>
        <v/>
      </c>
      <c r="E144" s="42" t="n"/>
      <c r="H144" s="42">
        <f t="array" ref="H144:H144">IFERROR(INDEX(통합!$A$1:$A$400,SMALL(IF(통합!$J$1:$J$400="개인차15",ROW(통합!$J$1:$J$400)),1)),"")</f>
        <v/>
      </c>
      <c r="I144" s="42">
        <f t="array" ref="I144:I144">IFERROR(INDEX(통합!$B$1:$B$400,SMALL(IF(통합!$J$1:$J$400="개인차15",ROW(통합!$J$1:$J$400)),1)),"")</f>
        <v/>
      </c>
      <c r="J144" s="42">
        <f t="array" ref="J144:J144">IFERROR(INDEX(통합!$C$1:$C$400,SMALL(IF(통합!$J$1:$J$400="개인차15",ROW(통합!$J$1:$J$400)),1)),"")</f>
        <v/>
      </c>
      <c r="K144" s="42" t="n"/>
    </row>
    <row r="145" ht="19.5" customHeight="1" s="33">
      <c r="A145" s="43" t="n">
        <v>2</v>
      </c>
      <c r="B145" s="44">
        <f t="array" ref="B145:B145">IFERROR(INDEX(통합!$A$1:$A$400,SMALL(IF(통합!$I$1:$I$400="개인차15",ROW(통합!$I$1:$I$400)),2)),"")</f>
        <v/>
      </c>
      <c r="C145" s="44">
        <f t="array" ref="C145:C145">IFERROR(INDEX(통합!$B$1:$B$400,SMALL(IF(통합!$I$1:$I$400="개인차15",ROW(통합!$I$1:$I$400)),2)),"")</f>
        <v/>
      </c>
      <c r="D145" s="44">
        <f t="array" ref="D145:D145">IFERROR(INDEX(통합!$C$1:$C$400,SMALL(IF(통합!$I$1:$I$400="개인차15",ROW(통합!$I$1:$I$400)),2)),"")</f>
        <v/>
      </c>
      <c r="E145" s="44" t="n"/>
      <c r="H145" s="44">
        <f t="array" ref="H145:H145">IFERROR(INDEX(통합!$A$1:$A$400,SMALL(IF(통합!$J$1:$J$400="개인차15",ROW(통합!$J$1:$J$400)),2)),"")</f>
        <v/>
      </c>
      <c r="I145" s="44">
        <f t="array" ref="I145:I145">IFERROR(INDEX(통합!$B$1:$B$400,SMALL(IF(통합!$J$1:$J$400="개인차15",ROW(통합!$J$1:$J$400)),2)),"")</f>
        <v/>
      </c>
      <c r="J145" s="44">
        <f t="array" ref="J145:J145">IFERROR(INDEX(통합!$C$1:$C$400,SMALL(IF(통합!$J$1:$J$400="개인차15",ROW(통합!$J$1:$J$400)),2)),"")</f>
        <v/>
      </c>
      <c r="K145" s="44" t="n"/>
    </row>
    <row r="146" ht="19.5" customHeight="1" s="33">
      <c r="A146" s="41" t="n">
        <v>3</v>
      </c>
      <c r="B146" s="42">
        <f t="array" ref="B146:B146">IFERROR(INDEX(통합!$A$1:$A$400,SMALL(IF(통합!$I$1:$I$400="개인차15",ROW(통합!$I$1:$I$400)),3)),"")</f>
        <v/>
      </c>
      <c r="C146" s="42">
        <f t="array" ref="C146:C146">IFERROR(INDEX(통합!$B$1:$B$400,SMALL(IF(통합!$I$1:$I$400="개인차15",ROW(통합!$I$1:$I$400)),3)),"")</f>
        <v/>
      </c>
      <c r="D146" s="42">
        <f t="array" ref="D146:D146">IFERROR(INDEX(통합!$C$1:$C$400,SMALL(IF(통합!$I$1:$I$400="개인차15",ROW(통합!$I$1:$I$400)),3)),"")</f>
        <v/>
      </c>
      <c r="E146" s="42" t="n"/>
      <c r="H146" s="42">
        <f t="array" ref="H146:H146">IFERROR(INDEX(통합!$A$1:$A$400,SMALL(IF(통합!$J$1:$J$400="개인차15",ROW(통합!$J$1:$J$400)),3)),"")</f>
        <v/>
      </c>
      <c r="I146" s="42">
        <f t="array" ref="I146:I146">IFERROR(INDEX(통합!$B$1:$B$400,SMALL(IF(통합!$J$1:$J$400="개인차15",ROW(통합!$J$1:$J$400)),3)),"")</f>
        <v/>
      </c>
      <c r="J146" s="42">
        <f t="array" ref="J146:J146">IFERROR(INDEX(통합!$C$1:$C$400,SMALL(IF(통합!$J$1:$J$400="개인차15",ROW(통합!$J$1:$J$400)),3)),"")</f>
        <v/>
      </c>
      <c r="K146" s="42" t="n"/>
    </row>
    <row r="147" ht="19.5" customHeight="1" s="33">
      <c r="A147" s="43" t="n">
        <v>4</v>
      </c>
      <c r="B147" s="44">
        <f t="array" ref="B147:B147">IFERROR(INDEX(통합!$A$1:$A$400,SMALL(IF(통합!$I$1:$I$400="개인차15",ROW(통합!$I$1:$I$400)),4)),"")</f>
        <v/>
      </c>
      <c r="C147" s="44">
        <f t="array" ref="C147:C147">IFERROR(INDEX(통합!$B$1:$B$400,SMALL(IF(통합!$I$1:$I$400="개인차15",ROW(통합!$I$1:$I$400)),4)),"")</f>
        <v/>
      </c>
      <c r="D147" s="44">
        <f t="array" ref="D147:D147">IFERROR(INDEX(통합!$C$1:$C$400,SMALL(IF(통합!$I$1:$I$400="개인차15",ROW(통합!$I$1:$I$400)),4)),"")</f>
        <v/>
      </c>
      <c r="E147" s="44" t="n"/>
      <c r="H147" s="44">
        <f t="array" ref="H147:H147">IFERROR(INDEX(통합!$A$1:$A$400,SMALL(IF(통합!$J$1:$J$400="개인차15",ROW(통합!$J$1:$J$400)),4)),"")</f>
        <v/>
      </c>
      <c r="I147" s="44">
        <f t="array" ref="I147:I147">IFERROR(INDEX(통합!$B$1:$B$400,SMALL(IF(통합!$J$1:$J$400="개인차15",ROW(통합!$J$1:$J$400)),4)),"")</f>
        <v/>
      </c>
      <c r="J147" s="44">
        <f t="array" ref="J147:J147">IFERROR(INDEX(통합!$C$1:$C$400,SMALL(IF(통합!$J$1:$J$400="개인차15",ROW(통합!$J$1:$J$400)),4)),"")</f>
        <v/>
      </c>
      <c r="K147" s="44" t="n"/>
    </row>
    <row r="148" ht="19.5" customHeight="1" s="33">
      <c r="A148" s="41" t="n">
        <v>5</v>
      </c>
      <c r="B148" s="42">
        <f t="array" ref="B148:B148">IFERROR(INDEX(통합!$A$1:$A$400,SMALL(IF(통합!$I$1:$I$400="개인차15",ROW(통합!$I$1:$I$400)),5)),"")</f>
        <v/>
      </c>
      <c r="C148" s="42">
        <f t="array" ref="C148:C148">IFERROR(INDEX(통합!$B$1:$B$400,SMALL(IF(통합!$I$1:$I$400="개인차15",ROW(통합!$I$1:$I$400)),5)),"")</f>
        <v/>
      </c>
      <c r="D148" s="42">
        <f t="array" ref="D148:D148">IFERROR(INDEX(통합!$C$1:$C$400,SMALL(IF(통합!$I$1:$I$400="개인차15",ROW(통합!$I$1:$I$400)),5)),"")</f>
        <v/>
      </c>
      <c r="E148" s="42" t="n"/>
      <c r="H148" s="42">
        <f t="array" ref="H148:H148">IFERROR(INDEX(통합!$A$1:$A$400,SMALL(IF(통합!$J$1:$J$400="개인차15",ROW(통합!$J$1:$J$400)),5)),"")</f>
        <v/>
      </c>
      <c r="I148" s="42">
        <f t="array" ref="I148:I148">IFERROR(INDEX(통합!$B$1:$B$400,SMALL(IF(통합!$J$1:$J$400="개인차15",ROW(통합!$J$1:$J$400)),5)),"")</f>
        <v/>
      </c>
      <c r="J148" s="42">
        <f t="array" ref="J148:J148">IFERROR(INDEX(통합!$C$1:$C$400,SMALL(IF(통합!$J$1:$J$400="개인차15",ROW(통합!$J$1:$J$400)),5)),"")</f>
        <v/>
      </c>
      <c r="K148" s="42" t="n"/>
    </row>
    <row r="149" ht="19.5" customHeight="1" s="33">
      <c r="A149" s="43" t="n">
        <v>6</v>
      </c>
      <c r="B149" s="44">
        <f t="array" ref="B149:B149">IFERROR(INDEX(통합!$A$1:$A$400,SMALL(IF(통합!$I$1:$I$400="개인차15",ROW(통합!$I$1:$I$400)),6)),"")</f>
        <v/>
      </c>
      <c r="C149" s="44">
        <f t="array" ref="C149:C149">IFERROR(INDEX(통합!$B$1:$B$400,SMALL(IF(통합!$I$1:$I$400="개인차15",ROW(통합!$I$1:$I$400)),6)),"")</f>
        <v/>
      </c>
      <c r="D149" s="44">
        <f t="array" ref="D149:D149">IFERROR(INDEX(통합!$C$1:$C$400,SMALL(IF(통합!$I$1:$I$400="개인차15",ROW(통합!$I$1:$I$400)),6)),"")</f>
        <v/>
      </c>
      <c r="E149" s="44" t="n"/>
      <c r="H149" s="44">
        <f t="array" ref="H149:H149">IFERROR(INDEX(통합!$A$1:$A$400,SMALL(IF(통합!$J$1:$J$400="개인차15",ROW(통합!$J$1:$J$400)),6)),"")</f>
        <v/>
      </c>
      <c r="I149" s="44">
        <f t="array" ref="I149:I149">IFERROR(INDEX(통합!$B$1:$B$400,SMALL(IF(통합!$J$1:$J$400="개인차15",ROW(통합!$J$1:$J$400)),6)),"")</f>
        <v/>
      </c>
      <c r="J149" s="44">
        <f t="array" ref="J149:J149">IFERROR(INDEX(통합!$C$1:$C$400,SMALL(IF(통합!$J$1:$J$400="개인차15",ROW(통합!$J$1:$J$400)),6)),"")</f>
        <v/>
      </c>
      <c r="K149" s="44" t="n"/>
    </row>
    <row r="150" ht="19.5" customHeight="1" s="33">
      <c r="A150" s="41" t="n">
        <v>7</v>
      </c>
      <c r="B150" s="42">
        <f t="array" ref="B150:B150">IFERROR(INDEX(통합!$A$1:$A$400,SMALL(IF(통합!$I$1:$I$400="개인차15",ROW(통합!$I$1:$I$400)),7)),"")</f>
        <v/>
      </c>
      <c r="C150" s="42">
        <f t="array" ref="C150:C150">IFERROR(INDEX(통합!$B$1:$B$400,SMALL(IF(통합!$I$1:$I$400="개인차15",ROW(통합!$I$1:$I$400)),7)),"")</f>
        <v/>
      </c>
      <c r="D150" s="42">
        <f t="array" ref="D150:D150">IFERROR(INDEX(통합!$C$1:$C$400,SMALL(IF(통합!$I$1:$I$400="개인차15",ROW(통합!$I$1:$I$400)),7)),"")</f>
        <v/>
      </c>
      <c r="E150" s="42" t="n"/>
      <c r="H150" s="42">
        <f t="array" ref="H150:H150">IFERROR(INDEX(통합!$A$1:$A$400,SMALL(IF(통합!$J$1:$J$400="개인차15",ROW(통합!$J$1:$J$400)),7)),"")</f>
        <v/>
      </c>
      <c r="I150" s="42">
        <f t="array" ref="I150:I150">IFERROR(INDEX(통합!$B$1:$B$400,SMALL(IF(통합!$J$1:$J$400="개인차15",ROW(통합!$J$1:$J$400)),7)),"")</f>
        <v/>
      </c>
      <c r="J150" s="42">
        <f t="array" ref="J150:J150">IFERROR(INDEX(통합!$C$1:$C$400,SMALL(IF(통합!$J$1:$J$400="개인차15",ROW(통합!$J$1:$J$400)),7)),"")</f>
        <v/>
      </c>
      <c r="K150" s="42" t="n"/>
    </row>
    <row r="151" ht="23.85" customHeight="1" s="33">
      <c r="A151" s="47" t="inlineStr">
        <is>
          <t>개인차16</t>
        </is>
      </c>
      <c r="B151" s="35" t="n"/>
      <c r="C151" s="35" t="n"/>
      <c r="D151" s="35" t="n"/>
      <c r="E151" s="35" t="n"/>
      <c r="F151" s="35" t="n"/>
      <c r="G151" s="35" t="n"/>
      <c r="H151" s="35" t="n"/>
      <c r="I151" s="35" t="n"/>
      <c r="J151" s="35" t="n"/>
      <c r="K151" s="35" t="n"/>
    </row>
    <row r="152" ht="15" customHeight="1" s="33">
      <c r="A152" s="64" t="inlineStr">
        <is>
          <t>상행</t>
        </is>
      </c>
      <c r="B152" s="35" t="n"/>
      <c r="C152" s="35" t="n"/>
      <c r="D152" s="35" t="n"/>
      <c r="E152" s="35" t="n"/>
      <c r="G152" s="64" t="inlineStr">
        <is>
          <t>하행</t>
        </is>
      </c>
      <c r="H152" s="35" t="n"/>
      <c r="I152" s="35" t="n"/>
      <c r="J152" s="35" t="n"/>
      <c r="K152" s="35" t="n"/>
    </row>
    <row r="153" ht="15" customHeight="1" s="33">
      <c r="A153" s="48" t="inlineStr">
        <is>
          <t>no</t>
        </is>
      </c>
      <c r="B153" s="49" t="inlineStr">
        <is>
          <t>구역</t>
        </is>
      </c>
      <c r="C153" s="49" t="inlineStr">
        <is>
          <t>회</t>
        </is>
      </c>
      <c r="D153" s="49" t="inlineStr">
        <is>
          <t>성 명</t>
        </is>
      </c>
      <c r="E153" s="49" t="inlineStr">
        <is>
          <t>비고</t>
        </is>
      </c>
      <c r="G153" s="48" t="inlineStr">
        <is>
          <t>no</t>
        </is>
      </c>
      <c r="H153" s="49" t="inlineStr">
        <is>
          <t>구역</t>
        </is>
      </c>
      <c r="I153" s="49" t="inlineStr">
        <is>
          <t>회</t>
        </is>
      </c>
      <c r="J153" s="49" t="inlineStr">
        <is>
          <t>성 명</t>
        </is>
      </c>
      <c r="K153" s="49" t="inlineStr">
        <is>
          <t>비고</t>
        </is>
      </c>
    </row>
    <row r="154" ht="19.5" customHeight="1" s="33">
      <c r="A154" s="41" t="n">
        <v>1</v>
      </c>
      <c r="B154" s="42">
        <f t="array" ref="B154:B154">IFERROR(INDEX(통합!$A$1:$A$400,SMALL(IF(통합!$I$1:$I$400="개인차16",ROW(통합!$I$1:$I$400)),1)),"")</f>
        <v/>
      </c>
      <c r="C154" s="42">
        <f t="array" ref="C154:C154">IFERROR(INDEX(통합!$B$1:$B$400,SMALL(IF(통합!$I$1:$I$400="개인차16",ROW(통합!$I$1:$I$400)),1)),"")</f>
        <v/>
      </c>
      <c r="D154" s="42">
        <f t="array" ref="D154:D154">IFERROR(INDEX(통합!$C$1:$C$400,SMALL(IF(통합!$I$1:$I$400="개인차16",ROW(통합!$I$1:$I$400)),1)),"")</f>
        <v/>
      </c>
      <c r="E154" s="42" t="n"/>
      <c r="H154" s="42">
        <f t="array" ref="H154:H154">IFERROR(INDEX(통합!$A$1:$A$400,SMALL(IF(통합!$J$1:$J$400="개인차16",ROW(통합!$J$1:$J$400)),1)),"")</f>
        <v/>
      </c>
      <c r="I154" s="42">
        <f t="array" ref="I154:I154">IFERROR(INDEX(통합!$B$1:$B$400,SMALL(IF(통합!$J$1:$J$400="개인차16",ROW(통합!$J$1:$J$400)),1)),"")</f>
        <v/>
      </c>
      <c r="J154" s="42">
        <f t="array" ref="J154:J154">IFERROR(INDEX(통합!$C$1:$C$400,SMALL(IF(통합!$J$1:$J$400="개인차16",ROW(통합!$J$1:$J$400)),1)),"")</f>
        <v/>
      </c>
      <c r="K154" s="42" t="n"/>
    </row>
    <row r="155" ht="19.5" customHeight="1" s="33">
      <c r="A155" s="43" t="n">
        <v>2</v>
      </c>
      <c r="B155" s="44">
        <f t="array" ref="B155:B155">IFERROR(INDEX(통합!$A$1:$A$400,SMALL(IF(통합!$I$1:$I$400="개인차16",ROW(통합!$I$1:$I$400)),2)),"")</f>
        <v/>
      </c>
      <c r="C155" s="44">
        <f t="array" ref="C155:C155">IFERROR(INDEX(통합!$B$1:$B$400,SMALL(IF(통합!$I$1:$I$400="개인차16",ROW(통합!$I$1:$I$400)),2)),"")</f>
        <v/>
      </c>
      <c r="D155" s="44">
        <f t="array" ref="D155:D155">IFERROR(INDEX(통합!$C$1:$C$400,SMALL(IF(통합!$I$1:$I$400="개인차16",ROW(통합!$I$1:$I$400)),2)),"")</f>
        <v/>
      </c>
      <c r="E155" s="44" t="n"/>
      <c r="H155" s="44">
        <f t="array" ref="H155:H155">IFERROR(INDEX(통합!$A$1:$A$400,SMALL(IF(통합!$J$1:$J$400="개인차16",ROW(통합!$J$1:$J$400)),2)),"")</f>
        <v/>
      </c>
      <c r="I155" s="44">
        <f t="array" ref="I155:I155">IFERROR(INDEX(통합!$B$1:$B$400,SMALL(IF(통합!$J$1:$J$400="개인차16",ROW(통합!$J$1:$J$400)),2)),"")</f>
        <v/>
      </c>
      <c r="J155" s="44">
        <f t="array" ref="J155:J155">IFERROR(INDEX(통합!$C$1:$C$400,SMALL(IF(통합!$J$1:$J$400="개인차16",ROW(통합!$J$1:$J$400)),2)),"")</f>
        <v/>
      </c>
      <c r="K155" s="44" t="n"/>
    </row>
    <row r="156" ht="19.5" customHeight="1" s="33">
      <c r="A156" s="41" t="n">
        <v>3</v>
      </c>
      <c r="B156" s="42">
        <f t="array" ref="B156:B156">IFERROR(INDEX(통합!$A$1:$A$400,SMALL(IF(통합!$I$1:$I$400="개인차16",ROW(통합!$I$1:$I$400)),3)),"")</f>
        <v/>
      </c>
      <c r="C156" s="42">
        <f t="array" ref="C156:C156">IFERROR(INDEX(통합!$B$1:$B$400,SMALL(IF(통합!$I$1:$I$400="개인차16",ROW(통합!$I$1:$I$400)),3)),"")</f>
        <v/>
      </c>
      <c r="D156" s="42">
        <f t="array" ref="D156:D156">IFERROR(INDEX(통합!$C$1:$C$400,SMALL(IF(통합!$I$1:$I$400="개인차16",ROW(통합!$I$1:$I$400)),3)),"")</f>
        <v/>
      </c>
      <c r="E156" s="42" t="n"/>
      <c r="H156" s="42">
        <f t="array" ref="H156:H156">IFERROR(INDEX(통합!$A$1:$A$400,SMALL(IF(통합!$J$1:$J$400="개인차16",ROW(통합!$J$1:$J$400)),3)),"")</f>
        <v/>
      </c>
      <c r="I156" s="42">
        <f t="array" ref="I156:I156">IFERROR(INDEX(통합!$B$1:$B$400,SMALL(IF(통합!$J$1:$J$400="개인차16",ROW(통합!$J$1:$J$400)),3)),"")</f>
        <v/>
      </c>
      <c r="J156" s="42">
        <f t="array" ref="J156:J156">IFERROR(INDEX(통합!$C$1:$C$400,SMALL(IF(통합!$J$1:$J$400="개인차16",ROW(통합!$J$1:$J$400)),3)),"")</f>
        <v/>
      </c>
      <c r="K156" s="42" t="n"/>
    </row>
    <row r="157" ht="19.5" customHeight="1" s="33">
      <c r="A157" s="43" t="n">
        <v>4</v>
      </c>
      <c r="B157" s="44">
        <f t="array" ref="B157:B157">IFERROR(INDEX(통합!$A$1:$A$400,SMALL(IF(통합!$I$1:$I$400="개인차16",ROW(통합!$I$1:$I$400)),4)),"")</f>
        <v/>
      </c>
      <c r="C157" s="44">
        <f t="array" ref="C157:C157">IFERROR(INDEX(통합!$B$1:$B$400,SMALL(IF(통합!$I$1:$I$400="개인차16",ROW(통합!$I$1:$I$400)),4)),"")</f>
        <v/>
      </c>
      <c r="D157" s="44">
        <f t="array" ref="D157:D157">IFERROR(INDEX(통합!$C$1:$C$400,SMALL(IF(통합!$I$1:$I$400="개인차16",ROW(통합!$I$1:$I$400)),4)),"")</f>
        <v/>
      </c>
      <c r="E157" s="44" t="n"/>
      <c r="H157" s="44">
        <f t="array" ref="H157:H157">IFERROR(INDEX(통합!$A$1:$A$400,SMALL(IF(통합!$J$1:$J$400="개인차16",ROW(통합!$J$1:$J$400)),4)),"")</f>
        <v/>
      </c>
      <c r="I157" s="44">
        <f t="array" ref="I157:I157">IFERROR(INDEX(통합!$B$1:$B$400,SMALL(IF(통합!$J$1:$J$400="개인차16",ROW(통합!$J$1:$J$400)),4)),"")</f>
        <v/>
      </c>
      <c r="J157" s="44">
        <f t="array" ref="J157:J157">IFERROR(INDEX(통합!$C$1:$C$400,SMALL(IF(통합!$J$1:$J$400="개인차16",ROW(통합!$J$1:$J$400)),4)),"")</f>
        <v/>
      </c>
      <c r="K157" s="44" t="n"/>
    </row>
    <row r="158" ht="19.5" customHeight="1" s="33">
      <c r="A158" s="41" t="n">
        <v>5</v>
      </c>
      <c r="B158" s="42">
        <f t="array" ref="B158:B158">IFERROR(INDEX(통합!$A$1:$A$400,SMALL(IF(통합!$I$1:$I$400="개인차16",ROW(통합!$I$1:$I$400)),5)),"")</f>
        <v/>
      </c>
      <c r="C158" s="42">
        <f t="array" ref="C158:C158">IFERROR(INDEX(통합!$B$1:$B$400,SMALL(IF(통합!$I$1:$I$400="개인차16",ROW(통합!$I$1:$I$400)),5)),"")</f>
        <v/>
      </c>
      <c r="D158" s="42">
        <f t="array" ref="D158:D158">IFERROR(INDEX(통합!$C$1:$C$400,SMALL(IF(통합!$I$1:$I$400="개인차16",ROW(통합!$I$1:$I$400)),5)),"")</f>
        <v/>
      </c>
      <c r="E158" s="42" t="n"/>
      <c r="H158" s="42">
        <f t="array" ref="H158:H158">IFERROR(INDEX(통합!$A$1:$A$400,SMALL(IF(통합!$J$1:$J$400="개인차16",ROW(통합!$J$1:$J$400)),5)),"")</f>
        <v/>
      </c>
      <c r="I158" s="42">
        <f t="array" ref="I158:I158">IFERROR(INDEX(통합!$B$1:$B$400,SMALL(IF(통합!$J$1:$J$400="개인차16",ROW(통합!$J$1:$J$400)),5)),"")</f>
        <v/>
      </c>
      <c r="J158" s="42">
        <f t="array" ref="J158:J158">IFERROR(INDEX(통합!$C$1:$C$400,SMALL(IF(통합!$J$1:$J$400="개인차16",ROW(통합!$J$1:$J$400)),5)),"")</f>
        <v/>
      </c>
      <c r="K158" s="42" t="n"/>
    </row>
    <row r="159" ht="19.5" customHeight="1" s="33">
      <c r="A159" s="43" t="n">
        <v>6</v>
      </c>
      <c r="B159" s="44">
        <f t="array" ref="B159:B159">IFERROR(INDEX(통합!$A$1:$A$400,SMALL(IF(통합!$I$1:$I$400="개인차16",ROW(통합!$I$1:$I$400)),6)),"")</f>
        <v/>
      </c>
      <c r="C159" s="44">
        <f t="array" ref="C159:C159">IFERROR(INDEX(통합!$B$1:$B$400,SMALL(IF(통합!$I$1:$I$400="개인차16",ROW(통합!$I$1:$I$400)),6)),"")</f>
        <v/>
      </c>
      <c r="D159" s="44">
        <f t="array" ref="D159:D159">IFERROR(INDEX(통합!$C$1:$C$400,SMALL(IF(통합!$I$1:$I$400="개인차16",ROW(통합!$I$1:$I$400)),6)),"")</f>
        <v/>
      </c>
      <c r="E159" s="44" t="n"/>
      <c r="H159" s="44">
        <f t="array" ref="H159:H159">IFERROR(INDEX(통합!$A$1:$A$400,SMALL(IF(통합!$J$1:$J$400="개인차16",ROW(통합!$J$1:$J$400)),6)),"")</f>
        <v/>
      </c>
      <c r="I159" s="44">
        <f t="array" ref="I159:I159">IFERROR(INDEX(통합!$B$1:$B$400,SMALL(IF(통합!$J$1:$J$400="개인차16",ROW(통합!$J$1:$J$400)),6)),"")</f>
        <v/>
      </c>
      <c r="J159" s="44">
        <f t="array" ref="J159:J159">IFERROR(INDEX(통합!$C$1:$C$400,SMALL(IF(통합!$J$1:$J$400="개인차16",ROW(통합!$J$1:$J$400)),6)),"")</f>
        <v/>
      </c>
      <c r="K159" s="44" t="n"/>
    </row>
    <row r="160" ht="19.5" customHeight="1" s="33">
      <c r="A160" s="41" t="n">
        <v>7</v>
      </c>
      <c r="B160" s="42">
        <f t="array" ref="B160:B160">IFERROR(INDEX(통합!$A$1:$A$400,SMALL(IF(통합!$I$1:$I$400="개인차16",ROW(통합!$I$1:$I$400)),7)),"")</f>
        <v/>
      </c>
      <c r="C160" s="42">
        <f t="array" ref="C160:C160">IFERROR(INDEX(통합!$B$1:$B$400,SMALL(IF(통합!$I$1:$I$400="개인차16",ROW(통합!$I$1:$I$400)),7)),"")</f>
        <v/>
      </c>
      <c r="D160" s="42">
        <f t="array" ref="D160:D160">IFERROR(INDEX(통합!$C$1:$C$400,SMALL(IF(통합!$I$1:$I$400="개인차16",ROW(통합!$I$1:$I$400)),7)),"")</f>
        <v/>
      </c>
      <c r="E160" s="42" t="n"/>
      <c r="H160" s="42">
        <f t="array" ref="H160:H160">IFERROR(INDEX(통합!$A$1:$A$400,SMALL(IF(통합!$J$1:$J$400="개인차16",ROW(통합!$J$1:$J$400)),7)),"")</f>
        <v/>
      </c>
      <c r="I160" s="42">
        <f t="array" ref="I160:I160">IFERROR(INDEX(통합!$B$1:$B$400,SMALL(IF(통합!$J$1:$J$400="개인차16",ROW(통합!$J$1:$J$400)),7)),"")</f>
        <v/>
      </c>
      <c r="J160" s="42">
        <f t="array" ref="J160:J160">IFERROR(INDEX(통합!$C$1:$C$400,SMALL(IF(통합!$J$1:$J$400="개인차16",ROW(통합!$J$1:$J$400)),7)),"")</f>
        <v/>
      </c>
      <c r="K160" s="42" t="n"/>
    </row>
    <row r="161" ht="23.85" customHeight="1" s="33">
      <c r="A161" s="47" t="inlineStr">
        <is>
          <t>개인차17</t>
        </is>
      </c>
      <c r="B161" s="35" t="n"/>
      <c r="C161" s="35" t="n"/>
      <c r="D161" s="35" t="n"/>
      <c r="E161" s="35" t="n"/>
      <c r="F161" s="35" t="n"/>
      <c r="G161" s="35" t="n"/>
      <c r="H161" s="35" t="n"/>
      <c r="I161" s="35" t="n"/>
      <c r="J161" s="35" t="n"/>
      <c r="K161" s="35" t="n"/>
    </row>
    <row r="162" ht="15" customHeight="1" s="33">
      <c r="A162" s="64" t="inlineStr">
        <is>
          <t>상행</t>
        </is>
      </c>
      <c r="B162" s="35" t="n"/>
      <c r="C162" s="35" t="n"/>
      <c r="D162" s="35" t="n"/>
      <c r="E162" s="35" t="n"/>
      <c r="G162" s="64" t="inlineStr">
        <is>
          <t>하행</t>
        </is>
      </c>
      <c r="H162" s="35" t="n"/>
      <c r="I162" s="35" t="n"/>
      <c r="J162" s="35" t="n"/>
      <c r="K162" s="35" t="n"/>
    </row>
    <row r="163" ht="15" customHeight="1" s="33">
      <c r="A163" s="48" t="inlineStr">
        <is>
          <t>no</t>
        </is>
      </c>
      <c r="B163" s="49" t="inlineStr">
        <is>
          <t>구역</t>
        </is>
      </c>
      <c r="C163" s="49" t="inlineStr">
        <is>
          <t>회</t>
        </is>
      </c>
      <c r="D163" s="49" t="inlineStr">
        <is>
          <t>성 명</t>
        </is>
      </c>
      <c r="E163" s="49" t="inlineStr">
        <is>
          <t>비고</t>
        </is>
      </c>
      <c r="G163" s="48" t="inlineStr">
        <is>
          <t>no</t>
        </is>
      </c>
      <c r="H163" s="49" t="inlineStr">
        <is>
          <t>구역</t>
        </is>
      </c>
      <c r="I163" s="49" t="inlineStr">
        <is>
          <t>회</t>
        </is>
      </c>
      <c r="J163" s="49" t="inlineStr">
        <is>
          <t>성 명</t>
        </is>
      </c>
      <c r="K163" s="49" t="inlineStr">
        <is>
          <t>비고</t>
        </is>
      </c>
    </row>
    <row r="164" ht="19.5" customHeight="1" s="33">
      <c r="A164" s="41" t="n">
        <v>1</v>
      </c>
      <c r="B164" s="42">
        <f t="array" ref="B164:B164">IFERROR(INDEX(통합!$A$1:$A$400,SMALL(IF(통합!$I$1:$I$400="개인차17",ROW(통합!$I$1:$I$400)),1)),"")</f>
        <v/>
      </c>
      <c r="C164" s="42">
        <f t="array" ref="C164:C164">IFERROR(INDEX(통합!$B$1:$B$400,SMALL(IF(통합!$I$1:$I$400="개인차17",ROW(통합!$I$1:$I$400)),1)),"")</f>
        <v/>
      </c>
      <c r="D164" s="42">
        <f t="array" ref="D164:D164">IFERROR(INDEX(통합!$C$1:$C$400,SMALL(IF(통합!$I$1:$I$400="개인차17",ROW(통합!$I$1:$I$400)),1)),"")</f>
        <v/>
      </c>
      <c r="E164" s="42" t="n"/>
      <c r="H164" s="42">
        <f t="array" ref="H164:H164">IFERROR(INDEX(통합!$A$1:$A$400,SMALL(IF(통합!$J$1:$J$400="개인차17",ROW(통합!$J$1:$J$400)),1)),"")</f>
        <v/>
      </c>
      <c r="I164" s="42">
        <f t="array" ref="I164:I164">IFERROR(INDEX(통합!$B$1:$B$400,SMALL(IF(통합!$J$1:$J$400="개인차17",ROW(통합!$J$1:$J$400)),1)),"")</f>
        <v/>
      </c>
      <c r="J164" s="42">
        <f t="array" ref="J164:J164">IFERROR(INDEX(통합!$C$1:$C$400,SMALL(IF(통합!$J$1:$J$400="개인차17",ROW(통합!$J$1:$J$400)),1)),"")</f>
        <v/>
      </c>
      <c r="K164" s="42" t="n"/>
    </row>
    <row r="165" ht="19.5" customHeight="1" s="33">
      <c r="A165" s="43" t="n">
        <v>2</v>
      </c>
      <c r="B165" s="44">
        <f t="array" ref="B165:B165">IFERROR(INDEX(통합!$A$1:$A$400,SMALL(IF(통합!$I$1:$I$400="개인차17",ROW(통합!$I$1:$I$400)),2)),"")</f>
        <v/>
      </c>
      <c r="C165" s="44">
        <f t="array" ref="C165:C165">IFERROR(INDEX(통합!$B$1:$B$400,SMALL(IF(통합!$I$1:$I$400="개인차17",ROW(통합!$I$1:$I$400)),2)),"")</f>
        <v/>
      </c>
      <c r="D165" s="44">
        <f t="array" ref="D165:D165">IFERROR(INDEX(통합!$C$1:$C$400,SMALL(IF(통합!$I$1:$I$400="개인차17",ROW(통합!$I$1:$I$400)),2)),"")</f>
        <v/>
      </c>
      <c r="E165" s="44" t="n"/>
      <c r="H165" s="44">
        <f t="array" ref="H165:H165">IFERROR(INDEX(통합!$A$1:$A$400,SMALL(IF(통합!$J$1:$J$400="개인차17",ROW(통합!$J$1:$J$400)),2)),"")</f>
        <v/>
      </c>
      <c r="I165" s="44">
        <f t="array" ref="I165:I165">IFERROR(INDEX(통합!$B$1:$B$400,SMALL(IF(통합!$J$1:$J$400="개인차17",ROW(통합!$J$1:$J$400)),2)),"")</f>
        <v/>
      </c>
      <c r="J165" s="44">
        <f t="array" ref="J165:J165">IFERROR(INDEX(통합!$C$1:$C$400,SMALL(IF(통합!$J$1:$J$400="개인차17",ROW(통합!$J$1:$J$400)),2)),"")</f>
        <v/>
      </c>
      <c r="K165" s="44" t="n"/>
    </row>
    <row r="166" ht="19.5" customHeight="1" s="33">
      <c r="A166" s="41" t="n">
        <v>3</v>
      </c>
      <c r="B166" s="42">
        <f t="array" ref="B166:B166">IFERROR(INDEX(통합!$A$1:$A$400,SMALL(IF(통합!$I$1:$I$400="개인차17",ROW(통합!$I$1:$I$400)),3)),"")</f>
        <v/>
      </c>
      <c r="C166" s="42">
        <f t="array" ref="C166:C166">IFERROR(INDEX(통합!$B$1:$B$400,SMALL(IF(통합!$I$1:$I$400="개인차17",ROW(통합!$I$1:$I$400)),3)),"")</f>
        <v/>
      </c>
      <c r="D166" s="42">
        <f t="array" ref="D166:D166">IFERROR(INDEX(통합!$C$1:$C$400,SMALL(IF(통합!$I$1:$I$400="개인차17",ROW(통합!$I$1:$I$400)),3)),"")</f>
        <v/>
      </c>
      <c r="E166" s="42" t="n"/>
      <c r="H166" s="42">
        <f t="array" ref="H166:H166">IFERROR(INDEX(통합!$A$1:$A$400,SMALL(IF(통합!$J$1:$J$400="개인차17",ROW(통합!$J$1:$J$400)),3)),"")</f>
        <v/>
      </c>
      <c r="I166" s="42">
        <f t="array" ref="I166:I166">IFERROR(INDEX(통합!$B$1:$B$400,SMALL(IF(통합!$J$1:$J$400="개인차17",ROW(통합!$J$1:$J$400)),3)),"")</f>
        <v/>
      </c>
      <c r="J166" s="42">
        <f t="array" ref="J166:J166">IFERROR(INDEX(통합!$C$1:$C$400,SMALL(IF(통합!$J$1:$J$400="개인차17",ROW(통합!$J$1:$J$400)),3)),"")</f>
        <v/>
      </c>
      <c r="K166" s="42" t="n"/>
    </row>
    <row r="167" ht="19.5" customHeight="1" s="33">
      <c r="A167" s="43" t="n">
        <v>4</v>
      </c>
      <c r="B167" s="44">
        <f t="array" ref="B167:B167">IFERROR(INDEX(통합!$A$1:$A$400,SMALL(IF(통합!$I$1:$I$400="개인차17",ROW(통합!$I$1:$I$400)),4)),"")</f>
        <v/>
      </c>
      <c r="C167" s="44">
        <f t="array" ref="C167:C167">IFERROR(INDEX(통합!$B$1:$B$400,SMALL(IF(통합!$I$1:$I$400="개인차17",ROW(통합!$I$1:$I$400)),4)),"")</f>
        <v/>
      </c>
      <c r="D167" s="44">
        <f t="array" ref="D167:D167">IFERROR(INDEX(통합!$C$1:$C$400,SMALL(IF(통합!$I$1:$I$400="개인차17",ROW(통합!$I$1:$I$400)),4)),"")</f>
        <v/>
      </c>
      <c r="E167" s="44" t="n"/>
      <c r="H167" s="44">
        <f t="array" ref="H167:H167">IFERROR(INDEX(통합!$A$1:$A$400,SMALL(IF(통합!$J$1:$J$400="개인차17",ROW(통합!$J$1:$J$400)),4)),"")</f>
        <v/>
      </c>
      <c r="I167" s="44">
        <f t="array" ref="I167:I167">IFERROR(INDEX(통합!$B$1:$B$400,SMALL(IF(통합!$J$1:$J$400="개인차17",ROW(통합!$J$1:$J$400)),4)),"")</f>
        <v/>
      </c>
      <c r="J167" s="44">
        <f t="array" ref="J167:J167">IFERROR(INDEX(통합!$C$1:$C$400,SMALL(IF(통합!$J$1:$J$400="개인차17",ROW(통합!$J$1:$J$400)),4)),"")</f>
        <v/>
      </c>
      <c r="K167" s="44" t="n"/>
    </row>
    <row r="168" ht="19.5" customHeight="1" s="33">
      <c r="A168" s="41" t="n">
        <v>5</v>
      </c>
      <c r="B168" s="42">
        <f t="array" ref="B168:B168">IFERROR(INDEX(통합!$A$1:$A$400,SMALL(IF(통합!$I$1:$I$400="개인차17",ROW(통합!$I$1:$I$400)),5)),"")</f>
        <v/>
      </c>
      <c r="C168" s="42">
        <f t="array" ref="C168:C168">IFERROR(INDEX(통합!$B$1:$B$400,SMALL(IF(통합!$I$1:$I$400="개인차17",ROW(통합!$I$1:$I$400)),5)),"")</f>
        <v/>
      </c>
      <c r="D168" s="42">
        <f t="array" ref="D168:D168">IFERROR(INDEX(통합!$C$1:$C$400,SMALL(IF(통합!$I$1:$I$400="개인차17",ROW(통합!$I$1:$I$400)),5)),"")</f>
        <v/>
      </c>
      <c r="E168" s="42" t="n"/>
      <c r="H168" s="42">
        <f t="array" ref="H168:H168">IFERROR(INDEX(통합!$A$1:$A$400,SMALL(IF(통합!$J$1:$J$400="개인차17",ROW(통합!$J$1:$J$400)),5)),"")</f>
        <v/>
      </c>
      <c r="I168" s="42">
        <f t="array" ref="I168:I168">IFERROR(INDEX(통합!$B$1:$B$400,SMALL(IF(통합!$J$1:$J$400="개인차17",ROW(통합!$J$1:$J$400)),5)),"")</f>
        <v/>
      </c>
      <c r="J168" s="42">
        <f t="array" ref="J168:J168">IFERROR(INDEX(통합!$C$1:$C$400,SMALL(IF(통합!$J$1:$J$400="개인차17",ROW(통합!$J$1:$J$400)),5)),"")</f>
        <v/>
      </c>
      <c r="K168" s="42" t="n"/>
    </row>
    <row r="169" ht="19.5" customHeight="1" s="33">
      <c r="A169" s="43" t="n">
        <v>6</v>
      </c>
      <c r="B169" s="44">
        <f t="array" ref="B169:B169">IFERROR(INDEX(통합!$A$1:$A$400,SMALL(IF(통합!$I$1:$I$400="개인차17",ROW(통합!$I$1:$I$400)),6)),"")</f>
        <v/>
      </c>
      <c r="C169" s="44">
        <f t="array" ref="C169:C169">IFERROR(INDEX(통합!$B$1:$B$400,SMALL(IF(통합!$I$1:$I$400="개인차17",ROW(통합!$I$1:$I$400)),6)),"")</f>
        <v/>
      </c>
      <c r="D169" s="44">
        <f t="array" ref="D169:D169">IFERROR(INDEX(통합!$C$1:$C$400,SMALL(IF(통합!$I$1:$I$400="개인차17",ROW(통합!$I$1:$I$400)),6)),"")</f>
        <v/>
      </c>
      <c r="E169" s="44" t="n"/>
      <c r="H169" s="44">
        <f t="array" ref="H169:H169">IFERROR(INDEX(통합!$A$1:$A$400,SMALL(IF(통합!$J$1:$J$400="개인차17",ROW(통합!$J$1:$J$400)),6)),"")</f>
        <v/>
      </c>
      <c r="I169" s="44">
        <f t="array" ref="I169:I169">IFERROR(INDEX(통합!$B$1:$B$400,SMALL(IF(통합!$J$1:$J$400="개인차17",ROW(통합!$J$1:$J$400)),6)),"")</f>
        <v/>
      </c>
      <c r="J169" s="44">
        <f t="array" ref="J169:J169">IFERROR(INDEX(통합!$C$1:$C$400,SMALL(IF(통합!$J$1:$J$400="개인차17",ROW(통합!$J$1:$J$400)),6)),"")</f>
        <v/>
      </c>
      <c r="K169" s="44" t="n"/>
    </row>
    <row r="170" ht="19.5" customHeight="1" s="33">
      <c r="A170" s="41" t="n">
        <v>7</v>
      </c>
      <c r="B170" s="42">
        <f t="array" ref="B170:B170">IFERROR(INDEX(통합!$A$1:$A$400,SMALL(IF(통합!$I$1:$I$400="개인차17",ROW(통합!$I$1:$I$400)),7)),"")</f>
        <v/>
      </c>
      <c r="C170" s="42">
        <f t="array" ref="C170:C170">IFERROR(INDEX(통합!$B$1:$B$400,SMALL(IF(통합!$I$1:$I$400="개인차17",ROW(통합!$I$1:$I$400)),7)),"")</f>
        <v/>
      </c>
      <c r="D170" s="42">
        <f t="array" ref="D170:D170">IFERROR(INDEX(통합!$C$1:$C$400,SMALL(IF(통합!$I$1:$I$400="개인차17",ROW(통합!$I$1:$I$400)),7)),"")</f>
        <v/>
      </c>
      <c r="E170" s="42" t="n"/>
      <c r="H170" s="42">
        <f t="array" ref="H170:H170">IFERROR(INDEX(통합!$A$1:$A$400,SMALL(IF(통합!$J$1:$J$400="개인차17",ROW(통합!$J$1:$J$400)),7)),"")</f>
        <v/>
      </c>
      <c r="I170" s="42">
        <f t="array" ref="I170:I170">IFERROR(INDEX(통합!$B$1:$B$400,SMALL(IF(통합!$J$1:$J$400="개인차17",ROW(통합!$J$1:$J$400)),7)),"")</f>
        <v/>
      </c>
      <c r="J170" s="42">
        <f t="array" ref="J170:J170">IFERROR(INDEX(통합!$C$1:$C$400,SMALL(IF(통합!$J$1:$J$400="개인차17",ROW(통합!$J$1:$J$400)),7)),"")</f>
        <v/>
      </c>
      <c r="K170" s="42" t="n"/>
    </row>
    <row r="171" ht="23.85" customHeight="1" s="33">
      <c r="A171" s="47" t="inlineStr">
        <is>
          <t>개인차18</t>
        </is>
      </c>
      <c r="B171" s="35" t="n"/>
      <c r="C171" s="35" t="n"/>
      <c r="D171" s="35" t="n"/>
      <c r="E171" s="35" t="n"/>
      <c r="F171" s="35" t="n"/>
      <c r="G171" s="35" t="n"/>
      <c r="H171" s="35" t="n"/>
      <c r="I171" s="35" t="n"/>
      <c r="J171" s="35" t="n"/>
      <c r="K171" s="35" t="n"/>
    </row>
    <row r="172" ht="15" customHeight="1" s="33">
      <c r="A172" s="64" t="inlineStr">
        <is>
          <t>상행</t>
        </is>
      </c>
      <c r="B172" s="35" t="n"/>
      <c r="C172" s="35" t="n"/>
      <c r="D172" s="35" t="n"/>
      <c r="E172" s="35" t="n"/>
      <c r="G172" s="64" t="inlineStr">
        <is>
          <t>하행</t>
        </is>
      </c>
      <c r="H172" s="35" t="n"/>
      <c r="I172" s="35" t="n"/>
      <c r="J172" s="35" t="n"/>
      <c r="K172" s="35" t="n"/>
    </row>
    <row r="173" ht="15" customHeight="1" s="33">
      <c r="A173" s="48" t="inlineStr">
        <is>
          <t>no</t>
        </is>
      </c>
      <c r="B173" s="49" t="inlineStr">
        <is>
          <t>구역</t>
        </is>
      </c>
      <c r="C173" s="49" t="inlineStr">
        <is>
          <t>회</t>
        </is>
      </c>
      <c r="D173" s="49" t="inlineStr">
        <is>
          <t>성 명</t>
        </is>
      </c>
      <c r="E173" s="49" t="inlineStr">
        <is>
          <t>비고</t>
        </is>
      </c>
      <c r="G173" s="48" t="inlineStr">
        <is>
          <t>no</t>
        </is>
      </c>
      <c r="H173" s="49" t="inlineStr">
        <is>
          <t>구역</t>
        </is>
      </c>
      <c r="I173" s="49" t="inlineStr">
        <is>
          <t>회</t>
        </is>
      </c>
      <c r="J173" s="49" t="inlineStr">
        <is>
          <t>성 명</t>
        </is>
      </c>
      <c r="K173" s="49" t="inlineStr">
        <is>
          <t>비고</t>
        </is>
      </c>
    </row>
    <row r="174" ht="19.5" customHeight="1" s="33">
      <c r="A174" s="41" t="n">
        <v>1</v>
      </c>
      <c r="B174" s="42">
        <f t="array" ref="B174:B174">IFERROR(INDEX(통합!$A$1:$A$400,SMALL(IF(통합!$I$1:$I$400="개인차18",ROW(통합!$I$1:$I$400)),1)),"")</f>
        <v/>
      </c>
      <c r="C174" s="42">
        <f t="array" ref="C174:C174">IFERROR(INDEX(통합!$B$1:$B$400,SMALL(IF(통합!$I$1:$I$400="개인차18",ROW(통합!$I$1:$I$400)),1)),"")</f>
        <v/>
      </c>
      <c r="D174" s="42">
        <f t="array" ref="D174:D174">IFERROR(INDEX(통합!$C$1:$C$400,SMALL(IF(통합!$I$1:$I$400="개인차18",ROW(통합!$I$1:$I$400)),1)),"")</f>
        <v/>
      </c>
      <c r="E174" s="42" t="n"/>
      <c r="H174" s="42">
        <f t="array" ref="H174:H174">IFERROR(INDEX(통합!$A$1:$A$400,SMALL(IF(통합!$J$1:$J$400="개인차18",ROW(통합!$J$1:$J$400)),1)),"")</f>
        <v/>
      </c>
      <c r="I174" s="42">
        <f t="array" ref="I174:I174">IFERROR(INDEX(통합!$B$1:$B$400,SMALL(IF(통합!$J$1:$J$400="개인차18",ROW(통합!$J$1:$J$400)),1)),"")</f>
        <v/>
      </c>
      <c r="J174" s="42">
        <f t="array" ref="J174:J174">IFERROR(INDEX(통합!$C$1:$C$400,SMALL(IF(통합!$J$1:$J$400="개인차18",ROW(통합!$J$1:$J$400)),1)),"")</f>
        <v/>
      </c>
      <c r="K174" s="42" t="n"/>
    </row>
    <row r="175" ht="19.5" customHeight="1" s="33">
      <c r="A175" s="43" t="n">
        <v>2</v>
      </c>
      <c r="B175" s="44">
        <f t="array" ref="B175:B175">IFERROR(INDEX(통합!$A$1:$A$400,SMALL(IF(통합!$I$1:$I$400="개인차18",ROW(통합!$I$1:$I$400)),2)),"")</f>
        <v/>
      </c>
      <c r="C175" s="44">
        <f t="array" ref="C175:C175">IFERROR(INDEX(통합!$B$1:$B$400,SMALL(IF(통합!$I$1:$I$400="개인차18",ROW(통합!$I$1:$I$400)),2)),"")</f>
        <v/>
      </c>
      <c r="D175" s="44">
        <f t="array" ref="D175:D175">IFERROR(INDEX(통합!$C$1:$C$400,SMALL(IF(통합!$I$1:$I$400="개인차18",ROW(통합!$I$1:$I$400)),2)),"")</f>
        <v/>
      </c>
      <c r="E175" s="44" t="n"/>
      <c r="H175" s="44">
        <f t="array" ref="H175:H175">IFERROR(INDEX(통합!$A$1:$A$400,SMALL(IF(통합!$J$1:$J$400="개인차18",ROW(통합!$J$1:$J$400)),2)),"")</f>
        <v/>
      </c>
      <c r="I175" s="44">
        <f t="array" ref="I175:I175">IFERROR(INDEX(통합!$B$1:$B$400,SMALL(IF(통합!$J$1:$J$400="개인차18",ROW(통합!$J$1:$J$400)),2)),"")</f>
        <v/>
      </c>
      <c r="J175" s="44">
        <f t="array" ref="J175:J175">IFERROR(INDEX(통합!$C$1:$C$400,SMALL(IF(통합!$J$1:$J$400="개인차18",ROW(통합!$J$1:$J$400)),2)),"")</f>
        <v/>
      </c>
      <c r="K175" s="44" t="n"/>
    </row>
    <row r="176" ht="19.5" customHeight="1" s="33">
      <c r="A176" s="41" t="n">
        <v>3</v>
      </c>
      <c r="B176" s="42">
        <f t="array" ref="B176:B176">IFERROR(INDEX(통합!$A$1:$A$400,SMALL(IF(통합!$I$1:$I$400="개인차18",ROW(통합!$I$1:$I$400)),3)),"")</f>
        <v/>
      </c>
      <c r="C176" s="42">
        <f t="array" ref="C176:C176">IFERROR(INDEX(통합!$B$1:$B$400,SMALL(IF(통합!$I$1:$I$400="개인차18",ROW(통합!$I$1:$I$400)),3)),"")</f>
        <v/>
      </c>
      <c r="D176" s="42">
        <f t="array" ref="D176:D176">IFERROR(INDEX(통합!$C$1:$C$400,SMALL(IF(통합!$I$1:$I$400="개인차18",ROW(통합!$I$1:$I$400)),3)),"")</f>
        <v/>
      </c>
      <c r="E176" s="42" t="n"/>
      <c r="H176" s="42">
        <f t="array" ref="H176:H176">IFERROR(INDEX(통합!$A$1:$A$400,SMALL(IF(통합!$J$1:$J$400="개인차18",ROW(통합!$J$1:$J$400)),3)),"")</f>
        <v/>
      </c>
      <c r="I176" s="42">
        <f t="array" ref="I176:I176">IFERROR(INDEX(통합!$B$1:$B$400,SMALL(IF(통합!$J$1:$J$400="개인차18",ROW(통합!$J$1:$J$400)),3)),"")</f>
        <v/>
      </c>
      <c r="J176" s="42">
        <f t="array" ref="J176:J176">IFERROR(INDEX(통합!$C$1:$C$400,SMALL(IF(통합!$J$1:$J$400="개인차18",ROW(통합!$J$1:$J$400)),3)),"")</f>
        <v/>
      </c>
      <c r="K176" s="42" t="n"/>
    </row>
    <row r="177" ht="19.5" customHeight="1" s="33">
      <c r="A177" s="43" t="n">
        <v>4</v>
      </c>
      <c r="B177" s="44">
        <f t="array" ref="B177:B177">IFERROR(INDEX(통합!$A$1:$A$400,SMALL(IF(통합!$I$1:$I$400="개인차18",ROW(통합!$I$1:$I$400)),4)),"")</f>
        <v/>
      </c>
      <c r="C177" s="44">
        <f t="array" ref="C177:C177">IFERROR(INDEX(통합!$B$1:$B$400,SMALL(IF(통합!$I$1:$I$400="개인차18",ROW(통합!$I$1:$I$400)),4)),"")</f>
        <v/>
      </c>
      <c r="D177" s="44">
        <f t="array" ref="D177:D177">IFERROR(INDEX(통합!$C$1:$C$400,SMALL(IF(통합!$I$1:$I$400="개인차18",ROW(통합!$I$1:$I$400)),4)),"")</f>
        <v/>
      </c>
      <c r="E177" s="44" t="n"/>
      <c r="H177" s="44">
        <f t="array" ref="H177:H177">IFERROR(INDEX(통합!$A$1:$A$400,SMALL(IF(통합!$J$1:$J$400="개인차18",ROW(통합!$J$1:$J$400)),4)),"")</f>
        <v/>
      </c>
      <c r="I177" s="44">
        <f t="array" ref="I177:I177">IFERROR(INDEX(통합!$B$1:$B$400,SMALL(IF(통합!$J$1:$J$400="개인차18",ROW(통합!$J$1:$J$400)),4)),"")</f>
        <v/>
      </c>
      <c r="J177" s="44">
        <f t="array" ref="J177:J177">IFERROR(INDEX(통합!$C$1:$C$400,SMALL(IF(통합!$J$1:$J$400="개인차18",ROW(통합!$J$1:$J$400)),4)),"")</f>
        <v/>
      </c>
      <c r="K177" s="44" t="n"/>
    </row>
    <row r="178" ht="19.5" customHeight="1" s="33">
      <c r="A178" s="41" t="n">
        <v>5</v>
      </c>
      <c r="B178" s="42">
        <f t="array" ref="B178:B178">IFERROR(INDEX(통합!$A$1:$A$400,SMALL(IF(통합!$I$1:$I$400="개인차18",ROW(통합!$I$1:$I$400)),5)),"")</f>
        <v/>
      </c>
      <c r="C178" s="42">
        <f t="array" ref="C178:C178">IFERROR(INDEX(통합!$B$1:$B$400,SMALL(IF(통합!$I$1:$I$400="개인차18",ROW(통합!$I$1:$I$400)),5)),"")</f>
        <v/>
      </c>
      <c r="D178" s="42">
        <f t="array" ref="D178:D178">IFERROR(INDEX(통합!$C$1:$C$400,SMALL(IF(통합!$I$1:$I$400="개인차18",ROW(통합!$I$1:$I$400)),5)),"")</f>
        <v/>
      </c>
      <c r="E178" s="42" t="n"/>
      <c r="H178" s="42">
        <f t="array" ref="H178:H178">IFERROR(INDEX(통합!$A$1:$A$400,SMALL(IF(통합!$J$1:$J$400="개인차18",ROW(통합!$J$1:$J$400)),5)),"")</f>
        <v/>
      </c>
      <c r="I178" s="42">
        <f t="array" ref="I178:I178">IFERROR(INDEX(통합!$B$1:$B$400,SMALL(IF(통합!$J$1:$J$400="개인차18",ROW(통합!$J$1:$J$400)),5)),"")</f>
        <v/>
      </c>
      <c r="J178" s="42">
        <f t="array" ref="J178:J178">IFERROR(INDEX(통합!$C$1:$C$400,SMALL(IF(통합!$J$1:$J$400="개인차18",ROW(통합!$J$1:$J$400)),5)),"")</f>
        <v/>
      </c>
      <c r="K178" s="42" t="n"/>
    </row>
    <row r="179" ht="19.5" customHeight="1" s="33">
      <c r="A179" s="43" t="n">
        <v>6</v>
      </c>
      <c r="B179" s="44">
        <f t="array" ref="B179:B179">IFERROR(INDEX(통합!$A$1:$A$400,SMALL(IF(통합!$I$1:$I$400="개인차18",ROW(통합!$I$1:$I$400)),6)),"")</f>
        <v/>
      </c>
      <c r="C179" s="44">
        <f t="array" ref="C179:C179">IFERROR(INDEX(통합!$B$1:$B$400,SMALL(IF(통합!$I$1:$I$400="개인차18",ROW(통합!$I$1:$I$400)),6)),"")</f>
        <v/>
      </c>
      <c r="D179" s="44">
        <f t="array" ref="D179:D179">IFERROR(INDEX(통합!$C$1:$C$400,SMALL(IF(통합!$I$1:$I$400="개인차18",ROW(통합!$I$1:$I$400)),6)),"")</f>
        <v/>
      </c>
      <c r="E179" s="44" t="n"/>
      <c r="H179" s="44">
        <f t="array" ref="H179:H179">IFERROR(INDEX(통합!$A$1:$A$400,SMALL(IF(통합!$J$1:$J$400="개인차18",ROW(통합!$J$1:$J$400)),6)),"")</f>
        <v/>
      </c>
      <c r="I179" s="44">
        <f t="array" ref="I179:I179">IFERROR(INDEX(통합!$B$1:$B$400,SMALL(IF(통합!$J$1:$J$400="개인차18",ROW(통합!$J$1:$J$400)),6)),"")</f>
        <v/>
      </c>
      <c r="J179" s="44">
        <f t="array" ref="J179:J179">IFERROR(INDEX(통합!$C$1:$C$400,SMALL(IF(통합!$J$1:$J$400="개인차18",ROW(통합!$J$1:$J$400)),6)),"")</f>
        <v/>
      </c>
      <c r="K179" s="44" t="n"/>
    </row>
    <row r="180" ht="19.5" customHeight="1" s="33">
      <c r="A180" s="41" t="n">
        <v>7</v>
      </c>
      <c r="B180" s="42">
        <f t="array" ref="B180:B180">IFERROR(INDEX(통합!$A$1:$A$400,SMALL(IF(통합!$I$1:$I$400="개인차18",ROW(통합!$I$1:$I$400)),7)),"")</f>
        <v/>
      </c>
      <c r="C180" s="42">
        <f t="array" ref="C180:C180">IFERROR(INDEX(통합!$B$1:$B$400,SMALL(IF(통합!$I$1:$I$400="개인차18",ROW(통합!$I$1:$I$400)),7)),"")</f>
        <v/>
      </c>
      <c r="D180" s="42">
        <f t="array" ref="D180:D180">IFERROR(INDEX(통합!$C$1:$C$400,SMALL(IF(통합!$I$1:$I$400="개인차18",ROW(통합!$I$1:$I$400)),7)),"")</f>
        <v/>
      </c>
      <c r="E180" s="42" t="n"/>
      <c r="H180" s="42">
        <f t="array" ref="H180:H180">IFERROR(INDEX(통합!$A$1:$A$400,SMALL(IF(통합!$J$1:$J$400="개인차18",ROW(통합!$J$1:$J$400)),7)),"")</f>
        <v/>
      </c>
      <c r="I180" s="42">
        <f t="array" ref="I180:I180">IFERROR(INDEX(통합!$B$1:$B$400,SMALL(IF(통합!$J$1:$J$400="개인차18",ROW(통합!$J$1:$J$400)),7)),"")</f>
        <v/>
      </c>
      <c r="J180" s="42">
        <f t="array" ref="J180:J180">IFERROR(INDEX(통합!$C$1:$C$400,SMALL(IF(통합!$J$1:$J$400="개인차18",ROW(통합!$J$1:$J$400)),7)),"")</f>
        <v/>
      </c>
      <c r="K180" s="42" t="n"/>
    </row>
    <row r="181" ht="23.85" customHeight="1" s="33">
      <c r="A181" s="47" t="inlineStr">
        <is>
          <t>개인차19</t>
        </is>
      </c>
      <c r="B181" s="35" t="n"/>
      <c r="C181" s="35" t="n"/>
      <c r="D181" s="35" t="n"/>
      <c r="E181" s="35" t="n"/>
      <c r="F181" s="35" t="n"/>
      <c r="G181" s="35" t="n"/>
      <c r="H181" s="35" t="n"/>
      <c r="I181" s="35" t="n"/>
      <c r="J181" s="35" t="n"/>
      <c r="K181" s="35" t="n"/>
    </row>
    <row r="182" ht="15" customHeight="1" s="33">
      <c r="A182" s="64" t="inlineStr">
        <is>
          <t>상행</t>
        </is>
      </c>
      <c r="B182" s="35" t="n"/>
      <c r="C182" s="35" t="n"/>
      <c r="D182" s="35" t="n"/>
      <c r="E182" s="35" t="n"/>
      <c r="G182" s="64" t="inlineStr">
        <is>
          <t>하행</t>
        </is>
      </c>
      <c r="H182" s="35" t="n"/>
      <c r="I182" s="35" t="n"/>
      <c r="J182" s="35" t="n"/>
      <c r="K182" s="35" t="n"/>
    </row>
    <row r="183" ht="15" customHeight="1" s="33">
      <c r="A183" s="48" t="inlineStr">
        <is>
          <t>no</t>
        </is>
      </c>
      <c r="B183" s="49" t="inlineStr">
        <is>
          <t>구역</t>
        </is>
      </c>
      <c r="C183" s="49" t="inlineStr">
        <is>
          <t>회</t>
        </is>
      </c>
      <c r="D183" s="49" t="inlineStr">
        <is>
          <t>성 명</t>
        </is>
      </c>
      <c r="E183" s="49" t="inlineStr">
        <is>
          <t>비고</t>
        </is>
      </c>
      <c r="G183" s="48" t="inlineStr">
        <is>
          <t>no</t>
        </is>
      </c>
      <c r="H183" s="49" t="inlineStr">
        <is>
          <t>구역</t>
        </is>
      </c>
      <c r="I183" s="49" t="inlineStr">
        <is>
          <t>회</t>
        </is>
      </c>
      <c r="J183" s="49" t="inlineStr">
        <is>
          <t>성 명</t>
        </is>
      </c>
      <c r="K183" s="49" t="inlineStr">
        <is>
          <t>비고</t>
        </is>
      </c>
    </row>
    <row r="184" ht="19.5" customHeight="1" s="33">
      <c r="A184" s="41" t="n">
        <v>1</v>
      </c>
      <c r="B184" s="42">
        <f t="array" ref="B184:B184">IFERROR(INDEX(통합!$A$1:$A$400,SMALL(IF(통합!$I$1:$I$400="개인차19",ROW(통합!$I$1:$I$400)),1)),"")</f>
        <v/>
      </c>
      <c r="C184" s="42">
        <f t="array" ref="C184:C184">IFERROR(INDEX(통합!$B$1:$B$400,SMALL(IF(통합!$I$1:$I$400="개인차19",ROW(통합!$I$1:$I$400)),1)),"")</f>
        <v/>
      </c>
      <c r="D184" s="42">
        <f t="array" ref="D184:D184">IFERROR(INDEX(통합!$C$1:$C$400,SMALL(IF(통합!$I$1:$I$400="개인차19",ROW(통합!$I$1:$I$400)),1)),"")</f>
        <v/>
      </c>
      <c r="E184" s="42" t="n"/>
      <c r="H184" s="42">
        <f t="array" ref="H184:H184">IFERROR(INDEX(통합!$A$1:$A$400,SMALL(IF(통합!$J$1:$J$400="개인차19",ROW(통합!$J$1:$J$400)),1)),"")</f>
        <v/>
      </c>
      <c r="I184" s="42">
        <f t="array" ref="I184:I184">IFERROR(INDEX(통합!$B$1:$B$400,SMALL(IF(통합!$J$1:$J$400="개인차19",ROW(통합!$J$1:$J$400)),1)),"")</f>
        <v/>
      </c>
      <c r="J184" s="42">
        <f t="array" ref="J184:J184">IFERROR(INDEX(통합!$C$1:$C$400,SMALL(IF(통합!$J$1:$J$400="개인차19",ROW(통합!$J$1:$J$400)),1)),"")</f>
        <v/>
      </c>
      <c r="K184" s="42" t="n"/>
    </row>
    <row r="185" ht="19.5" customHeight="1" s="33">
      <c r="A185" s="43" t="n">
        <v>2</v>
      </c>
      <c r="B185" s="44">
        <f t="array" ref="B185:B185">IFERROR(INDEX(통합!$A$1:$A$400,SMALL(IF(통합!$I$1:$I$400="개인차19",ROW(통합!$I$1:$I$400)),2)),"")</f>
        <v/>
      </c>
      <c r="C185" s="44">
        <f t="array" ref="C185:C185">IFERROR(INDEX(통합!$B$1:$B$400,SMALL(IF(통합!$I$1:$I$400="개인차19",ROW(통합!$I$1:$I$400)),2)),"")</f>
        <v/>
      </c>
      <c r="D185" s="44">
        <f t="array" ref="D185:D185">IFERROR(INDEX(통합!$C$1:$C$400,SMALL(IF(통합!$I$1:$I$400="개인차19",ROW(통합!$I$1:$I$400)),2)),"")</f>
        <v/>
      </c>
      <c r="E185" s="44" t="n"/>
      <c r="H185" s="44">
        <f t="array" ref="H185:H185">IFERROR(INDEX(통합!$A$1:$A$400,SMALL(IF(통합!$J$1:$J$400="개인차19",ROW(통합!$J$1:$J$400)),2)),"")</f>
        <v/>
      </c>
      <c r="I185" s="44">
        <f t="array" ref="I185:I185">IFERROR(INDEX(통합!$B$1:$B$400,SMALL(IF(통합!$J$1:$J$400="개인차19",ROW(통합!$J$1:$J$400)),2)),"")</f>
        <v/>
      </c>
      <c r="J185" s="44">
        <f t="array" ref="J185:J185">IFERROR(INDEX(통합!$C$1:$C$400,SMALL(IF(통합!$J$1:$J$400="개인차19",ROW(통합!$J$1:$J$400)),2)),"")</f>
        <v/>
      </c>
      <c r="K185" s="44" t="n"/>
    </row>
    <row r="186" ht="19.5" customHeight="1" s="33">
      <c r="A186" s="41" t="n">
        <v>3</v>
      </c>
      <c r="B186" s="42">
        <f t="array" ref="B186:B186">IFERROR(INDEX(통합!$A$1:$A$400,SMALL(IF(통합!$I$1:$I$400="개인차19",ROW(통합!$I$1:$I$400)),3)),"")</f>
        <v/>
      </c>
      <c r="C186" s="42">
        <f t="array" ref="C186:C186">IFERROR(INDEX(통합!$B$1:$B$400,SMALL(IF(통합!$I$1:$I$400="개인차19",ROW(통합!$I$1:$I$400)),3)),"")</f>
        <v/>
      </c>
      <c r="D186" s="42">
        <f t="array" ref="D186:D186">IFERROR(INDEX(통합!$C$1:$C$400,SMALL(IF(통합!$I$1:$I$400="개인차19",ROW(통합!$I$1:$I$400)),3)),"")</f>
        <v/>
      </c>
      <c r="E186" s="42" t="n"/>
      <c r="H186" s="42">
        <f t="array" ref="H186:H186">IFERROR(INDEX(통합!$A$1:$A$400,SMALL(IF(통합!$J$1:$J$400="개인차19",ROW(통합!$J$1:$J$400)),3)),"")</f>
        <v/>
      </c>
      <c r="I186" s="42">
        <f t="array" ref="I186:I186">IFERROR(INDEX(통합!$B$1:$B$400,SMALL(IF(통합!$J$1:$J$400="개인차19",ROW(통합!$J$1:$J$400)),3)),"")</f>
        <v/>
      </c>
      <c r="J186" s="42">
        <f t="array" ref="J186:J186">IFERROR(INDEX(통합!$C$1:$C$400,SMALL(IF(통합!$J$1:$J$400="개인차19",ROW(통합!$J$1:$J$400)),3)),"")</f>
        <v/>
      </c>
      <c r="K186" s="42" t="n"/>
    </row>
    <row r="187" ht="19.5" customHeight="1" s="33">
      <c r="A187" s="43" t="n">
        <v>4</v>
      </c>
      <c r="B187" s="44">
        <f t="array" ref="B187:B187">IFERROR(INDEX(통합!$A$1:$A$400,SMALL(IF(통합!$I$1:$I$400="개인차19",ROW(통합!$I$1:$I$400)),4)),"")</f>
        <v/>
      </c>
      <c r="C187" s="44">
        <f t="array" ref="C187:C187">IFERROR(INDEX(통합!$B$1:$B$400,SMALL(IF(통합!$I$1:$I$400="개인차19",ROW(통합!$I$1:$I$400)),4)),"")</f>
        <v/>
      </c>
      <c r="D187" s="44">
        <f t="array" ref="D187:D187">IFERROR(INDEX(통합!$C$1:$C$400,SMALL(IF(통합!$I$1:$I$400="개인차19",ROW(통합!$I$1:$I$400)),4)),"")</f>
        <v/>
      </c>
      <c r="E187" s="44" t="n"/>
      <c r="H187" s="44">
        <f t="array" ref="H187:H187">IFERROR(INDEX(통합!$A$1:$A$400,SMALL(IF(통합!$J$1:$J$400="개인차19",ROW(통합!$J$1:$J$400)),4)),"")</f>
        <v/>
      </c>
      <c r="I187" s="44">
        <f t="array" ref="I187:I187">IFERROR(INDEX(통합!$B$1:$B$400,SMALL(IF(통합!$J$1:$J$400="개인차19",ROW(통합!$J$1:$J$400)),4)),"")</f>
        <v/>
      </c>
      <c r="J187" s="44">
        <f t="array" ref="J187:J187">IFERROR(INDEX(통합!$C$1:$C$400,SMALL(IF(통합!$J$1:$J$400="개인차19",ROW(통합!$J$1:$J$400)),4)),"")</f>
        <v/>
      </c>
      <c r="K187" s="44" t="n"/>
    </row>
    <row r="188" ht="19.5" customHeight="1" s="33">
      <c r="A188" s="41" t="n">
        <v>5</v>
      </c>
      <c r="B188" s="42">
        <f t="array" ref="B188:B188">IFERROR(INDEX(통합!$A$1:$A$400,SMALL(IF(통합!$I$1:$I$400="개인차19",ROW(통합!$I$1:$I$400)),5)),"")</f>
        <v/>
      </c>
      <c r="C188" s="42">
        <f t="array" ref="C188:C188">IFERROR(INDEX(통합!$B$1:$B$400,SMALL(IF(통합!$I$1:$I$400="개인차19",ROW(통합!$I$1:$I$400)),5)),"")</f>
        <v/>
      </c>
      <c r="D188" s="42">
        <f t="array" ref="D188:D188">IFERROR(INDEX(통합!$C$1:$C$400,SMALL(IF(통합!$I$1:$I$400="개인차19",ROW(통합!$I$1:$I$400)),5)),"")</f>
        <v/>
      </c>
      <c r="E188" s="42" t="n"/>
      <c r="H188" s="42">
        <f t="array" ref="H188:H188">IFERROR(INDEX(통합!$A$1:$A$400,SMALL(IF(통합!$J$1:$J$400="개인차19",ROW(통합!$J$1:$J$400)),5)),"")</f>
        <v/>
      </c>
      <c r="I188" s="42">
        <f t="array" ref="I188:I188">IFERROR(INDEX(통합!$B$1:$B$400,SMALL(IF(통합!$J$1:$J$400="개인차19",ROW(통합!$J$1:$J$400)),5)),"")</f>
        <v/>
      </c>
      <c r="J188" s="42">
        <f t="array" ref="J188:J188">IFERROR(INDEX(통합!$C$1:$C$400,SMALL(IF(통합!$J$1:$J$400="개인차19",ROW(통합!$J$1:$J$400)),5)),"")</f>
        <v/>
      </c>
      <c r="K188" s="42" t="n"/>
    </row>
    <row r="189" ht="19.5" customHeight="1" s="33">
      <c r="A189" s="43" t="n">
        <v>6</v>
      </c>
      <c r="B189" s="44">
        <f t="array" ref="B189:B189">IFERROR(INDEX(통합!$A$1:$A$400,SMALL(IF(통합!$I$1:$I$400="개인차19",ROW(통합!$I$1:$I$400)),6)),"")</f>
        <v/>
      </c>
      <c r="C189" s="44">
        <f t="array" ref="C189:C189">IFERROR(INDEX(통합!$B$1:$B$400,SMALL(IF(통합!$I$1:$I$400="개인차19",ROW(통합!$I$1:$I$400)),6)),"")</f>
        <v/>
      </c>
      <c r="D189" s="44">
        <f t="array" ref="D189:D189">IFERROR(INDEX(통합!$C$1:$C$400,SMALL(IF(통합!$I$1:$I$400="개인차19",ROW(통합!$I$1:$I$400)),6)),"")</f>
        <v/>
      </c>
      <c r="E189" s="44" t="n"/>
      <c r="H189" s="44">
        <f t="array" ref="H189:H189">IFERROR(INDEX(통합!$A$1:$A$400,SMALL(IF(통합!$J$1:$J$400="개인차19",ROW(통합!$J$1:$J$400)),6)),"")</f>
        <v/>
      </c>
      <c r="I189" s="44">
        <f t="array" ref="I189:I189">IFERROR(INDEX(통합!$B$1:$B$400,SMALL(IF(통합!$J$1:$J$400="개인차19",ROW(통합!$J$1:$J$400)),6)),"")</f>
        <v/>
      </c>
      <c r="J189" s="44">
        <f t="array" ref="J189:J189">IFERROR(INDEX(통합!$C$1:$C$400,SMALL(IF(통합!$J$1:$J$400="개인차19",ROW(통합!$J$1:$J$400)),6)),"")</f>
        <v/>
      </c>
      <c r="K189" s="44" t="n"/>
    </row>
    <row r="190" ht="19.5" customHeight="1" s="33">
      <c r="A190" s="41" t="n">
        <v>7</v>
      </c>
      <c r="B190" s="42">
        <f t="array" ref="B190:B190">IFERROR(INDEX(통합!$A$1:$A$400,SMALL(IF(통합!$I$1:$I$400="개인차19",ROW(통합!$I$1:$I$400)),7)),"")</f>
        <v/>
      </c>
      <c r="C190" s="42">
        <f t="array" ref="C190:C190">IFERROR(INDEX(통합!$B$1:$B$400,SMALL(IF(통합!$I$1:$I$400="개인차19",ROW(통합!$I$1:$I$400)),7)),"")</f>
        <v/>
      </c>
      <c r="D190" s="42">
        <f t="array" ref="D190:D190">IFERROR(INDEX(통합!$C$1:$C$400,SMALL(IF(통합!$I$1:$I$400="개인차19",ROW(통합!$I$1:$I$400)),7)),"")</f>
        <v/>
      </c>
      <c r="E190" s="42" t="n"/>
      <c r="H190" s="42">
        <f t="array" ref="H190:H190">IFERROR(INDEX(통합!$A$1:$A$400,SMALL(IF(통합!$J$1:$J$400="개인차19",ROW(통합!$J$1:$J$400)),7)),"")</f>
        <v/>
      </c>
      <c r="I190" s="42">
        <f t="array" ref="I190:I190">IFERROR(INDEX(통합!$B$1:$B$400,SMALL(IF(통합!$J$1:$J$400="개인차19",ROW(통합!$J$1:$J$400)),7)),"")</f>
        <v/>
      </c>
      <c r="J190" s="42">
        <f t="array" ref="J190:J190">IFERROR(INDEX(통합!$C$1:$C$400,SMALL(IF(통합!$J$1:$J$400="개인차19",ROW(통합!$J$1:$J$400)),7)),"")</f>
        <v/>
      </c>
      <c r="K190" s="42" t="n"/>
    </row>
    <row r="191" ht="23.85" customHeight="1" s="33">
      <c r="A191" s="47" t="inlineStr">
        <is>
          <t>개인차20</t>
        </is>
      </c>
      <c r="B191" s="35" t="n"/>
      <c r="C191" s="35" t="n"/>
      <c r="D191" s="35" t="n"/>
      <c r="E191" s="35" t="n"/>
      <c r="F191" s="35" t="n"/>
      <c r="G191" s="35" t="n"/>
      <c r="H191" s="35" t="n"/>
      <c r="I191" s="35" t="n"/>
      <c r="J191" s="35" t="n"/>
      <c r="K191" s="35" t="n"/>
    </row>
    <row r="192" ht="15" customHeight="1" s="33">
      <c r="A192" s="64" t="inlineStr">
        <is>
          <t>상행</t>
        </is>
      </c>
      <c r="B192" s="35" t="n"/>
      <c r="C192" s="35" t="n"/>
      <c r="D192" s="35" t="n"/>
      <c r="E192" s="35" t="n"/>
      <c r="G192" s="64" t="inlineStr">
        <is>
          <t>하행</t>
        </is>
      </c>
      <c r="H192" s="35" t="n"/>
      <c r="I192" s="35" t="n"/>
      <c r="J192" s="35" t="n"/>
      <c r="K192" s="35" t="n"/>
    </row>
    <row r="193" ht="15" customHeight="1" s="33">
      <c r="A193" s="48" t="inlineStr">
        <is>
          <t>no</t>
        </is>
      </c>
      <c r="B193" s="49" t="inlineStr">
        <is>
          <t>구역</t>
        </is>
      </c>
      <c r="C193" s="49" t="inlineStr">
        <is>
          <t>회</t>
        </is>
      </c>
      <c r="D193" s="49" t="inlineStr">
        <is>
          <t>성 명</t>
        </is>
      </c>
      <c r="E193" s="49" t="inlineStr">
        <is>
          <t>비고</t>
        </is>
      </c>
      <c r="G193" s="48" t="inlineStr">
        <is>
          <t>no</t>
        </is>
      </c>
      <c r="H193" s="49" t="inlineStr">
        <is>
          <t>구역</t>
        </is>
      </c>
      <c r="I193" s="49" t="inlineStr">
        <is>
          <t>회</t>
        </is>
      </c>
      <c r="J193" s="49" t="inlineStr">
        <is>
          <t>성 명</t>
        </is>
      </c>
      <c r="K193" s="49" t="inlineStr">
        <is>
          <t>비고</t>
        </is>
      </c>
    </row>
    <row r="194" ht="19.5" customHeight="1" s="33">
      <c r="A194" s="41" t="n">
        <v>1</v>
      </c>
      <c r="B194" s="42">
        <f t="array" ref="B194:B194">IFERROR(INDEX(통합!$A$1:$A$400,SMALL(IF(통합!$I$1:$I$400="개인차20",ROW(통합!$I$1:$I$400)),1)),"")</f>
        <v/>
      </c>
      <c r="C194" s="42">
        <f t="array" ref="C194:C194">IFERROR(INDEX(통합!$B$1:$B$400,SMALL(IF(통합!$I$1:$I$400="개인차20",ROW(통합!$I$1:$I$400)),1)),"")</f>
        <v/>
      </c>
      <c r="D194" s="42">
        <f t="array" ref="D194:D194">IFERROR(INDEX(통합!$C$1:$C$400,SMALL(IF(통합!$I$1:$I$400="개인차20",ROW(통합!$I$1:$I$400)),1)),"")</f>
        <v/>
      </c>
      <c r="E194" s="42" t="n"/>
      <c r="H194" s="42">
        <f t="array" ref="H194:H194">IFERROR(INDEX(통합!$A$1:$A$400,SMALL(IF(통합!$J$1:$J$400="개인차20",ROW(통합!$J$1:$J$400)),1)),"")</f>
        <v/>
      </c>
      <c r="I194" s="42">
        <f t="array" ref="I194:I194">IFERROR(INDEX(통합!$B$1:$B$400,SMALL(IF(통합!$J$1:$J$400="개인차20",ROW(통합!$J$1:$J$400)),1)),"")</f>
        <v/>
      </c>
      <c r="J194" s="42">
        <f t="array" ref="J194:J194">IFERROR(INDEX(통합!$C$1:$C$400,SMALL(IF(통합!$J$1:$J$400="개인차20",ROW(통합!$J$1:$J$400)),1)),"")</f>
        <v/>
      </c>
      <c r="K194" s="42" t="n"/>
    </row>
    <row r="195" ht="19.5" customHeight="1" s="33">
      <c r="A195" s="43" t="n">
        <v>2</v>
      </c>
      <c r="B195" s="44">
        <f t="array" ref="B195:B195">IFERROR(INDEX(통합!$A$1:$A$400,SMALL(IF(통합!$I$1:$I$400="개인차20",ROW(통합!$I$1:$I$400)),2)),"")</f>
        <v/>
      </c>
      <c r="C195" s="44">
        <f t="array" ref="C195:C195">IFERROR(INDEX(통합!$B$1:$B$400,SMALL(IF(통합!$I$1:$I$400="개인차20",ROW(통합!$I$1:$I$400)),2)),"")</f>
        <v/>
      </c>
      <c r="D195" s="44">
        <f t="array" ref="D195:D195">IFERROR(INDEX(통합!$C$1:$C$400,SMALL(IF(통합!$I$1:$I$400="개인차20",ROW(통합!$I$1:$I$400)),2)),"")</f>
        <v/>
      </c>
      <c r="E195" s="44" t="n"/>
      <c r="H195" s="44">
        <f t="array" ref="H195:H195">IFERROR(INDEX(통합!$A$1:$A$400,SMALL(IF(통합!$J$1:$J$400="개인차20",ROW(통합!$J$1:$J$400)),2)),"")</f>
        <v/>
      </c>
      <c r="I195" s="44">
        <f t="array" ref="I195:I195">IFERROR(INDEX(통합!$B$1:$B$400,SMALL(IF(통합!$J$1:$J$400="개인차20",ROW(통합!$J$1:$J$400)),2)),"")</f>
        <v/>
      </c>
      <c r="J195" s="44">
        <f t="array" ref="J195:J195">IFERROR(INDEX(통합!$C$1:$C$400,SMALL(IF(통합!$J$1:$J$400="개인차20",ROW(통합!$J$1:$J$400)),2)),"")</f>
        <v/>
      </c>
      <c r="K195" s="44" t="n"/>
    </row>
    <row r="196" ht="19.5" customHeight="1" s="33">
      <c r="A196" s="41" t="n">
        <v>3</v>
      </c>
      <c r="B196" s="42">
        <f t="array" ref="B196:B196">IFERROR(INDEX(통합!$A$1:$A$400,SMALL(IF(통합!$I$1:$I$400="개인차20",ROW(통합!$I$1:$I$400)),3)),"")</f>
        <v/>
      </c>
      <c r="C196" s="42">
        <f t="array" ref="C196:C196">IFERROR(INDEX(통합!$B$1:$B$400,SMALL(IF(통합!$I$1:$I$400="개인차20",ROW(통합!$I$1:$I$400)),3)),"")</f>
        <v/>
      </c>
      <c r="D196" s="42">
        <f t="array" ref="D196:D196">IFERROR(INDEX(통합!$C$1:$C$400,SMALL(IF(통합!$I$1:$I$400="개인차20",ROW(통합!$I$1:$I$400)),3)),"")</f>
        <v/>
      </c>
      <c r="E196" s="42" t="n"/>
      <c r="H196" s="42">
        <f t="array" ref="H196:H196">IFERROR(INDEX(통합!$A$1:$A$400,SMALL(IF(통합!$J$1:$J$400="개인차20",ROW(통합!$J$1:$J$400)),3)),"")</f>
        <v/>
      </c>
      <c r="I196" s="42">
        <f t="array" ref="I196:I196">IFERROR(INDEX(통합!$B$1:$B$400,SMALL(IF(통합!$J$1:$J$400="개인차20",ROW(통합!$J$1:$J$400)),3)),"")</f>
        <v/>
      </c>
      <c r="J196" s="42">
        <f t="array" ref="J196:J196">IFERROR(INDEX(통합!$C$1:$C$400,SMALL(IF(통합!$J$1:$J$400="개인차20",ROW(통합!$J$1:$J$400)),3)),"")</f>
        <v/>
      </c>
      <c r="K196" s="42" t="n"/>
    </row>
    <row r="197" ht="19.5" customHeight="1" s="33">
      <c r="A197" s="43" t="n">
        <v>4</v>
      </c>
      <c r="B197" s="44">
        <f t="array" ref="B197:B197">IFERROR(INDEX(통합!$A$1:$A$400,SMALL(IF(통합!$I$1:$I$400="개인차20",ROW(통합!$I$1:$I$400)),4)),"")</f>
        <v/>
      </c>
      <c r="C197" s="44">
        <f t="array" ref="C197:C197">IFERROR(INDEX(통합!$B$1:$B$400,SMALL(IF(통합!$I$1:$I$400="개인차20",ROW(통합!$I$1:$I$400)),4)),"")</f>
        <v/>
      </c>
      <c r="D197" s="44">
        <f t="array" ref="D197:D197">IFERROR(INDEX(통합!$C$1:$C$400,SMALL(IF(통합!$I$1:$I$400="개인차20",ROW(통합!$I$1:$I$400)),4)),"")</f>
        <v/>
      </c>
      <c r="E197" s="44" t="n"/>
      <c r="H197" s="44">
        <f t="array" ref="H197:H197">IFERROR(INDEX(통합!$A$1:$A$400,SMALL(IF(통합!$J$1:$J$400="개인차20",ROW(통합!$J$1:$J$400)),4)),"")</f>
        <v/>
      </c>
      <c r="I197" s="44">
        <f t="array" ref="I197:I197">IFERROR(INDEX(통합!$B$1:$B$400,SMALL(IF(통합!$J$1:$J$400="개인차20",ROW(통합!$J$1:$J$400)),4)),"")</f>
        <v/>
      </c>
      <c r="J197" s="44">
        <f t="array" ref="J197:J197">IFERROR(INDEX(통합!$C$1:$C$400,SMALL(IF(통합!$J$1:$J$400="개인차20",ROW(통합!$J$1:$J$400)),4)),"")</f>
        <v/>
      </c>
      <c r="K197" s="44" t="n"/>
    </row>
    <row r="198" ht="19.5" customHeight="1" s="33">
      <c r="A198" s="41" t="n">
        <v>5</v>
      </c>
      <c r="B198" s="42">
        <f t="array" ref="B198:B198">IFERROR(INDEX(통합!$A$1:$A$400,SMALL(IF(통합!$I$1:$I$400="개인차20",ROW(통합!$I$1:$I$400)),5)),"")</f>
        <v/>
      </c>
      <c r="C198" s="42">
        <f t="array" ref="C198:C198">IFERROR(INDEX(통합!$B$1:$B$400,SMALL(IF(통합!$I$1:$I$400="개인차20",ROW(통합!$I$1:$I$400)),5)),"")</f>
        <v/>
      </c>
      <c r="D198" s="42">
        <f t="array" ref="D198:D198">IFERROR(INDEX(통합!$C$1:$C$400,SMALL(IF(통합!$I$1:$I$400="개인차20",ROW(통합!$I$1:$I$400)),5)),"")</f>
        <v/>
      </c>
      <c r="E198" s="42" t="n"/>
      <c r="H198" s="42">
        <f t="array" ref="H198:H198">IFERROR(INDEX(통합!$A$1:$A$400,SMALL(IF(통합!$J$1:$J$400="개인차20",ROW(통합!$J$1:$J$400)),5)),"")</f>
        <v/>
      </c>
      <c r="I198" s="42">
        <f t="array" ref="I198:I198">IFERROR(INDEX(통합!$B$1:$B$400,SMALL(IF(통합!$J$1:$J$400="개인차20",ROW(통합!$J$1:$J$400)),5)),"")</f>
        <v/>
      </c>
      <c r="J198" s="42">
        <f t="array" ref="J198:J198">IFERROR(INDEX(통합!$C$1:$C$400,SMALL(IF(통합!$J$1:$J$400="개인차20",ROW(통합!$J$1:$J$400)),5)),"")</f>
        <v/>
      </c>
      <c r="K198" s="42" t="n"/>
    </row>
    <row r="199" ht="19.5" customHeight="1" s="33">
      <c r="A199" s="43" t="n">
        <v>6</v>
      </c>
      <c r="B199" s="44">
        <f t="array" ref="B199:B199">IFERROR(INDEX(통합!$A$1:$A$400,SMALL(IF(통합!$I$1:$I$400="개인차20",ROW(통합!$I$1:$I$400)),6)),"")</f>
        <v/>
      </c>
      <c r="C199" s="44">
        <f t="array" ref="C199:C199">IFERROR(INDEX(통합!$B$1:$B$400,SMALL(IF(통합!$I$1:$I$400="개인차20",ROW(통합!$I$1:$I$400)),6)),"")</f>
        <v/>
      </c>
      <c r="D199" s="44">
        <f t="array" ref="D199:D199">IFERROR(INDEX(통합!$C$1:$C$400,SMALL(IF(통합!$I$1:$I$400="개인차20",ROW(통합!$I$1:$I$400)),6)),"")</f>
        <v/>
      </c>
      <c r="E199" s="44" t="n"/>
      <c r="H199" s="44">
        <f t="array" ref="H199:H199">IFERROR(INDEX(통합!$A$1:$A$400,SMALL(IF(통합!$J$1:$J$400="개인차20",ROW(통합!$J$1:$J$400)),6)),"")</f>
        <v/>
      </c>
      <c r="I199" s="44">
        <f t="array" ref="I199:I199">IFERROR(INDEX(통합!$B$1:$B$400,SMALL(IF(통합!$J$1:$J$400="개인차20",ROW(통합!$J$1:$J$400)),6)),"")</f>
        <v/>
      </c>
      <c r="J199" s="44">
        <f t="array" ref="J199:J199">IFERROR(INDEX(통합!$C$1:$C$400,SMALL(IF(통합!$J$1:$J$400="개인차20",ROW(통합!$J$1:$J$400)),6)),"")</f>
        <v/>
      </c>
      <c r="K199" s="44" t="n"/>
    </row>
    <row r="200" ht="19.5" customHeight="1" s="33">
      <c r="A200" s="41" t="n">
        <v>7</v>
      </c>
      <c r="B200" s="42">
        <f t="array" ref="B200:B200">IFERROR(INDEX(통합!$A$1:$A$400,SMALL(IF(통합!$I$1:$I$400="개인차20",ROW(통합!$I$1:$I$400)),7)),"")</f>
        <v/>
      </c>
      <c r="C200" s="42">
        <f t="array" ref="C200:C200">IFERROR(INDEX(통합!$B$1:$B$400,SMALL(IF(통합!$I$1:$I$400="개인차20",ROW(통합!$I$1:$I$400)),7)),"")</f>
        <v/>
      </c>
      <c r="D200" s="42">
        <f t="array" ref="D200:D200">IFERROR(INDEX(통합!$C$1:$C$400,SMALL(IF(통합!$I$1:$I$400="개인차20",ROW(통합!$I$1:$I$400)),7)),"")</f>
        <v/>
      </c>
      <c r="E200" s="42" t="n"/>
      <c r="H200" s="42">
        <f t="array" ref="H200:H200">IFERROR(INDEX(통합!$A$1:$A$400,SMALL(IF(통합!$J$1:$J$400="개인차20",ROW(통합!$J$1:$J$400)),7)),"")</f>
        <v/>
      </c>
      <c r="I200" s="42">
        <f t="array" ref="I200:I200">IFERROR(INDEX(통합!$B$1:$B$400,SMALL(IF(통합!$J$1:$J$400="개인차20",ROW(통합!$J$1:$J$400)),7)),"")</f>
        <v/>
      </c>
      <c r="J200" s="42">
        <f t="array" ref="J200:J200">IFERROR(INDEX(통합!$C$1:$C$400,SMALL(IF(통합!$J$1:$J$400="개인차20",ROW(통합!$J$1:$J$400)),7)),"")</f>
        <v/>
      </c>
      <c r="K200" s="42" t="n"/>
    </row>
  </sheetData>
  <mergeCells count="60">
    <mergeCell ref="G72:K72"/>
    <mergeCell ref="G52:K52"/>
    <mergeCell ref="G12:K12"/>
    <mergeCell ref="A82:E82"/>
    <mergeCell ref="G2:K2"/>
    <mergeCell ref="A142:E142"/>
    <mergeCell ref="A182:E182"/>
    <mergeCell ref="A11:K11"/>
    <mergeCell ref="G42:K42"/>
    <mergeCell ref="A51:K51"/>
    <mergeCell ref="A132:E132"/>
    <mergeCell ref="A191:K191"/>
    <mergeCell ref="G132:K132"/>
    <mergeCell ref="A1:K1"/>
    <mergeCell ref="A162:E162"/>
    <mergeCell ref="A61:K61"/>
    <mergeCell ref="G82:K82"/>
    <mergeCell ref="G122:K122"/>
    <mergeCell ref="A172:E172"/>
    <mergeCell ref="A41:K41"/>
    <mergeCell ref="G172:K172"/>
    <mergeCell ref="G112:K112"/>
    <mergeCell ref="G162:K162"/>
    <mergeCell ref="G62:K62"/>
    <mergeCell ref="A192:E192"/>
    <mergeCell ref="A12:E12"/>
    <mergeCell ref="G92:K92"/>
    <mergeCell ref="G152:K152"/>
    <mergeCell ref="A101:K101"/>
    <mergeCell ref="A2:E2"/>
    <mergeCell ref="A21:K21"/>
    <mergeCell ref="A42:E42"/>
    <mergeCell ref="A71:K71"/>
    <mergeCell ref="G142:K142"/>
    <mergeCell ref="A32:E32"/>
    <mergeCell ref="A151:K151"/>
    <mergeCell ref="A22:E22"/>
    <mergeCell ref="A181:K181"/>
    <mergeCell ref="G192:K192"/>
    <mergeCell ref="A31:K31"/>
    <mergeCell ref="A141:K141"/>
    <mergeCell ref="A122:E122"/>
    <mergeCell ref="A91:K91"/>
    <mergeCell ref="A131:K131"/>
    <mergeCell ref="A62:E62"/>
    <mergeCell ref="G182:K182"/>
    <mergeCell ref="A171:K171"/>
    <mergeCell ref="A72:E72"/>
    <mergeCell ref="A52:E52"/>
    <mergeCell ref="A112:E112"/>
    <mergeCell ref="A81:K81"/>
    <mergeCell ref="G32:K32"/>
    <mergeCell ref="A152:E152"/>
    <mergeCell ref="A102:E102"/>
    <mergeCell ref="A121:K121"/>
    <mergeCell ref="A161:K161"/>
    <mergeCell ref="G102:K102"/>
    <mergeCell ref="G22:K22"/>
    <mergeCell ref="A111:K111"/>
    <mergeCell ref="A92:E9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K8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5.51" customWidth="1" style="32" min="2" max="2"/>
    <col width="9" customWidth="1" style="32" min="3" max="3"/>
    <col width="8" customWidth="1" style="32" min="4" max="4"/>
    <col width="14.6" customWidth="1" style="32" min="5" max="5"/>
    <col width="2" customWidth="1" style="32" min="6" max="6"/>
    <col width="4" customWidth="1" style="32" min="7" max="7"/>
    <col width="5.51" customWidth="1" style="32" min="8" max="8"/>
    <col width="9" customWidth="1" style="32" min="9" max="9"/>
    <col width="8" customWidth="1" style="32" min="10" max="10"/>
    <col width="14.6" customWidth="1" style="32" min="11" max="11"/>
  </cols>
  <sheetData>
    <row r="1" ht="30" customHeight="1" s="33">
      <c r="A1" s="47" t="inlineStr">
        <is>
          <t>타교회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15" customHeight="1" s="33">
      <c r="A2" s="64" t="inlineStr">
        <is>
          <t>상행</t>
        </is>
      </c>
      <c r="B2" s="35" t="n"/>
      <c r="C2" s="35" t="n"/>
      <c r="D2" s="35" t="n"/>
      <c r="E2" s="35" t="n"/>
      <c r="G2" s="64" t="inlineStr">
        <is>
          <t>하행</t>
        </is>
      </c>
      <c r="H2" s="35" t="n"/>
      <c r="I2" s="35" t="n"/>
      <c r="J2" s="35" t="n"/>
      <c r="K2" s="35" t="n"/>
    </row>
    <row r="3" ht="15" customHeight="1" s="33">
      <c r="A3" s="48" t="inlineStr">
        <is>
          <t>NO</t>
        </is>
      </c>
      <c r="B3" s="49" t="inlineStr">
        <is>
          <t>구역</t>
        </is>
      </c>
      <c r="C3" s="49" t="inlineStr">
        <is>
          <t>회(부서)</t>
        </is>
      </c>
      <c r="D3" s="49" t="inlineStr">
        <is>
          <t>성 명</t>
        </is>
      </c>
      <c r="E3" s="49" t="inlineStr">
        <is>
          <t>비고</t>
        </is>
      </c>
      <c r="G3" s="48" t="inlineStr">
        <is>
          <t>NO</t>
        </is>
      </c>
      <c r="H3" s="49" t="inlineStr">
        <is>
          <t>구역</t>
        </is>
      </c>
      <c r="I3" s="49" t="inlineStr">
        <is>
          <t>회(부서)</t>
        </is>
      </c>
      <c r="J3" s="49" t="inlineStr">
        <is>
          <t>성 명</t>
        </is>
      </c>
      <c r="K3" s="49" t="inlineStr">
        <is>
          <t>비고</t>
        </is>
      </c>
    </row>
    <row r="4" ht="19.5" customHeight="1" s="33">
      <c r="A4" s="41" t="n">
        <v>1</v>
      </c>
      <c r="B4" s="42">
        <f t="array" ref="B4:B4">IFERROR(INDEX(통합!$A$1:$A$400,SMALL(IF(통합!$E$1:$E$400="타교회",ROW(통합!$E$1:$E$400)),1)),"")</f>
        <v/>
      </c>
      <c r="C4" s="42">
        <f t="array" ref="C4:C4">IFERROR(INDEX(통합!$B$1:$B$400,SMALL(IF(통합!$E$1:$E$400="타교회",ROW(통합!$E$1:$E$400)),1)),"")</f>
        <v/>
      </c>
      <c r="D4" s="42">
        <f t="array" ref="D4:D4">IFERROR(INDEX(통합!$C$1:$C$400,SMALL(IF(통합!$E$1:$E$400="타교회",ROW(통합!$E$1:$E$400)),1)),"")</f>
        <v/>
      </c>
      <c r="E4" s="42" t="n"/>
      <c r="H4" s="42">
        <f t="array" ref="H4:H4">IFERROR(INDEX(통합!$A$1:$A$400,SMALL(IF(통합!$F$1:$F$400="타교회",ROW(통합!$F$1:$F$400)),1)),"")</f>
        <v/>
      </c>
      <c r="I4" s="42">
        <f t="array" ref="I4:I4">IFERROR(INDEX(통합!$B$1:$B$400,SMALL(IF(통합!$F$1:$F$400="타교회",ROW(통합!$F$1:$F$400)),1)),"")</f>
        <v/>
      </c>
      <c r="J4" s="42">
        <f t="array" ref="J4:J4">IFERROR(INDEX(통합!$C$1:$C$400,SMALL(IF(통합!$F$1:$F$400="타교회",ROW(통합!$F$1:$F$400)),1)),"")</f>
        <v/>
      </c>
      <c r="K4" s="42" t="n"/>
    </row>
    <row r="5" ht="19.5" customHeight="1" s="33">
      <c r="A5" s="43" t="n">
        <v>2</v>
      </c>
      <c r="B5" s="44">
        <f t="array" ref="B5:B5">IFERROR(INDEX(통합!$A$1:$A$400,SMALL(IF(통합!$E$1:$E$400="타교회",ROW(통합!$E$1:$E$400)),2)),"")</f>
        <v/>
      </c>
      <c r="C5" s="44">
        <f t="array" ref="C5:C5">IFERROR(INDEX(통합!$B$1:$B$400,SMALL(IF(통합!$E$1:$E$400="타교회",ROW(통합!$E$1:$E$400)),2)),"")</f>
        <v/>
      </c>
      <c r="D5" s="44">
        <f t="array" ref="D5:D5">IFERROR(INDEX(통합!$C$1:$C$400,SMALL(IF(통합!$E$1:$E$400="타교회",ROW(통합!$E$1:$E$400)),2)),"")</f>
        <v/>
      </c>
      <c r="E5" s="44" t="n"/>
      <c r="H5" s="44">
        <f t="array" ref="H5:H5">IFERROR(INDEX(통합!$A$1:$A$400,SMALL(IF(통합!$F$1:$F$400="타교회",ROW(통합!$F$1:$F$400)),2)),"")</f>
        <v/>
      </c>
      <c r="I5" s="44">
        <f t="array" ref="I5:I5">IFERROR(INDEX(통합!$B$1:$B$400,SMALL(IF(통합!$F$1:$F$400="타교회",ROW(통합!$F$1:$F$400)),2)),"")</f>
        <v/>
      </c>
      <c r="J5" s="44">
        <f t="array" ref="J5:J5">IFERROR(INDEX(통합!$C$1:$C$400,SMALL(IF(통합!$F$1:$F$400="타교회",ROW(통합!$F$1:$F$400)),2)),"")</f>
        <v/>
      </c>
      <c r="K5" s="44" t="n"/>
    </row>
    <row r="6" ht="19.5" customHeight="1" s="33">
      <c r="A6" s="41" t="n">
        <v>3</v>
      </c>
      <c r="B6" s="42">
        <f t="array" ref="B6:B6">IFERROR(INDEX(통합!$A$1:$A$400,SMALL(IF(통합!$E$1:$E$400="타교회",ROW(통합!$E$1:$E$400)),3)),"")</f>
        <v/>
      </c>
      <c r="C6" s="42">
        <f t="array" ref="C6:C6">IFERROR(INDEX(통합!$B$1:$B$400,SMALL(IF(통합!$E$1:$E$400="타교회",ROW(통합!$E$1:$E$400)),3)),"")</f>
        <v/>
      </c>
      <c r="D6" s="42">
        <f t="array" ref="D6:D6">IFERROR(INDEX(통합!$C$1:$C$400,SMALL(IF(통합!$E$1:$E$400="타교회",ROW(통합!$E$1:$E$400)),3)),"")</f>
        <v/>
      </c>
      <c r="E6" s="42" t="n"/>
      <c r="H6" s="42">
        <f t="array" ref="H6:H6">IFERROR(INDEX(통합!$A$1:$A$400,SMALL(IF(통합!$F$1:$F$400="타교회",ROW(통합!$F$1:$F$400)),3)),"")</f>
        <v/>
      </c>
      <c r="I6" s="42">
        <f t="array" ref="I6:I6">IFERROR(INDEX(통합!$B$1:$B$400,SMALL(IF(통합!$F$1:$F$400="타교회",ROW(통합!$F$1:$F$400)),3)),"")</f>
        <v/>
      </c>
      <c r="J6" s="42">
        <f t="array" ref="J6:J6">IFERROR(INDEX(통합!$C$1:$C$400,SMALL(IF(통합!$F$1:$F$400="타교회",ROW(통합!$F$1:$F$400)),3)),"")</f>
        <v/>
      </c>
      <c r="K6" s="42" t="n"/>
    </row>
    <row r="7" ht="19.5" customHeight="1" s="33">
      <c r="A7" s="43" t="n">
        <v>4</v>
      </c>
      <c r="B7" s="44">
        <f t="array" ref="B7:B7">IFERROR(INDEX(통합!$A$1:$A$400,SMALL(IF(통합!$E$1:$E$400="타교회",ROW(통합!$E$1:$E$400)),4)),"")</f>
        <v/>
      </c>
      <c r="C7" s="44">
        <f t="array" ref="C7:C7">IFERROR(INDEX(통합!$B$1:$B$400,SMALL(IF(통합!$E$1:$E$400="타교회",ROW(통합!$E$1:$E$400)),4)),"")</f>
        <v/>
      </c>
      <c r="D7" s="44">
        <f t="array" ref="D7:D7">IFERROR(INDEX(통합!$C$1:$C$400,SMALL(IF(통합!$E$1:$E$400="타교회",ROW(통합!$E$1:$E$400)),4)),"")</f>
        <v/>
      </c>
      <c r="E7" s="44" t="n"/>
      <c r="H7" s="44">
        <f t="array" ref="H7:H7">IFERROR(INDEX(통합!$A$1:$A$400,SMALL(IF(통합!$F$1:$F$400="타교회",ROW(통합!$F$1:$F$400)),4)),"")</f>
        <v/>
      </c>
      <c r="I7" s="44">
        <f t="array" ref="I7:I7">IFERROR(INDEX(통합!$B$1:$B$400,SMALL(IF(통합!$F$1:$F$400="타교회",ROW(통합!$F$1:$F$400)),4)),"")</f>
        <v/>
      </c>
      <c r="J7" s="44">
        <f t="array" ref="J7:J7">IFERROR(INDEX(통합!$C$1:$C$400,SMALL(IF(통합!$F$1:$F$400="타교회",ROW(통합!$F$1:$F$400)),4)),"")</f>
        <v/>
      </c>
      <c r="K7" s="44" t="n"/>
    </row>
    <row r="8" ht="19.5" customHeight="1" s="33">
      <c r="A8" s="41" t="n">
        <v>5</v>
      </c>
      <c r="B8" s="42">
        <f t="array" ref="B8:B8">IFERROR(INDEX(통합!$A$1:$A$400,SMALL(IF(통합!$E$1:$E$400="타교회",ROW(통합!$E$1:$E$400)),5)),"")</f>
        <v/>
      </c>
      <c r="C8" s="42">
        <f t="array" ref="C8:C8">IFERROR(INDEX(통합!$B$1:$B$400,SMALL(IF(통합!$E$1:$E$400="타교회",ROW(통합!$E$1:$E$400)),5)),"")</f>
        <v/>
      </c>
      <c r="D8" s="42">
        <f t="array" ref="D8:D8">IFERROR(INDEX(통합!$C$1:$C$400,SMALL(IF(통합!$E$1:$E$400="타교회",ROW(통합!$E$1:$E$400)),5)),"")</f>
        <v/>
      </c>
      <c r="E8" s="42" t="n"/>
      <c r="H8" s="42">
        <f t="array" ref="H8:H8">IFERROR(INDEX(통합!$A$1:$A$400,SMALL(IF(통합!$F$1:$F$400="타교회",ROW(통합!$F$1:$F$400)),5)),"")</f>
        <v/>
      </c>
      <c r="I8" s="42">
        <f t="array" ref="I8:I8">IFERROR(INDEX(통합!$B$1:$B$400,SMALL(IF(통합!$F$1:$F$400="타교회",ROW(통합!$F$1:$F$400)),5)),"")</f>
        <v/>
      </c>
      <c r="J8" s="42">
        <f t="array" ref="J8:J8">IFERROR(INDEX(통합!$C$1:$C$400,SMALL(IF(통합!$F$1:$F$400="타교회",ROW(통합!$F$1:$F$400)),5)),"")</f>
        <v/>
      </c>
      <c r="K8" s="42" t="n"/>
    </row>
    <row r="9" ht="19.5" customHeight="1" s="33">
      <c r="A9" s="43" t="n">
        <v>6</v>
      </c>
      <c r="B9" s="44">
        <f t="array" ref="B9:B9">IFERROR(INDEX(통합!$A$1:$A$400,SMALL(IF(통합!$E$1:$E$400="타교회",ROW(통합!$E$1:$E$400)),6)),"")</f>
        <v/>
      </c>
      <c r="C9" s="44">
        <f t="array" ref="C9:C9">IFERROR(INDEX(통합!$B$1:$B$400,SMALL(IF(통합!$E$1:$E$400="타교회",ROW(통합!$E$1:$E$400)),6)),"")</f>
        <v/>
      </c>
      <c r="D9" s="44">
        <f t="array" ref="D9:D9">IFERROR(INDEX(통합!$C$1:$C$400,SMALL(IF(통합!$E$1:$E$400="타교회",ROW(통합!$E$1:$E$400)),6)),"")</f>
        <v/>
      </c>
      <c r="E9" s="44" t="n"/>
      <c r="H9" s="44">
        <f t="array" ref="H9:H9">IFERROR(INDEX(통합!$A$1:$A$400,SMALL(IF(통합!$F$1:$F$400="타교회",ROW(통합!$F$1:$F$400)),6)),"")</f>
        <v/>
      </c>
      <c r="I9" s="44">
        <f t="array" ref="I9:I9">IFERROR(INDEX(통합!$B$1:$B$400,SMALL(IF(통합!$F$1:$F$400="타교회",ROW(통합!$F$1:$F$400)),6)),"")</f>
        <v/>
      </c>
      <c r="J9" s="44">
        <f t="array" ref="J9:J9">IFERROR(INDEX(통합!$C$1:$C$400,SMALL(IF(통합!$F$1:$F$400="타교회",ROW(통합!$F$1:$F$400)),6)),"")</f>
        <v/>
      </c>
      <c r="K9" s="44" t="n"/>
    </row>
    <row r="10" ht="19.5" customHeight="1" s="33">
      <c r="A10" s="41" t="n">
        <v>7</v>
      </c>
      <c r="B10" s="42">
        <f t="array" ref="B10:B10">IFERROR(INDEX(통합!$A$1:$A$400,SMALL(IF(통합!$E$1:$E$400="타교회",ROW(통합!$E$1:$E$400)),7)),"")</f>
        <v/>
      </c>
      <c r="C10" s="42">
        <f t="array" ref="C10:C10">IFERROR(INDEX(통합!$B$1:$B$400,SMALL(IF(통합!$E$1:$E$400="타교회",ROW(통합!$E$1:$E$400)),7)),"")</f>
        <v/>
      </c>
      <c r="D10" s="42">
        <f t="array" ref="D10:D10">IFERROR(INDEX(통합!$C$1:$C$400,SMALL(IF(통합!$E$1:$E$400="타교회",ROW(통합!$E$1:$E$400)),7)),"")</f>
        <v/>
      </c>
      <c r="E10" s="42" t="n"/>
      <c r="H10" s="42">
        <f t="array" ref="H10:H10">IFERROR(INDEX(통합!$A$1:$A$400,SMALL(IF(통합!$F$1:$F$400="타교회",ROW(통합!$F$1:$F$400)),7)),"")</f>
        <v/>
      </c>
      <c r="I10" s="42">
        <f t="array" ref="I10:I10">IFERROR(INDEX(통합!$B$1:$B$400,SMALL(IF(통합!$F$1:$F$400="타교회",ROW(통합!$F$1:$F$400)),7)),"")</f>
        <v/>
      </c>
      <c r="J10" s="42">
        <f t="array" ref="J10:J10">IFERROR(INDEX(통합!$C$1:$C$400,SMALL(IF(통합!$F$1:$F$400="타교회",ROW(통합!$F$1:$F$400)),7)),"")</f>
        <v/>
      </c>
      <c r="K10" s="42" t="n"/>
    </row>
    <row r="11" ht="19.5" customHeight="1" s="33">
      <c r="A11" s="43" t="n">
        <v>8</v>
      </c>
      <c r="B11" s="44">
        <f t="array" ref="B11:B11">IFERROR(INDEX(통합!$A$1:$A$400,SMALL(IF(통합!$E$1:$E$400="타교회",ROW(통합!$E$1:$E$400)),8)),"")</f>
        <v/>
      </c>
      <c r="C11" s="44">
        <f t="array" ref="C11:C11">IFERROR(INDEX(통합!$B$1:$B$400,SMALL(IF(통합!$E$1:$E$400="타교회",ROW(통합!$E$1:$E$400)),8)),"")</f>
        <v/>
      </c>
      <c r="D11" s="44">
        <f t="array" ref="D11:D11">IFERROR(INDEX(통합!$C$1:$C$400,SMALL(IF(통합!$E$1:$E$400="타교회",ROW(통합!$E$1:$E$400)),8)),"")</f>
        <v/>
      </c>
      <c r="E11" s="44" t="n"/>
      <c r="H11" s="44">
        <f t="array" ref="H11:H11">IFERROR(INDEX(통합!$A$1:$A$400,SMALL(IF(통합!$F$1:$F$400="타교회",ROW(통합!$F$1:$F$400)),8)),"")</f>
        <v/>
      </c>
      <c r="I11" s="44">
        <f t="array" ref="I11:I11">IFERROR(INDEX(통합!$B$1:$B$400,SMALL(IF(통합!$F$1:$F$400="타교회",ROW(통합!$F$1:$F$400)),8)),"")</f>
        <v/>
      </c>
      <c r="J11" s="44">
        <f t="array" ref="J11:J11">IFERROR(INDEX(통합!$C$1:$C$400,SMALL(IF(통합!$F$1:$F$400="타교회",ROW(통합!$F$1:$F$400)),8)),"")</f>
        <v/>
      </c>
      <c r="K11" s="44" t="n"/>
    </row>
    <row r="12" ht="19.5" customHeight="1" s="33">
      <c r="A12" s="41" t="n">
        <v>9</v>
      </c>
      <c r="B12" s="42">
        <f t="array" ref="B12:B12">IFERROR(INDEX(통합!$A$1:$A$400,SMALL(IF(통합!$E$1:$E$400="타교회",ROW(통합!$E$1:$E$400)),9)),"")</f>
        <v/>
      </c>
      <c r="C12" s="42">
        <f t="array" ref="C12:C12">IFERROR(INDEX(통합!$B$1:$B$400,SMALL(IF(통합!$E$1:$E$400="타교회",ROW(통합!$E$1:$E$400)),9)),"")</f>
        <v/>
      </c>
      <c r="D12" s="42">
        <f t="array" ref="D12:D12">IFERROR(INDEX(통합!$C$1:$C$400,SMALL(IF(통합!$E$1:$E$400="타교회",ROW(통합!$E$1:$E$400)),9)),"")</f>
        <v/>
      </c>
      <c r="E12" s="42" t="n"/>
      <c r="H12" s="42">
        <f t="array" ref="H12:H12">IFERROR(INDEX(통합!$A$1:$A$400,SMALL(IF(통합!$F$1:$F$400="타교회",ROW(통합!$F$1:$F$400)),9)),"")</f>
        <v/>
      </c>
      <c r="I12" s="42">
        <f t="array" ref="I12:I12">IFERROR(INDEX(통합!$B$1:$B$400,SMALL(IF(통합!$F$1:$F$400="타교회",ROW(통합!$F$1:$F$400)),9)),"")</f>
        <v/>
      </c>
      <c r="J12" s="42">
        <f t="array" ref="J12:J12">IFERROR(INDEX(통합!$C$1:$C$400,SMALL(IF(통합!$F$1:$F$400="타교회",ROW(통합!$F$1:$F$400)),9)),"")</f>
        <v/>
      </c>
      <c r="K12" s="42" t="n"/>
    </row>
    <row r="13" ht="19.5" customHeight="1" s="33">
      <c r="A13" s="43" t="n">
        <v>10</v>
      </c>
      <c r="B13" s="44">
        <f t="array" ref="B13:B13">IFERROR(INDEX(통합!$A$1:$A$400,SMALL(IF(통합!$E$1:$E$400="타교회",ROW(통합!$E$1:$E$400)),10)),"")</f>
        <v/>
      </c>
      <c r="C13" s="44">
        <f t="array" ref="C13:C13">IFERROR(INDEX(통합!$B$1:$B$400,SMALL(IF(통합!$E$1:$E$400="타교회",ROW(통합!$E$1:$E$400)),10)),"")</f>
        <v/>
      </c>
      <c r="D13" s="44">
        <f t="array" ref="D13:D13">IFERROR(INDEX(통합!$C$1:$C$400,SMALL(IF(통합!$E$1:$E$400="타교회",ROW(통합!$E$1:$E$400)),10)),"")</f>
        <v/>
      </c>
      <c r="E13" s="44" t="n"/>
      <c r="H13" s="44">
        <f t="array" ref="H13:H13">IFERROR(INDEX(통합!$A$1:$A$400,SMALL(IF(통합!$F$1:$F$400="타교회",ROW(통합!$F$1:$F$400)),10)),"")</f>
        <v/>
      </c>
      <c r="I13" s="44">
        <f t="array" ref="I13:I13">IFERROR(INDEX(통합!$B$1:$B$400,SMALL(IF(통합!$F$1:$F$400="타교회",ROW(통합!$F$1:$F$400)),10)),"")</f>
        <v/>
      </c>
      <c r="J13" s="44">
        <f t="array" ref="J13:J13">IFERROR(INDEX(통합!$C$1:$C$400,SMALL(IF(통합!$F$1:$F$400="타교회",ROW(통합!$F$1:$F$400)),10)),"")</f>
        <v/>
      </c>
      <c r="K13" s="44" t="n"/>
    </row>
    <row r="14" ht="19.5" customHeight="1" s="33">
      <c r="A14" s="41" t="n">
        <v>11</v>
      </c>
      <c r="B14" s="42">
        <f t="array" ref="B14:B14">IFERROR(INDEX(통합!$A$1:$A$400,SMALL(IF(통합!$E$1:$E$400="타교회",ROW(통합!$E$1:$E$400)),11)),"")</f>
        <v/>
      </c>
      <c r="C14" s="42">
        <f t="array" ref="C14:C14">IFERROR(INDEX(통합!$B$1:$B$400,SMALL(IF(통합!$E$1:$E$400="타교회",ROW(통합!$E$1:$E$400)),11)),"")</f>
        <v/>
      </c>
      <c r="D14" s="42">
        <f t="array" ref="D14:D14">IFERROR(INDEX(통합!$C$1:$C$400,SMALL(IF(통합!$E$1:$E$400="타교회",ROW(통합!$E$1:$E$400)),11)),"")</f>
        <v/>
      </c>
      <c r="E14" s="42" t="n"/>
      <c r="H14" s="42">
        <f t="array" ref="H14:H14">IFERROR(INDEX(통합!$A$1:$A$400,SMALL(IF(통합!$F$1:$F$400="타교회",ROW(통합!$F$1:$F$400)),11)),"")</f>
        <v/>
      </c>
      <c r="I14" s="42">
        <f t="array" ref="I14:I14">IFERROR(INDEX(통합!$B$1:$B$400,SMALL(IF(통합!$F$1:$F$400="타교회",ROW(통합!$F$1:$F$400)),11)),"")</f>
        <v/>
      </c>
      <c r="J14" s="42">
        <f t="array" ref="J14:J14">IFERROR(INDEX(통합!$C$1:$C$400,SMALL(IF(통합!$F$1:$F$400="타교회",ROW(통합!$F$1:$F$400)),11)),"")</f>
        <v/>
      </c>
      <c r="K14" s="42" t="n"/>
    </row>
    <row r="15" ht="19.5" customHeight="1" s="33">
      <c r="A15" s="43" t="n">
        <v>12</v>
      </c>
      <c r="B15" s="44">
        <f t="array" ref="B15:B15">IFERROR(INDEX(통합!$A$1:$A$400,SMALL(IF(통합!$E$1:$E$400="타교회",ROW(통합!$E$1:$E$400)),12)),"")</f>
        <v/>
      </c>
      <c r="C15" s="44">
        <f t="array" ref="C15:C15">IFERROR(INDEX(통합!$B$1:$B$400,SMALL(IF(통합!$E$1:$E$400="타교회",ROW(통합!$E$1:$E$400)),12)),"")</f>
        <v/>
      </c>
      <c r="D15" s="44">
        <f t="array" ref="D15:D15">IFERROR(INDEX(통합!$C$1:$C$400,SMALL(IF(통합!$E$1:$E$400="타교회",ROW(통합!$E$1:$E$400)),12)),"")</f>
        <v/>
      </c>
      <c r="E15" s="44" t="n"/>
      <c r="H15" s="44">
        <f t="array" ref="H15:H15">IFERROR(INDEX(통합!$A$1:$A$400,SMALL(IF(통합!$F$1:$F$400="타교회",ROW(통합!$F$1:$F$400)),12)),"")</f>
        <v/>
      </c>
      <c r="I15" s="44">
        <f t="array" ref="I15:I15">IFERROR(INDEX(통합!$B$1:$B$400,SMALL(IF(통합!$F$1:$F$400="타교회",ROW(통합!$F$1:$F$400)),12)),"")</f>
        <v/>
      </c>
      <c r="J15" s="44">
        <f t="array" ref="J15:J15">IFERROR(INDEX(통합!$C$1:$C$400,SMALL(IF(통합!$F$1:$F$400="타교회",ROW(통합!$F$1:$F$400)),12)),"")</f>
        <v/>
      </c>
      <c r="K15" s="44" t="n"/>
    </row>
    <row r="16" ht="19.5" customHeight="1" s="33">
      <c r="A16" s="41" t="n">
        <v>13</v>
      </c>
      <c r="B16" s="42">
        <f t="array" ref="B16:B16">IFERROR(INDEX(통합!$A$1:$A$400,SMALL(IF(통합!$E$1:$E$400="타교회",ROW(통합!$E$1:$E$400)),13)),"")</f>
        <v/>
      </c>
      <c r="C16" s="42">
        <f t="array" ref="C16:C16">IFERROR(INDEX(통합!$B$1:$B$400,SMALL(IF(통합!$E$1:$E$400="타교회",ROW(통합!$E$1:$E$400)),13)),"")</f>
        <v/>
      </c>
      <c r="D16" s="42">
        <f t="array" ref="D16:D16">IFERROR(INDEX(통합!$C$1:$C$400,SMALL(IF(통합!$E$1:$E$400="타교회",ROW(통합!$E$1:$E$400)),13)),"")</f>
        <v/>
      </c>
      <c r="E16" s="42" t="n"/>
      <c r="H16" s="42">
        <f t="array" ref="H16:H16">IFERROR(INDEX(통합!$A$1:$A$400,SMALL(IF(통합!$F$1:$F$400="타교회",ROW(통합!$F$1:$F$400)),13)),"")</f>
        <v/>
      </c>
      <c r="I16" s="42">
        <f t="array" ref="I16:I16">IFERROR(INDEX(통합!$B$1:$B$400,SMALL(IF(통합!$F$1:$F$400="타교회",ROW(통합!$F$1:$F$400)),13)),"")</f>
        <v/>
      </c>
      <c r="J16" s="42">
        <f t="array" ref="J16:J16">IFERROR(INDEX(통합!$C$1:$C$400,SMALL(IF(통합!$F$1:$F$400="타교회",ROW(통합!$F$1:$F$400)),13)),"")</f>
        <v/>
      </c>
      <c r="K16" s="42" t="n"/>
    </row>
    <row r="17" ht="19.5" customHeight="1" s="33">
      <c r="A17" s="43" t="n">
        <v>14</v>
      </c>
      <c r="B17" s="44">
        <f t="array" ref="B17:B17">IFERROR(INDEX(통합!$A$1:$A$400,SMALL(IF(통합!$E$1:$E$400="타교회",ROW(통합!$E$1:$E$400)),14)),"")</f>
        <v/>
      </c>
      <c r="C17" s="44">
        <f t="array" ref="C17:C17">IFERROR(INDEX(통합!$B$1:$B$400,SMALL(IF(통합!$E$1:$E$400="타교회",ROW(통합!$E$1:$E$400)),14)),"")</f>
        <v/>
      </c>
      <c r="D17" s="44">
        <f t="array" ref="D17:D17">IFERROR(INDEX(통합!$C$1:$C$400,SMALL(IF(통합!$E$1:$E$400="타교회",ROW(통합!$E$1:$E$400)),14)),"")</f>
        <v/>
      </c>
      <c r="E17" s="44" t="n"/>
      <c r="H17" s="44">
        <f t="array" ref="H17:H17">IFERROR(INDEX(통합!$A$1:$A$400,SMALL(IF(통합!$F$1:$F$400="타교회",ROW(통합!$F$1:$F$400)),14)),"")</f>
        <v/>
      </c>
      <c r="I17" s="44">
        <f t="array" ref="I17:I17">IFERROR(INDEX(통합!$B$1:$B$400,SMALL(IF(통합!$F$1:$F$400="타교회",ROW(통합!$F$1:$F$400)),14)),"")</f>
        <v/>
      </c>
      <c r="J17" s="44">
        <f t="array" ref="J17:J17">IFERROR(INDEX(통합!$C$1:$C$400,SMALL(IF(통합!$F$1:$F$400="타교회",ROW(통합!$F$1:$F$400)),14)),"")</f>
        <v/>
      </c>
      <c r="K17" s="44" t="n"/>
    </row>
    <row r="18" ht="19.5" customHeight="1" s="33">
      <c r="A18" s="41" t="n">
        <v>15</v>
      </c>
      <c r="B18" s="42">
        <f t="array" ref="B18:B18">IFERROR(INDEX(통합!$A$1:$A$400,SMALL(IF(통합!$E$1:$E$400="타교회",ROW(통합!$E$1:$E$400)),15)),"")</f>
        <v/>
      </c>
      <c r="C18" s="42">
        <f t="array" ref="C18:C18">IFERROR(INDEX(통합!$B$1:$B$400,SMALL(IF(통합!$E$1:$E$400="타교회",ROW(통합!$E$1:$E$400)),15)),"")</f>
        <v/>
      </c>
      <c r="D18" s="42">
        <f t="array" ref="D18:D18">IFERROR(INDEX(통합!$C$1:$C$400,SMALL(IF(통합!$E$1:$E$400="타교회",ROW(통합!$E$1:$E$400)),15)),"")</f>
        <v/>
      </c>
      <c r="E18" s="42" t="n"/>
      <c r="H18" s="42">
        <f t="array" ref="H18:H18">IFERROR(INDEX(통합!$A$1:$A$400,SMALL(IF(통합!$F$1:$F$400="타교회",ROW(통합!$F$1:$F$400)),15)),"")</f>
        <v/>
      </c>
      <c r="I18" s="42">
        <f t="array" ref="I18:I18">IFERROR(INDEX(통합!$B$1:$B$400,SMALL(IF(통합!$F$1:$F$400="타교회",ROW(통합!$F$1:$F$400)),15)),"")</f>
        <v/>
      </c>
      <c r="J18" s="42">
        <f t="array" ref="J18:J18">IFERROR(INDEX(통합!$C$1:$C$400,SMALL(IF(통합!$F$1:$F$400="타교회",ROW(통합!$F$1:$F$400)),15)),"")</f>
        <v/>
      </c>
      <c r="K18" s="42" t="n"/>
    </row>
    <row r="19" ht="19.5" customHeight="1" s="33">
      <c r="A19" s="43" t="n">
        <v>16</v>
      </c>
      <c r="B19" s="44">
        <f t="array" ref="B19:B19">IFERROR(INDEX(통합!$A$1:$A$400,SMALL(IF(통합!$E$1:$E$400="타교회",ROW(통합!$E$1:$E$400)),16)),"")</f>
        <v/>
      </c>
      <c r="C19" s="44">
        <f t="array" ref="C19:C19">IFERROR(INDEX(통합!$B$1:$B$400,SMALL(IF(통합!$E$1:$E$400="타교회",ROW(통합!$E$1:$E$400)),16)),"")</f>
        <v/>
      </c>
      <c r="D19" s="44">
        <f t="array" ref="D19:D19">IFERROR(INDEX(통합!$C$1:$C$400,SMALL(IF(통합!$E$1:$E$400="타교회",ROW(통합!$E$1:$E$400)),16)),"")</f>
        <v/>
      </c>
      <c r="E19" s="44" t="n"/>
      <c r="H19" s="44">
        <f t="array" ref="H19:H19">IFERROR(INDEX(통합!$A$1:$A$400,SMALL(IF(통합!$F$1:$F$400="타교회",ROW(통합!$F$1:$F$400)),16)),"")</f>
        <v/>
      </c>
      <c r="I19" s="44">
        <f t="array" ref="I19:I19">IFERROR(INDEX(통합!$B$1:$B$400,SMALL(IF(통합!$F$1:$F$400="타교회",ROW(통합!$F$1:$F$400)),16)),"")</f>
        <v/>
      </c>
      <c r="J19" s="44">
        <f t="array" ref="J19:J19">IFERROR(INDEX(통합!$C$1:$C$400,SMALL(IF(통합!$F$1:$F$400="타교회",ROW(통합!$F$1:$F$400)),16)),"")</f>
        <v/>
      </c>
      <c r="K19" s="44" t="n"/>
    </row>
    <row r="20" ht="19.5" customHeight="1" s="33">
      <c r="A20" s="41" t="n">
        <v>17</v>
      </c>
      <c r="B20" s="42">
        <f t="array" ref="B20:B20">IFERROR(INDEX(통합!$A$1:$A$400,SMALL(IF(통합!$E$1:$E$400="타교회",ROW(통합!$E$1:$E$400)),17)),"")</f>
        <v/>
      </c>
      <c r="C20" s="42">
        <f t="array" ref="C20:C20">IFERROR(INDEX(통합!$B$1:$B$400,SMALL(IF(통합!$E$1:$E$400="타교회",ROW(통합!$E$1:$E$400)),17)),"")</f>
        <v/>
      </c>
      <c r="D20" s="42">
        <f t="array" ref="D20:D20">IFERROR(INDEX(통합!$C$1:$C$400,SMALL(IF(통합!$E$1:$E$400="타교회",ROW(통합!$E$1:$E$400)),17)),"")</f>
        <v/>
      </c>
      <c r="E20" s="42" t="n"/>
      <c r="H20" s="42">
        <f t="array" ref="H20:H20">IFERROR(INDEX(통합!$A$1:$A$400,SMALL(IF(통합!$F$1:$F$400="타교회",ROW(통합!$F$1:$F$400)),17)),"")</f>
        <v/>
      </c>
      <c r="I20" s="42">
        <f t="array" ref="I20:I20">IFERROR(INDEX(통합!$B$1:$B$400,SMALL(IF(통합!$F$1:$F$400="타교회",ROW(통합!$F$1:$F$400)),17)),"")</f>
        <v/>
      </c>
      <c r="J20" s="42">
        <f t="array" ref="J20:J20">IFERROR(INDEX(통합!$C$1:$C$400,SMALL(IF(통합!$F$1:$F$400="타교회",ROW(통합!$F$1:$F$400)),17)),"")</f>
        <v/>
      </c>
      <c r="K20" s="42" t="n"/>
    </row>
    <row r="21" ht="19.5" customHeight="1" s="33">
      <c r="A21" s="43" t="n">
        <v>18</v>
      </c>
      <c r="B21" s="44">
        <f t="array" ref="B21:B21">IFERROR(INDEX(통합!$A$1:$A$400,SMALL(IF(통합!$E$1:$E$400="타교회",ROW(통합!$E$1:$E$400)),18)),"")</f>
        <v/>
      </c>
      <c r="C21" s="44">
        <f t="array" ref="C21:C21">IFERROR(INDEX(통합!$B$1:$B$400,SMALL(IF(통합!$E$1:$E$400="타교회",ROW(통합!$E$1:$E$400)),18)),"")</f>
        <v/>
      </c>
      <c r="D21" s="44">
        <f t="array" ref="D21:D21">IFERROR(INDEX(통합!$C$1:$C$400,SMALL(IF(통합!$E$1:$E$400="타교회",ROW(통합!$E$1:$E$400)),18)),"")</f>
        <v/>
      </c>
      <c r="E21" s="44" t="n"/>
      <c r="H21" s="44">
        <f t="array" ref="H21:H21">IFERROR(INDEX(통합!$A$1:$A$400,SMALL(IF(통합!$F$1:$F$400="타교회",ROW(통합!$F$1:$F$400)),18)),"")</f>
        <v/>
      </c>
      <c r="I21" s="44">
        <f t="array" ref="I21:I21">IFERROR(INDEX(통합!$B$1:$B$400,SMALL(IF(통합!$F$1:$F$400="타교회",ROW(통합!$F$1:$F$400)),18)),"")</f>
        <v/>
      </c>
      <c r="J21" s="44">
        <f t="array" ref="J21:J21">IFERROR(INDEX(통합!$C$1:$C$400,SMALL(IF(통합!$F$1:$F$400="타교회",ROW(통합!$F$1:$F$400)),18)),"")</f>
        <v/>
      </c>
      <c r="K21" s="44" t="n"/>
    </row>
    <row r="22" ht="19.5" customHeight="1" s="33">
      <c r="A22" s="41" t="n">
        <v>19</v>
      </c>
      <c r="B22" s="42">
        <f t="array" ref="B22:B22">IFERROR(INDEX(통합!$A$1:$A$400,SMALL(IF(통합!$E$1:$E$400="타교회",ROW(통합!$E$1:$E$400)),19)),"")</f>
        <v/>
      </c>
      <c r="C22" s="42">
        <f t="array" ref="C22:C22">IFERROR(INDEX(통합!$B$1:$B$400,SMALL(IF(통합!$E$1:$E$400="타교회",ROW(통합!$E$1:$E$400)),19)),"")</f>
        <v/>
      </c>
      <c r="D22" s="42">
        <f t="array" ref="D22:D22">IFERROR(INDEX(통합!$C$1:$C$400,SMALL(IF(통합!$E$1:$E$400="타교회",ROW(통합!$E$1:$E$400)),19)),"")</f>
        <v/>
      </c>
      <c r="E22" s="42" t="n"/>
      <c r="H22" s="42">
        <f t="array" ref="H22:H22">IFERROR(INDEX(통합!$A$1:$A$400,SMALL(IF(통합!$F$1:$F$400="타교회",ROW(통합!$F$1:$F$400)),19)),"")</f>
        <v/>
      </c>
      <c r="I22" s="42">
        <f t="array" ref="I22:I22">IFERROR(INDEX(통합!$B$1:$B$400,SMALL(IF(통합!$F$1:$F$400="타교회",ROW(통합!$F$1:$F$400)),19)),"")</f>
        <v/>
      </c>
      <c r="J22" s="42">
        <f t="array" ref="J22:J22">IFERROR(INDEX(통합!$C$1:$C$400,SMALL(IF(통합!$F$1:$F$400="타교회",ROW(통합!$F$1:$F$400)),19)),"")</f>
        <v/>
      </c>
      <c r="K22" s="42" t="n"/>
    </row>
    <row r="23" ht="19.5" customHeight="1" s="33">
      <c r="A23" s="43" t="n">
        <v>20</v>
      </c>
      <c r="B23" s="44">
        <f t="array" ref="B23:B23">IFERROR(INDEX(통합!$A$1:$A$400,SMALL(IF(통합!$E$1:$E$400="타교회",ROW(통합!$E$1:$E$400)),20)),"")</f>
        <v/>
      </c>
      <c r="C23" s="44">
        <f t="array" ref="C23:C23">IFERROR(INDEX(통합!$B$1:$B$400,SMALL(IF(통합!$E$1:$E$400="타교회",ROW(통합!$E$1:$E$400)),20)),"")</f>
        <v/>
      </c>
      <c r="D23" s="44">
        <f t="array" ref="D23:D23">IFERROR(INDEX(통합!$C$1:$C$400,SMALL(IF(통합!$E$1:$E$400="타교회",ROW(통합!$E$1:$E$400)),20)),"")</f>
        <v/>
      </c>
      <c r="E23" s="44" t="n"/>
      <c r="H23" s="44">
        <f t="array" ref="H23:H23">IFERROR(INDEX(통합!$A$1:$A$400,SMALL(IF(통합!$F$1:$F$400="타교회",ROW(통합!$F$1:$F$400)),20)),"")</f>
        <v/>
      </c>
      <c r="I23" s="44">
        <f t="array" ref="I23:I23">IFERROR(INDEX(통합!$B$1:$B$400,SMALL(IF(통합!$F$1:$F$400="타교회",ROW(통합!$F$1:$F$400)),20)),"")</f>
        <v/>
      </c>
      <c r="J23" s="44">
        <f t="array" ref="J23:J23">IFERROR(INDEX(통합!$C$1:$C$400,SMALL(IF(통합!$F$1:$F$400="타교회",ROW(통합!$F$1:$F$400)),20)),"")</f>
        <v/>
      </c>
      <c r="K23" s="44" t="n"/>
    </row>
    <row r="24" ht="19.5" customHeight="1" s="33">
      <c r="A24" s="41" t="n">
        <v>21</v>
      </c>
      <c r="B24" s="42">
        <f t="array" ref="B24:B24">IFERROR(INDEX(통합!$A$1:$A$400,SMALL(IF(통합!$E$1:$E$400="타교회",ROW(통합!$E$1:$E$400)),21)),"")</f>
        <v/>
      </c>
      <c r="C24" s="42">
        <f t="array" ref="C24:C24">IFERROR(INDEX(통합!$B$1:$B$400,SMALL(IF(통합!$E$1:$E$400="타교회",ROW(통합!$E$1:$E$400)),21)),"")</f>
        <v/>
      </c>
      <c r="D24" s="42">
        <f t="array" ref="D24:D24">IFERROR(INDEX(통합!$C$1:$C$400,SMALL(IF(통합!$E$1:$E$400="타교회",ROW(통합!$E$1:$E$400)),21)),"")</f>
        <v/>
      </c>
      <c r="E24" s="42" t="n"/>
      <c r="H24" s="42">
        <f t="array" ref="H24:H24">IFERROR(INDEX(통합!$A$1:$A$400,SMALL(IF(통합!$F$1:$F$400="타교회",ROW(통합!$F$1:$F$400)),21)),"")</f>
        <v/>
      </c>
      <c r="I24" s="42">
        <f t="array" ref="I24:I24">IFERROR(INDEX(통합!$B$1:$B$400,SMALL(IF(통합!$F$1:$F$400="타교회",ROW(통합!$F$1:$F$400)),21)),"")</f>
        <v/>
      </c>
      <c r="J24" s="42">
        <f t="array" ref="J24:J24">IFERROR(INDEX(통합!$C$1:$C$400,SMALL(IF(통합!$F$1:$F$400="타교회",ROW(통합!$F$1:$F$400)),21)),"")</f>
        <v/>
      </c>
      <c r="K24" s="42" t="n"/>
    </row>
    <row r="25" ht="19.5" customHeight="1" s="33">
      <c r="A25" s="43" t="n">
        <v>22</v>
      </c>
      <c r="B25" s="44">
        <f t="array" ref="B25:B25">IFERROR(INDEX(통합!$A$1:$A$400,SMALL(IF(통합!$E$1:$E$400="타교회",ROW(통합!$E$1:$E$400)),22)),"")</f>
        <v/>
      </c>
      <c r="C25" s="44">
        <f t="array" ref="C25:C25">IFERROR(INDEX(통합!$B$1:$B$400,SMALL(IF(통합!$E$1:$E$400="타교회",ROW(통합!$E$1:$E$400)),22)),"")</f>
        <v/>
      </c>
      <c r="D25" s="44">
        <f t="array" ref="D25:D25">IFERROR(INDEX(통합!$C$1:$C$400,SMALL(IF(통합!$E$1:$E$400="타교회",ROW(통합!$E$1:$E$400)),22)),"")</f>
        <v/>
      </c>
      <c r="E25" s="44" t="n"/>
      <c r="H25" s="44">
        <f t="array" ref="H25:H25">IFERROR(INDEX(통합!$A$1:$A$400,SMALL(IF(통합!$F$1:$F$400="타교회",ROW(통합!$F$1:$F$400)),22)),"")</f>
        <v/>
      </c>
      <c r="I25" s="44">
        <f t="array" ref="I25:I25">IFERROR(INDEX(통합!$B$1:$B$400,SMALL(IF(통합!$F$1:$F$400="타교회",ROW(통합!$F$1:$F$400)),22)),"")</f>
        <v/>
      </c>
      <c r="J25" s="44">
        <f t="array" ref="J25:J25">IFERROR(INDEX(통합!$C$1:$C$400,SMALL(IF(통합!$F$1:$F$400="타교회",ROW(통합!$F$1:$F$400)),22)),"")</f>
        <v/>
      </c>
      <c r="K25" s="44" t="n"/>
    </row>
    <row r="26" ht="19.5" customHeight="1" s="33">
      <c r="A26" s="41" t="n">
        <v>23</v>
      </c>
      <c r="B26" s="42">
        <f t="array" ref="B26:B26">IFERROR(INDEX(통합!$A$1:$A$400,SMALL(IF(통합!$E$1:$E$400="타교회",ROW(통합!$E$1:$E$400)),23)),"")</f>
        <v/>
      </c>
      <c r="C26" s="42">
        <f t="array" ref="C26:C26">IFERROR(INDEX(통합!$B$1:$B$400,SMALL(IF(통합!$E$1:$E$400="타교회",ROW(통합!$E$1:$E$400)),23)),"")</f>
        <v/>
      </c>
      <c r="D26" s="42">
        <f t="array" ref="D26:D26">IFERROR(INDEX(통합!$C$1:$C$400,SMALL(IF(통합!$E$1:$E$400="타교회",ROW(통합!$E$1:$E$400)),23)),"")</f>
        <v/>
      </c>
      <c r="E26" s="42" t="n"/>
      <c r="H26" s="42">
        <f t="array" ref="H26:H26">IFERROR(INDEX(통합!$A$1:$A$400,SMALL(IF(통합!$F$1:$F$400="타교회",ROW(통합!$F$1:$F$400)),23)),"")</f>
        <v/>
      </c>
      <c r="I26" s="42">
        <f t="array" ref="I26:I26">IFERROR(INDEX(통합!$B$1:$B$400,SMALL(IF(통합!$F$1:$F$400="타교회",ROW(통합!$F$1:$F$400)),23)),"")</f>
        <v/>
      </c>
      <c r="J26" s="42">
        <f t="array" ref="J26:J26">IFERROR(INDEX(통합!$C$1:$C$400,SMALL(IF(통합!$F$1:$F$400="타교회",ROW(통합!$F$1:$F$400)),23)),"")</f>
        <v/>
      </c>
      <c r="K26" s="42" t="n"/>
    </row>
    <row r="27" ht="19.5" customHeight="1" s="33">
      <c r="A27" s="43" t="n">
        <v>24</v>
      </c>
      <c r="B27" s="44">
        <f t="array" ref="B27:B27">IFERROR(INDEX(통합!$A$1:$A$400,SMALL(IF(통합!$E$1:$E$400="타교회",ROW(통합!$E$1:$E$400)),24)),"")</f>
        <v/>
      </c>
      <c r="C27" s="44">
        <f t="array" ref="C27:C27">IFERROR(INDEX(통합!$B$1:$B$400,SMALL(IF(통합!$E$1:$E$400="타교회",ROW(통합!$E$1:$E$400)),24)),"")</f>
        <v/>
      </c>
      <c r="D27" s="44">
        <f t="array" ref="D27:D27">IFERROR(INDEX(통합!$C$1:$C$400,SMALL(IF(통합!$E$1:$E$400="타교회",ROW(통합!$E$1:$E$400)),24)),"")</f>
        <v/>
      </c>
      <c r="E27" s="44" t="n"/>
      <c r="H27" s="44">
        <f t="array" ref="H27:H27">IFERROR(INDEX(통합!$A$1:$A$400,SMALL(IF(통합!$F$1:$F$400="타교회",ROW(통합!$F$1:$F$400)),24)),"")</f>
        <v/>
      </c>
      <c r="I27" s="44">
        <f t="array" ref="I27:I27">IFERROR(INDEX(통합!$B$1:$B$400,SMALL(IF(통합!$F$1:$F$400="타교회",ROW(통합!$F$1:$F$400)),24)),"")</f>
        <v/>
      </c>
      <c r="J27" s="44">
        <f t="array" ref="J27:J27">IFERROR(INDEX(통합!$C$1:$C$400,SMALL(IF(통합!$F$1:$F$400="타교회",ROW(통합!$F$1:$F$400)),24)),"")</f>
        <v/>
      </c>
      <c r="K27" s="44" t="n"/>
    </row>
    <row r="28" ht="19.5" customHeight="1" s="33">
      <c r="A28" s="41" t="n">
        <v>25</v>
      </c>
      <c r="B28" s="42">
        <f t="array" ref="B28:B28">IFERROR(INDEX(통합!$A$1:$A$400,SMALL(IF(통합!$E$1:$E$400="타교회",ROW(통합!$E$1:$E$400)),25)),"")</f>
        <v/>
      </c>
      <c r="C28" s="42">
        <f t="array" ref="C28:C28">IFERROR(INDEX(통합!$B$1:$B$400,SMALL(IF(통합!$E$1:$E$400="타교회",ROW(통합!$E$1:$E$400)),25)),"")</f>
        <v/>
      </c>
      <c r="D28" s="42">
        <f t="array" ref="D28:D28">IFERROR(INDEX(통합!$C$1:$C$400,SMALL(IF(통합!$E$1:$E$400="타교회",ROW(통합!$E$1:$E$400)),25)),"")</f>
        <v/>
      </c>
      <c r="E28" s="42" t="n"/>
      <c r="H28" s="42">
        <f t="array" ref="H28:H28">IFERROR(INDEX(통합!$A$1:$A$400,SMALL(IF(통합!$F$1:$F$400="타교회",ROW(통합!$F$1:$F$400)),25)),"")</f>
        <v/>
      </c>
      <c r="I28" s="42">
        <f t="array" ref="I28:I28">IFERROR(INDEX(통합!$B$1:$B$400,SMALL(IF(통합!$F$1:$F$400="타교회",ROW(통합!$F$1:$F$400)),25)),"")</f>
        <v/>
      </c>
      <c r="J28" s="42">
        <f t="array" ref="J28:J28">IFERROR(INDEX(통합!$C$1:$C$400,SMALL(IF(통합!$F$1:$F$400="타교회",ROW(통합!$F$1:$F$400)),25)),"")</f>
        <v/>
      </c>
      <c r="K28" s="42" t="n"/>
    </row>
    <row r="29" ht="19.5" customHeight="1" s="33">
      <c r="A29" s="43" t="n">
        <v>26</v>
      </c>
      <c r="B29" s="44">
        <f t="array" ref="B29:B29">IFERROR(INDEX(통합!$A$1:$A$400,SMALL(IF(통합!$E$1:$E$400="타교회",ROW(통합!$E$1:$E$400)),26)),"")</f>
        <v/>
      </c>
      <c r="C29" s="44">
        <f t="array" ref="C29:C29">IFERROR(INDEX(통합!$B$1:$B$400,SMALL(IF(통합!$E$1:$E$400="타교회",ROW(통합!$E$1:$E$400)),26)),"")</f>
        <v/>
      </c>
      <c r="D29" s="44">
        <f t="array" ref="D29:D29">IFERROR(INDEX(통합!$C$1:$C$400,SMALL(IF(통합!$E$1:$E$400="타교회",ROW(통합!$E$1:$E$400)),26)),"")</f>
        <v/>
      </c>
      <c r="E29" s="44" t="n"/>
      <c r="H29" s="44">
        <f t="array" ref="H29:H29">IFERROR(INDEX(통합!$A$1:$A$400,SMALL(IF(통합!$F$1:$F$400="타교회",ROW(통합!$F$1:$F$400)),26)),"")</f>
        <v/>
      </c>
      <c r="I29" s="44">
        <f t="array" ref="I29:I29">IFERROR(INDEX(통합!$B$1:$B$400,SMALL(IF(통합!$F$1:$F$400="타교회",ROW(통합!$F$1:$F$400)),26)),"")</f>
        <v/>
      </c>
      <c r="J29" s="44">
        <f t="array" ref="J29:J29">IFERROR(INDEX(통합!$C$1:$C$400,SMALL(IF(통합!$F$1:$F$400="타교회",ROW(통합!$F$1:$F$400)),26)),"")</f>
        <v/>
      </c>
      <c r="K29" s="44" t="n"/>
    </row>
    <row r="30" ht="19.5" customHeight="1" s="33">
      <c r="A30" s="41" t="n">
        <v>27</v>
      </c>
      <c r="B30" s="42">
        <f t="array" ref="B30:B30">IFERROR(INDEX(통합!$A$1:$A$400,SMALL(IF(통합!$E$1:$E$400="타교회",ROW(통합!$E$1:$E$400)),27)),"")</f>
        <v/>
      </c>
      <c r="C30" s="42">
        <f t="array" ref="C30:C30">IFERROR(INDEX(통합!$B$1:$B$400,SMALL(IF(통합!$E$1:$E$400="타교회",ROW(통합!$E$1:$E$400)),27)),"")</f>
        <v/>
      </c>
      <c r="D30" s="42">
        <f t="array" ref="D30:D30">IFERROR(INDEX(통합!$C$1:$C$400,SMALL(IF(통합!$E$1:$E$400="타교회",ROW(통합!$E$1:$E$400)),27)),"")</f>
        <v/>
      </c>
      <c r="E30" s="42" t="n"/>
      <c r="H30" s="42">
        <f t="array" ref="H30:H30">IFERROR(INDEX(통합!$A$1:$A$400,SMALL(IF(통합!$F$1:$F$400="타교회",ROW(통합!$F$1:$F$400)),27)),"")</f>
        <v/>
      </c>
      <c r="I30" s="42">
        <f t="array" ref="I30:I30">IFERROR(INDEX(통합!$B$1:$B$400,SMALL(IF(통합!$F$1:$F$400="타교회",ROW(통합!$F$1:$F$400)),27)),"")</f>
        <v/>
      </c>
      <c r="J30" s="42">
        <f t="array" ref="J30:J30">IFERROR(INDEX(통합!$C$1:$C$400,SMALL(IF(통합!$F$1:$F$400="타교회",ROW(통합!$F$1:$F$400)),27)),"")</f>
        <v/>
      </c>
      <c r="K30" s="42" t="n"/>
    </row>
    <row r="31" ht="19.5" customHeight="1" s="33">
      <c r="A31" s="43" t="n">
        <v>28</v>
      </c>
      <c r="B31" s="44">
        <f t="array" ref="B31:B31">IFERROR(INDEX(통합!$A$1:$A$400,SMALL(IF(통합!$E$1:$E$400="타교회",ROW(통합!$E$1:$E$400)),28)),"")</f>
        <v/>
      </c>
      <c r="C31" s="44">
        <f t="array" ref="C31:C31">IFERROR(INDEX(통합!$B$1:$B$400,SMALL(IF(통합!$E$1:$E$400="타교회",ROW(통합!$E$1:$E$400)),28)),"")</f>
        <v/>
      </c>
      <c r="D31" s="44">
        <f t="array" ref="D31:D31">IFERROR(INDEX(통합!$C$1:$C$400,SMALL(IF(통합!$E$1:$E$400="타교회",ROW(통합!$E$1:$E$400)),28)),"")</f>
        <v/>
      </c>
      <c r="E31" s="44" t="n"/>
      <c r="H31" s="44">
        <f t="array" ref="H31:H31">IFERROR(INDEX(통합!$A$1:$A$400,SMALL(IF(통합!$F$1:$F$400="타교회",ROW(통합!$F$1:$F$400)),28)),"")</f>
        <v/>
      </c>
      <c r="I31" s="44">
        <f t="array" ref="I31:I31">IFERROR(INDEX(통합!$B$1:$B$400,SMALL(IF(통합!$F$1:$F$400="타교회",ROW(통합!$F$1:$F$400)),28)),"")</f>
        <v/>
      </c>
      <c r="J31" s="44">
        <f t="array" ref="J31:J31">IFERROR(INDEX(통합!$C$1:$C$400,SMALL(IF(통합!$F$1:$F$400="타교회",ROW(통합!$F$1:$F$400)),28)),"")</f>
        <v/>
      </c>
      <c r="K31" s="44" t="n"/>
    </row>
    <row r="32" ht="19.5" customHeight="1" s="33">
      <c r="A32" s="41" t="n">
        <v>29</v>
      </c>
      <c r="B32" s="42">
        <f t="array" ref="B32:B32">IFERROR(INDEX(통합!$A$1:$A$400,SMALL(IF(통합!$E$1:$E$400="타교회",ROW(통합!$E$1:$E$400)),29)),"")</f>
        <v/>
      </c>
      <c r="C32" s="42">
        <f t="array" ref="C32:C32">IFERROR(INDEX(통합!$B$1:$B$400,SMALL(IF(통합!$E$1:$E$400="타교회",ROW(통합!$E$1:$E$400)),29)),"")</f>
        <v/>
      </c>
      <c r="D32" s="42">
        <f t="array" ref="D32:D32">IFERROR(INDEX(통합!$C$1:$C$400,SMALL(IF(통합!$E$1:$E$400="타교회",ROW(통합!$E$1:$E$400)),29)),"")</f>
        <v/>
      </c>
      <c r="E32" s="42" t="n"/>
      <c r="H32" s="42">
        <f t="array" ref="H32:H32">IFERROR(INDEX(통합!$A$1:$A$400,SMALL(IF(통합!$F$1:$F$400="타교회",ROW(통합!$F$1:$F$400)),29)),"")</f>
        <v/>
      </c>
      <c r="I32" s="42">
        <f t="array" ref="I32:I32">IFERROR(INDEX(통합!$B$1:$B$400,SMALL(IF(통합!$F$1:$F$400="타교회",ROW(통합!$F$1:$F$400)),29)),"")</f>
        <v/>
      </c>
      <c r="J32" s="42">
        <f t="array" ref="J32:J32">IFERROR(INDEX(통합!$C$1:$C$400,SMALL(IF(통합!$F$1:$F$400="타교회",ROW(통합!$F$1:$F$400)),29)),"")</f>
        <v/>
      </c>
      <c r="K32" s="42" t="n"/>
    </row>
    <row r="33" ht="19.5" customHeight="1" s="33">
      <c r="A33" s="43" t="n">
        <v>30</v>
      </c>
      <c r="B33" s="44">
        <f t="array" ref="B33:B33">IFERROR(INDEX(통합!$A$1:$A$400,SMALL(IF(통합!$E$1:$E$400="타교회",ROW(통합!$E$1:$E$400)),30)),"")</f>
        <v/>
      </c>
      <c r="C33" s="44">
        <f t="array" ref="C33:C33">IFERROR(INDEX(통합!$B$1:$B$400,SMALL(IF(통합!$E$1:$E$400="타교회",ROW(통합!$E$1:$E$400)),30)),"")</f>
        <v/>
      </c>
      <c r="D33" s="44">
        <f t="array" ref="D33:D33">IFERROR(INDEX(통합!$C$1:$C$400,SMALL(IF(통합!$E$1:$E$400="타교회",ROW(통합!$E$1:$E$400)),30)),"")</f>
        <v/>
      </c>
      <c r="E33" s="44" t="n"/>
      <c r="H33" s="44">
        <f t="array" ref="H33:H33">IFERROR(INDEX(통합!$A$1:$A$400,SMALL(IF(통합!$F$1:$F$400="타교회",ROW(통합!$F$1:$F$400)),30)),"")</f>
        <v/>
      </c>
      <c r="I33" s="44">
        <f t="array" ref="I33:I33">IFERROR(INDEX(통합!$B$1:$B$400,SMALL(IF(통합!$F$1:$F$400="타교회",ROW(통합!$F$1:$F$400)),30)),"")</f>
        <v/>
      </c>
      <c r="J33" s="44">
        <f t="array" ref="J33:J33">IFERROR(INDEX(통합!$C$1:$C$400,SMALL(IF(통합!$F$1:$F$400="타교회",ROW(통합!$F$1:$F$400)),30)),"")</f>
        <v/>
      </c>
      <c r="K33" s="44" t="n"/>
    </row>
    <row r="34" ht="19.5" customHeight="1" s="33">
      <c r="A34" s="41" t="n">
        <v>31</v>
      </c>
      <c r="B34" s="42">
        <f t="array" ref="B34:B34">IFERROR(INDEX(통합!$A$1:$A$400,SMALL(IF(통합!$E$1:$E$400="타교회",ROW(통합!$E$1:$E$400)),31)),"")</f>
        <v/>
      </c>
      <c r="C34" s="42">
        <f t="array" ref="C34:C34">IFERROR(INDEX(통합!$B$1:$B$400,SMALL(IF(통합!$E$1:$E$400="타교회",ROW(통합!$E$1:$E$400)),31)),"")</f>
        <v/>
      </c>
      <c r="D34" s="42">
        <f t="array" ref="D34:D34">IFERROR(INDEX(통합!$C$1:$C$400,SMALL(IF(통합!$E$1:$E$400="타교회",ROW(통합!$E$1:$E$400)),31)),"")</f>
        <v/>
      </c>
      <c r="E34" s="42" t="n"/>
      <c r="H34" s="42">
        <f t="array" ref="H34:H34">IFERROR(INDEX(통합!$A$1:$A$400,SMALL(IF(통합!$F$1:$F$400="타교회",ROW(통합!$F$1:$F$400)),31)),"")</f>
        <v/>
      </c>
      <c r="I34" s="42">
        <f t="array" ref="I34:I34">IFERROR(INDEX(통합!$B$1:$B$400,SMALL(IF(통합!$F$1:$F$400="타교회",ROW(통합!$F$1:$F$400)),31)),"")</f>
        <v/>
      </c>
      <c r="J34" s="42">
        <f t="array" ref="J34:J34">IFERROR(INDEX(통합!$C$1:$C$400,SMALL(IF(통합!$F$1:$F$400="타교회",ROW(통합!$F$1:$F$400)),31)),"")</f>
        <v/>
      </c>
      <c r="K34" s="42" t="n"/>
    </row>
    <row r="35" ht="19.5" customHeight="1" s="33">
      <c r="A35" s="43" t="n">
        <v>32</v>
      </c>
      <c r="B35" s="44">
        <f t="array" ref="B35:B35">IFERROR(INDEX(통합!$A$1:$A$400,SMALL(IF(통합!$E$1:$E$400="타교회",ROW(통합!$E$1:$E$400)),32)),"")</f>
        <v/>
      </c>
      <c r="C35" s="44">
        <f t="array" ref="C35:C35">IFERROR(INDEX(통합!$B$1:$B$400,SMALL(IF(통합!$E$1:$E$400="타교회",ROW(통합!$E$1:$E$400)),32)),"")</f>
        <v/>
      </c>
      <c r="D35" s="44">
        <f t="array" ref="D35:D35">IFERROR(INDEX(통합!$C$1:$C$400,SMALL(IF(통합!$E$1:$E$400="타교회",ROW(통합!$E$1:$E$400)),32)),"")</f>
        <v/>
      </c>
      <c r="E35" s="44" t="n"/>
      <c r="H35" s="44">
        <f t="array" ref="H35:H35">IFERROR(INDEX(통합!$A$1:$A$400,SMALL(IF(통합!$F$1:$F$400="타교회",ROW(통합!$F$1:$F$400)),32)),"")</f>
        <v/>
      </c>
      <c r="I35" s="44">
        <f t="array" ref="I35:I35">IFERROR(INDEX(통합!$B$1:$B$400,SMALL(IF(통합!$F$1:$F$400="타교회",ROW(통합!$F$1:$F$400)),32)),"")</f>
        <v/>
      </c>
      <c r="J35" s="44">
        <f t="array" ref="J35:J35">IFERROR(INDEX(통합!$C$1:$C$400,SMALL(IF(통합!$F$1:$F$400="타교회",ROW(통합!$F$1:$F$400)),32)),"")</f>
        <v/>
      </c>
      <c r="K35" s="44" t="n"/>
    </row>
    <row r="36" ht="19.5" customHeight="1" s="33">
      <c r="A36" s="41" t="n">
        <v>33</v>
      </c>
      <c r="B36" s="42">
        <f t="array" ref="B36:B36">IFERROR(INDEX(통합!$A$1:$A$400,SMALL(IF(통합!$E$1:$E$400="타교회",ROW(통합!$E$1:$E$400)),33)),"")</f>
        <v/>
      </c>
      <c r="C36" s="42">
        <f t="array" ref="C36:C36">IFERROR(INDEX(통합!$B$1:$B$400,SMALL(IF(통합!$E$1:$E$400="타교회",ROW(통합!$E$1:$E$400)),33)),"")</f>
        <v/>
      </c>
      <c r="D36" s="42">
        <f t="array" ref="D36:D36">IFERROR(INDEX(통합!$C$1:$C$400,SMALL(IF(통합!$E$1:$E$400="타교회",ROW(통합!$E$1:$E$400)),33)),"")</f>
        <v/>
      </c>
      <c r="E36" s="42" t="n"/>
      <c r="H36" s="42">
        <f t="array" ref="H36:H36">IFERROR(INDEX(통합!$A$1:$A$400,SMALL(IF(통합!$F$1:$F$400="타교회",ROW(통합!$F$1:$F$400)),33)),"")</f>
        <v/>
      </c>
      <c r="I36" s="42">
        <f t="array" ref="I36:I36">IFERROR(INDEX(통합!$B$1:$B$400,SMALL(IF(통합!$F$1:$F$400="타교회",ROW(통합!$F$1:$F$400)),33)),"")</f>
        <v/>
      </c>
      <c r="J36" s="42">
        <f t="array" ref="J36:J36">IFERROR(INDEX(통합!$C$1:$C$400,SMALL(IF(통합!$F$1:$F$400="타교회",ROW(통합!$F$1:$F$400)),33)),"")</f>
        <v/>
      </c>
      <c r="K36" s="42" t="n"/>
    </row>
    <row r="37" ht="19.5" customHeight="1" s="33">
      <c r="A37" s="43" t="n">
        <v>34</v>
      </c>
      <c r="B37" s="44">
        <f t="array" ref="B37:B37">IFERROR(INDEX(통합!$A$1:$A$400,SMALL(IF(통합!$E$1:$E$400="타교회",ROW(통합!$E$1:$E$400)),34)),"")</f>
        <v/>
      </c>
      <c r="C37" s="44">
        <f t="array" ref="C37:C37">IFERROR(INDEX(통합!$B$1:$B$400,SMALL(IF(통합!$E$1:$E$400="타교회",ROW(통합!$E$1:$E$400)),34)),"")</f>
        <v/>
      </c>
      <c r="D37" s="44">
        <f t="array" ref="D37:D37">IFERROR(INDEX(통합!$C$1:$C$400,SMALL(IF(통합!$E$1:$E$400="타교회",ROW(통합!$E$1:$E$400)),34)),"")</f>
        <v/>
      </c>
      <c r="E37" s="44" t="n"/>
      <c r="H37" s="44">
        <f t="array" ref="H37:H37">IFERROR(INDEX(통합!$A$1:$A$400,SMALL(IF(통합!$F$1:$F$400="타교회",ROW(통합!$F$1:$F$400)),34)),"")</f>
        <v/>
      </c>
      <c r="I37" s="44">
        <f t="array" ref="I37:I37">IFERROR(INDEX(통합!$B$1:$B$400,SMALL(IF(통합!$F$1:$F$400="타교회",ROW(통합!$F$1:$F$400)),34)),"")</f>
        <v/>
      </c>
      <c r="J37" s="44">
        <f t="array" ref="J37:J37">IFERROR(INDEX(통합!$C$1:$C$400,SMALL(IF(통합!$F$1:$F$400="타교회",ROW(통합!$F$1:$F$400)),34)),"")</f>
        <v/>
      </c>
      <c r="K37" s="44" t="n"/>
    </row>
    <row r="38" ht="19.5" customHeight="1" s="33">
      <c r="A38" s="41" t="n">
        <v>35</v>
      </c>
      <c r="B38" s="42">
        <f t="array" ref="B38:B38">IFERROR(INDEX(통합!$A$1:$A$400,SMALL(IF(통합!$E$1:$E$400="타교회",ROW(통합!$E$1:$E$400)),35)),"")</f>
        <v/>
      </c>
      <c r="C38" s="42">
        <f t="array" ref="C38:C38">IFERROR(INDEX(통합!$B$1:$B$400,SMALL(IF(통합!$E$1:$E$400="타교회",ROW(통합!$E$1:$E$400)),35)),"")</f>
        <v/>
      </c>
      <c r="D38" s="42">
        <f t="array" ref="D38:D38">IFERROR(INDEX(통합!$C$1:$C$400,SMALL(IF(통합!$E$1:$E$400="타교회",ROW(통합!$E$1:$E$400)),35)),"")</f>
        <v/>
      </c>
      <c r="E38" s="42" t="n"/>
      <c r="H38" s="42">
        <f t="array" ref="H38:H38">IFERROR(INDEX(통합!$A$1:$A$400,SMALL(IF(통합!$F$1:$F$400="타교회",ROW(통합!$F$1:$F$400)),35)),"")</f>
        <v/>
      </c>
      <c r="I38" s="42">
        <f t="array" ref="I38:I38">IFERROR(INDEX(통합!$B$1:$B$400,SMALL(IF(통합!$F$1:$F$400="타교회",ROW(통합!$F$1:$F$400)),35)),"")</f>
        <v/>
      </c>
      <c r="J38" s="42">
        <f t="array" ref="J38:J38">IFERROR(INDEX(통합!$C$1:$C$400,SMALL(IF(통합!$F$1:$F$400="타교회",ROW(통합!$F$1:$F$400)),35)),"")</f>
        <v/>
      </c>
      <c r="K38" s="42" t="n"/>
    </row>
    <row r="39" ht="19.5" customHeight="1" s="33">
      <c r="A39" s="43" t="n">
        <v>36</v>
      </c>
      <c r="B39" s="44">
        <f t="array" ref="B39:B39">IFERROR(INDEX(통합!$A$1:$A$400,SMALL(IF(통합!$E$1:$E$400="타교회",ROW(통합!$E$1:$E$400)),36)),"")</f>
        <v/>
      </c>
      <c r="C39" s="44">
        <f t="array" ref="C39:C39">IFERROR(INDEX(통합!$B$1:$B$400,SMALL(IF(통합!$E$1:$E$400="타교회",ROW(통합!$E$1:$E$400)),36)),"")</f>
        <v/>
      </c>
      <c r="D39" s="44">
        <f t="array" ref="D39:D39">IFERROR(INDEX(통합!$C$1:$C$400,SMALL(IF(통합!$E$1:$E$400="타교회",ROW(통합!$E$1:$E$400)),36)),"")</f>
        <v/>
      </c>
      <c r="E39" s="44" t="n"/>
      <c r="H39" s="44">
        <f t="array" ref="H39:H39">IFERROR(INDEX(통합!$A$1:$A$400,SMALL(IF(통합!$F$1:$F$400="타교회",ROW(통합!$F$1:$F$400)),36)),"")</f>
        <v/>
      </c>
      <c r="I39" s="44">
        <f t="array" ref="I39:I39">IFERROR(INDEX(통합!$B$1:$B$400,SMALL(IF(통합!$F$1:$F$400="타교회",ROW(통합!$F$1:$F$400)),36)),"")</f>
        <v/>
      </c>
      <c r="J39" s="44">
        <f t="array" ref="J39:J39">IFERROR(INDEX(통합!$C$1:$C$400,SMALL(IF(통합!$F$1:$F$400="타교회",ROW(통합!$F$1:$F$400)),36)),"")</f>
        <v/>
      </c>
      <c r="K39" s="44" t="n"/>
    </row>
    <row r="40" ht="19.5" customHeight="1" s="33">
      <c r="A40" s="41" t="n">
        <v>37</v>
      </c>
      <c r="B40" s="42">
        <f t="array" ref="B40:B40">IFERROR(INDEX(통합!$A$1:$A$400,SMALL(IF(통합!$E$1:$E$400="타교회",ROW(통합!$E$1:$E$400)),37)),"")</f>
        <v/>
      </c>
      <c r="C40" s="42">
        <f t="array" ref="C40:C40">IFERROR(INDEX(통합!$B$1:$B$400,SMALL(IF(통합!$E$1:$E$400="타교회",ROW(통합!$E$1:$E$400)),37)),"")</f>
        <v/>
      </c>
      <c r="D40" s="42">
        <f t="array" ref="D40:D40">IFERROR(INDEX(통합!$C$1:$C$400,SMALL(IF(통합!$E$1:$E$400="타교회",ROW(통합!$E$1:$E$400)),37)),"")</f>
        <v/>
      </c>
      <c r="E40" s="42" t="n"/>
      <c r="H40" s="42">
        <f t="array" ref="H40:H40">IFERROR(INDEX(통합!$A$1:$A$400,SMALL(IF(통합!$F$1:$F$400="타교회",ROW(통합!$F$1:$F$400)),37)),"")</f>
        <v/>
      </c>
      <c r="I40" s="42">
        <f t="array" ref="I40:I40">IFERROR(INDEX(통합!$B$1:$B$400,SMALL(IF(통합!$F$1:$F$400="타교회",ROW(통합!$F$1:$F$400)),37)),"")</f>
        <v/>
      </c>
      <c r="J40" s="42">
        <f t="array" ref="J40:J40">IFERROR(INDEX(통합!$C$1:$C$400,SMALL(IF(통합!$F$1:$F$400="타교회",ROW(통합!$F$1:$F$400)),37)),"")</f>
        <v/>
      </c>
      <c r="K40" s="42" t="n"/>
    </row>
    <row r="41" ht="19.5" customHeight="1" s="33">
      <c r="A41" s="43" t="n">
        <v>38</v>
      </c>
      <c r="B41" s="44">
        <f t="array" ref="B41:B41">IFERROR(INDEX(통합!$A$1:$A$400,SMALL(IF(통합!$E$1:$E$400="타교회",ROW(통합!$E$1:$E$400)),38)),"")</f>
        <v/>
      </c>
      <c r="C41" s="44">
        <f t="array" ref="C41:C41">IFERROR(INDEX(통합!$B$1:$B$400,SMALL(IF(통합!$E$1:$E$400="타교회",ROW(통합!$E$1:$E$400)),38)),"")</f>
        <v/>
      </c>
      <c r="D41" s="44">
        <f t="array" ref="D41:D41">IFERROR(INDEX(통합!$C$1:$C$400,SMALL(IF(통합!$E$1:$E$400="타교회",ROW(통합!$E$1:$E$400)),38)),"")</f>
        <v/>
      </c>
      <c r="E41" s="44" t="n"/>
      <c r="H41" s="44">
        <f t="array" ref="H41:H41">IFERROR(INDEX(통합!$A$1:$A$400,SMALL(IF(통합!$F$1:$F$400="타교회",ROW(통합!$F$1:$F$400)),38)),"")</f>
        <v/>
      </c>
      <c r="I41" s="44">
        <f t="array" ref="I41:I41">IFERROR(INDEX(통합!$B$1:$B$400,SMALL(IF(통합!$F$1:$F$400="타교회",ROW(통합!$F$1:$F$400)),38)),"")</f>
        <v/>
      </c>
      <c r="J41" s="44">
        <f t="array" ref="J41:J41">IFERROR(INDEX(통합!$C$1:$C$400,SMALL(IF(통합!$F$1:$F$400="타교회",ROW(통합!$F$1:$F$400)),38)),"")</f>
        <v/>
      </c>
      <c r="K41" s="44" t="n"/>
    </row>
    <row r="42" ht="19.5" customHeight="1" s="33">
      <c r="A42" s="41" t="n">
        <v>39</v>
      </c>
      <c r="B42" s="42">
        <f t="array" ref="B42:B42">IFERROR(INDEX(통합!$A$1:$A$400,SMALL(IF(통합!$E$1:$E$400="타교회",ROW(통합!$E$1:$E$400)),39)),"")</f>
        <v/>
      </c>
      <c r="C42" s="42">
        <f t="array" ref="C42:C42">IFERROR(INDEX(통합!$B$1:$B$400,SMALL(IF(통합!$E$1:$E$400="타교회",ROW(통합!$E$1:$E$400)),39)),"")</f>
        <v/>
      </c>
      <c r="D42" s="42">
        <f t="array" ref="D42:D42">IFERROR(INDEX(통합!$C$1:$C$400,SMALL(IF(통합!$E$1:$E$400="타교회",ROW(통합!$E$1:$E$400)),39)),"")</f>
        <v/>
      </c>
      <c r="E42" s="42" t="n"/>
      <c r="H42" s="42">
        <f t="array" ref="H42:H42">IFERROR(INDEX(통합!$A$1:$A$400,SMALL(IF(통합!$F$1:$F$400="타교회",ROW(통합!$F$1:$F$400)),39)),"")</f>
        <v/>
      </c>
      <c r="I42" s="42">
        <f t="array" ref="I42:I42">IFERROR(INDEX(통합!$B$1:$B$400,SMALL(IF(통합!$F$1:$F$400="타교회",ROW(통합!$F$1:$F$400)),39)),"")</f>
        <v/>
      </c>
      <c r="J42" s="42">
        <f t="array" ref="J42:J42">IFERROR(INDEX(통합!$C$1:$C$400,SMALL(IF(통합!$F$1:$F$400="타교회",ROW(통합!$F$1:$F$400)),39)),"")</f>
        <v/>
      </c>
      <c r="K42" s="42" t="n"/>
    </row>
    <row r="43" ht="19.5" customHeight="1" s="33">
      <c r="A43" s="43" t="n">
        <v>40</v>
      </c>
      <c r="B43" s="44">
        <f t="array" ref="B43:B43">IFERROR(INDEX(통합!$A$1:$A$400,SMALL(IF(통합!$E$1:$E$400="타교회",ROW(통합!$E$1:$E$400)),40)),"")</f>
        <v/>
      </c>
      <c r="C43" s="44">
        <f t="array" ref="C43:C43">IFERROR(INDEX(통합!$B$1:$B$400,SMALL(IF(통합!$E$1:$E$400="타교회",ROW(통합!$E$1:$E$400)),40)),"")</f>
        <v/>
      </c>
      <c r="D43" s="44">
        <f t="array" ref="D43:D43">IFERROR(INDEX(통합!$C$1:$C$400,SMALL(IF(통합!$E$1:$E$400="타교회",ROW(통합!$E$1:$E$400)),40)),"")</f>
        <v/>
      </c>
      <c r="E43" s="44" t="n"/>
      <c r="H43" s="44">
        <f t="array" ref="H43:H43">IFERROR(INDEX(통합!$A$1:$A$400,SMALL(IF(통합!$F$1:$F$400="타교회",ROW(통합!$F$1:$F$400)),40)),"")</f>
        <v/>
      </c>
      <c r="I43" s="44">
        <f t="array" ref="I43:I43">IFERROR(INDEX(통합!$B$1:$B$400,SMALL(IF(통합!$F$1:$F$400="타교회",ROW(통합!$F$1:$F$400)),40)),"")</f>
        <v/>
      </c>
      <c r="J43" s="44">
        <f t="array" ref="J43:J43">IFERROR(INDEX(통합!$C$1:$C$400,SMALL(IF(통합!$F$1:$F$400="타교회",ROW(통합!$F$1:$F$400)),40)),"")</f>
        <v/>
      </c>
      <c r="K43" s="44" t="n"/>
    </row>
    <row r="44" ht="15" customHeight="1" s="33">
      <c r="A44" s="45" t="inlineStr">
        <is>
          <t>타교회  합  계</t>
        </is>
      </c>
      <c r="B44" s="35" t="n"/>
      <c r="C44" s="35" t="n"/>
      <c r="D44" s="35" t="n"/>
      <c r="E44" s="35" t="n"/>
      <c r="G44" s="45" t="inlineStr">
        <is>
          <t>타교회  합  계</t>
        </is>
      </c>
      <c r="H44" s="35" t="n"/>
      <c r="I44" s="35" t="n"/>
      <c r="J44" s="35" t="n"/>
      <c r="K44" s="35" t="n"/>
    </row>
    <row r="45" ht="23.85" customHeight="1" s="33">
      <c r="A45" s="47" t="inlineStr">
        <is>
          <t>대중교통</t>
        </is>
      </c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</row>
    <row r="46" ht="15" customHeight="1" s="33">
      <c r="A46" s="64" t="inlineStr">
        <is>
          <t>상행</t>
        </is>
      </c>
      <c r="B46" s="35" t="n"/>
      <c r="C46" s="35" t="n"/>
      <c r="D46" s="35" t="n"/>
      <c r="E46" s="35" t="n"/>
      <c r="G46" s="64" t="inlineStr">
        <is>
          <t>하행</t>
        </is>
      </c>
      <c r="H46" s="35" t="n"/>
      <c r="I46" s="35" t="n"/>
      <c r="J46" s="35" t="n"/>
      <c r="K46" s="35" t="n"/>
    </row>
    <row r="47" ht="15" customHeight="1" s="33">
      <c r="A47" s="48" t="inlineStr">
        <is>
          <t>NO</t>
        </is>
      </c>
      <c r="B47" s="49" t="inlineStr">
        <is>
          <t>구역</t>
        </is>
      </c>
      <c r="C47" s="49" t="inlineStr">
        <is>
          <t>부서</t>
        </is>
      </c>
      <c r="D47" s="49" t="inlineStr">
        <is>
          <t>성 명</t>
        </is>
      </c>
      <c r="E47" s="49" t="inlineStr">
        <is>
          <t>비고</t>
        </is>
      </c>
      <c r="G47" s="48" t="inlineStr">
        <is>
          <t>NO</t>
        </is>
      </c>
      <c r="H47" s="49" t="inlineStr">
        <is>
          <t>구역</t>
        </is>
      </c>
      <c r="I47" s="49" t="inlineStr">
        <is>
          <t>부서</t>
        </is>
      </c>
      <c r="J47" s="49" t="inlineStr">
        <is>
          <t>성 명</t>
        </is>
      </c>
      <c r="K47" s="49" t="inlineStr">
        <is>
          <t>비고</t>
        </is>
      </c>
    </row>
    <row r="48" ht="19.5" customHeight="1" s="33">
      <c r="A48" s="41" t="n">
        <v>1</v>
      </c>
      <c r="B48" s="42">
        <f t="array" ref="B48:B48">IFERROR(INDEX(통합!$A$1:$A$400,SMALL(IF(통합!$E$1:$E$400="대중교통",ROW(통합!$E$1:$E$400)),1)),"")</f>
        <v/>
      </c>
      <c r="C48" s="42">
        <f t="array" ref="C48:C48">IFERROR(INDEX(통합!$B$1:$B$400,SMALL(IF(통합!$E$1:$E$400="대중교통",ROW(통합!$E$1:$E$400)),1)),"")</f>
        <v/>
      </c>
      <c r="D48" s="42">
        <f t="array" ref="D48:D48">IFERROR(INDEX(통합!$C$1:$C$400,SMALL(IF(통합!$E$1:$E$400="대중교통",ROW(통합!$E$1:$E$400)),1)),"")</f>
        <v/>
      </c>
      <c r="E48" s="42" t="n"/>
      <c r="H48" s="42">
        <f t="array" ref="H48:H48">IFERROR(INDEX(통합!$A$1:$A$400,SMALL(IF(통합!$F$1:$F$400="대중교통",ROW(통합!$F$1:$F$400)),1)),"")</f>
        <v/>
      </c>
      <c r="I48" s="42">
        <f t="array" ref="I48:I48">IFERROR(INDEX(통합!$B$1:$B$400,SMALL(IF(통합!$F$1:$F$400="대중교통",ROW(통합!$F$1:$F$400)),1)),"")</f>
        <v/>
      </c>
      <c r="J48" s="42">
        <f t="array" ref="J48:J48">IFERROR(INDEX(통합!$C$1:$C$400,SMALL(IF(통합!$F$1:$F$400="대중교통",ROW(통합!$F$1:$F$400)),1)),"")</f>
        <v/>
      </c>
      <c r="K48" s="42" t="n"/>
    </row>
    <row r="49" ht="19.5" customHeight="1" s="33">
      <c r="A49" s="43" t="n">
        <v>2</v>
      </c>
      <c r="B49" s="44">
        <f t="array" ref="B49:B49">IFERROR(INDEX(통합!$A$1:$A$400,SMALL(IF(통합!$E$1:$E$400="대중교통",ROW(통합!$E$1:$E$400)),2)),"")</f>
        <v/>
      </c>
      <c r="C49" s="44">
        <f t="array" ref="C49:C49">IFERROR(INDEX(통합!$B$1:$B$400,SMALL(IF(통합!$E$1:$E$400="대중교통",ROW(통합!$E$1:$E$400)),2)),"")</f>
        <v/>
      </c>
      <c r="D49" s="44">
        <f t="array" ref="D49:D49">IFERROR(INDEX(통합!$C$1:$C$400,SMALL(IF(통합!$E$1:$E$400="대중교통",ROW(통합!$E$1:$E$400)),2)),"")</f>
        <v/>
      </c>
      <c r="E49" s="44" t="n"/>
      <c r="H49" s="44">
        <f t="array" ref="H49:H49">IFERROR(INDEX(통합!$A$1:$A$400,SMALL(IF(통합!$F$1:$F$400="대중교통",ROW(통합!$F$1:$F$400)),2)),"")</f>
        <v/>
      </c>
      <c r="I49" s="44">
        <f t="array" ref="I49:I49">IFERROR(INDEX(통합!$B$1:$B$400,SMALL(IF(통합!$F$1:$F$400="대중교통",ROW(통합!$F$1:$F$400)),2)),"")</f>
        <v/>
      </c>
      <c r="J49" s="44">
        <f t="array" ref="J49:J49">IFERROR(INDEX(통합!$C$1:$C$400,SMALL(IF(통합!$F$1:$F$400="대중교통",ROW(통합!$F$1:$F$400)),2)),"")</f>
        <v/>
      </c>
      <c r="K49" s="44" t="n"/>
    </row>
    <row r="50" ht="19.5" customHeight="1" s="33">
      <c r="A50" s="41" t="n">
        <v>3</v>
      </c>
      <c r="B50" s="42">
        <f t="array" ref="B50:B50">IFERROR(INDEX(통합!$A$1:$A$400,SMALL(IF(통합!$E$1:$E$400="대중교통",ROW(통합!$E$1:$E$400)),3)),"")</f>
        <v/>
      </c>
      <c r="C50" s="42">
        <f t="array" ref="C50:C50">IFERROR(INDEX(통합!$B$1:$B$400,SMALL(IF(통합!$E$1:$E$400="대중교통",ROW(통합!$E$1:$E$400)),3)),"")</f>
        <v/>
      </c>
      <c r="D50" s="42">
        <f t="array" ref="D50:D50">IFERROR(INDEX(통합!$C$1:$C$400,SMALL(IF(통합!$E$1:$E$400="대중교통",ROW(통합!$E$1:$E$400)),3)),"")</f>
        <v/>
      </c>
      <c r="E50" s="42" t="n"/>
      <c r="H50" s="42">
        <f t="array" ref="H50:H50">IFERROR(INDEX(통합!$A$1:$A$400,SMALL(IF(통합!$F$1:$F$400="대중교통",ROW(통합!$F$1:$F$400)),3)),"")</f>
        <v/>
      </c>
      <c r="I50" s="42">
        <f t="array" ref="I50:I50">IFERROR(INDEX(통합!$B$1:$B$400,SMALL(IF(통합!$F$1:$F$400="대중교통",ROW(통합!$F$1:$F$400)),3)),"")</f>
        <v/>
      </c>
      <c r="J50" s="42">
        <f t="array" ref="J50:J50">IFERROR(INDEX(통합!$C$1:$C$400,SMALL(IF(통합!$F$1:$F$400="대중교통",ROW(통합!$F$1:$F$400)),3)),"")</f>
        <v/>
      </c>
      <c r="K50" s="42" t="n"/>
    </row>
    <row r="51" ht="19.5" customHeight="1" s="33">
      <c r="A51" s="43" t="n">
        <v>4</v>
      </c>
      <c r="B51" s="44">
        <f t="array" ref="B51:B51">IFERROR(INDEX(통합!$A$1:$A$400,SMALL(IF(통합!$E$1:$E$400="대중교통",ROW(통합!$E$1:$E$400)),4)),"")</f>
        <v/>
      </c>
      <c r="C51" s="44">
        <f t="array" ref="C51:C51">IFERROR(INDEX(통합!$B$1:$B$400,SMALL(IF(통합!$E$1:$E$400="대중교통",ROW(통합!$E$1:$E$400)),4)),"")</f>
        <v/>
      </c>
      <c r="D51" s="44">
        <f t="array" ref="D51:D51">IFERROR(INDEX(통합!$C$1:$C$400,SMALL(IF(통합!$E$1:$E$400="대중교통",ROW(통합!$E$1:$E$400)),4)),"")</f>
        <v/>
      </c>
      <c r="E51" s="44" t="n"/>
      <c r="H51" s="44">
        <f t="array" ref="H51:H51">IFERROR(INDEX(통합!$A$1:$A$400,SMALL(IF(통합!$F$1:$F$400="대중교통",ROW(통합!$F$1:$F$400)),4)),"")</f>
        <v/>
      </c>
      <c r="I51" s="44">
        <f t="array" ref="I51:I51">IFERROR(INDEX(통합!$B$1:$B$400,SMALL(IF(통합!$F$1:$F$400="대중교통",ROW(통합!$F$1:$F$400)),4)),"")</f>
        <v/>
      </c>
      <c r="J51" s="44">
        <f t="array" ref="J51:J51">IFERROR(INDEX(통합!$C$1:$C$400,SMALL(IF(통합!$F$1:$F$400="대중교통",ROW(통합!$F$1:$F$400)),4)),"")</f>
        <v/>
      </c>
      <c r="K51" s="44" t="n"/>
    </row>
    <row r="52" ht="19.5" customHeight="1" s="33">
      <c r="A52" s="41" t="n">
        <v>5</v>
      </c>
      <c r="B52" s="42">
        <f t="array" ref="B52:B52">IFERROR(INDEX(통합!$A$1:$A$400,SMALL(IF(통합!$E$1:$E$400="대중교통",ROW(통합!$E$1:$E$400)),5)),"")</f>
        <v/>
      </c>
      <c r="C52" s="42">
        <f t="array" ref="C52:C52">IFERROR(INDEX(통합!$B$1:$B$400,SMALL(IF(통합!$E$1:$E$400="대중교통",ROW(통합!$E$1:$E$400)),5)),"")</f>
        <v/>
      </c>
      <c r="D52" s="42">
        <f t="array" ref="D52:D52">IFERROR(INDEX(통합!$C$1:$C$400,SMALL(IF(통합!$E$1:$E$400="대중교통",ROW(통합!$E$1:$E$400)),5)),"")</f>
        <v/>
      </c>
      <c r="E52" s="42" t="n"/>
      <c r="H52" s="42">
        <f t="array" ref="H52:H52">IFERROR(INDEX(통합!$A$1:$A$400,SMALL(IF(통합!$F$1:$F$400="대중교통",ROW(통합!$F$1:$F$400)),5)),"")</f>
        <v/>
      </c>
      <c r="I52" s="42">
        <f t="array" ref="I52:I52">IFERROR(INDEX(통합!$B$1:$B$400,SMALL(IF(통합!$F$1:$F$400="대중교통",ROW(통합!$F$1:$F$400)),5)),"")</f>
        <v/>
      </c>
      <c r="J52" s="42">
        <f t="array" ref="J52:J52">IFERROR(INDEX(통합!$C$1:$C$400,SMALL(IF(통합!$F$1:$F$400="대중교통",ROW(통합!$F$1:$F$400)),5)),"")</f>
        <v/>
      </c>
      <c r="K52" s="42" t="n"/>
    </row>
    <row r="53" ht="19.5" customHeight="1" s="33">
      <c r="A53" s="43" t="n">
        <v>6</v>
      </c>
      <c r="B53" s="44">
        <f t="array" ref="B53:B53">IFERROR(INDEX(통합!$A$1:$A$400,SMALL(IF(통합!$E$1:$E$400="대중교통",ROW(통합!$E$1:$E$400)),6)),"")</f>
        <v/>
      </c>
      <c r="C53" s="44">
        <f t="array" ref="C53:C53">IFERROR(INDEX(통합!$B$1:$B$400,SMALL(IF(통합!$E$1:$E$400="대중교통",ROW(통합!$E$1:$E$400)),6)),"")</f>
        <v/>
      </c>
      <c r="D53" s="44">
        <f t="array" ref="D53:D53">IFERROR(INDEX(통합!$C$1:$C$400,SMALL(IF(통합!$E$1:$E$400="대중교통",ROW(통합!$E$1:$E$400)),6)),"")</f>
        <v/>
      </c>
      <c r="E53" s="44" t="n"/>
      <c r="H53" s="44">
        <f t="array" ref="H53:H53">IFERROR(INDEX(통합!$A$1:$A$400,SMALL(IF(통합!$F$1:$F$400="대중교통",ROW(통합!$F$1:$F$400)),6)),"")</f>
        <v/>
      </c>
      <c r="I53" s="44">
        <f t="array" ref="I53:I53">IFERROR(INDEX(통합!$B$1:$B$400,SMALL(IF(통합!$F$1:$F$400="대중교통",ROW(통합!$F$1:$F$400)),6)),"")</f>
        <v/>
      </c>
      <c r="J53" s="44">
        <f t="array" ref="J53:J53">IFERROR(INDEX(통합!$C$1:$C$400,SMALL(IF(통합!$F$1:$F$400="대중교통",ROW(통합!$F$1:$F$400)),6)),"")</f>
        <v/>
      </c>
      <c r="K53" s="44" t="n"/>
    </row>
    <row r="54" ht="19.5" customHeight="1" s="33">
      <c r="A54" s="41" t="n">
        <v>7</v>
      </c>
      <c r="B54" s="42">
        <f t="array" ref="B54:B54">IFERROR(INDEX(통합!$A$1:$A$400,SMALL(IF(통합!$E$1:$E$400="대중교통",ROW(통합!$E$1:$E$400)),7)),"")</f>
        <v/>
      </c>
      <c r="C54" s="42">
        <f t="array" ref="C54:C54">IFERROR(INDEX(통합!$B$1:$B$400,SMALL(IF(통합!$E$1:$E$400="대중교통",ROW(통합!$E$1:$E$400)),7)),"")</f>
        <v/>
      </c>
      <c r="D54" s="42">
        <f t="array" ref="D54:D54">IFERROR(INDEX(통합!$C$1:$C$400,SMALL(IF(통합!$E$1:$E$400="대중교통",ROW(통합!$E$1:$E$400)),7)),"")</f>
        <v/>
      </c>
      <c r="E54" s="42" t="n"/>
      <c r="H54" s="42">
        <f t="array" ref="H54:H54">IFERROR(INDEX(통합!$A$1:$A$400,SMALL(IF(통합!$F$1:$F$400="대중교통",ROW(통합!$F$1:$F$400)),7)),"")</f>
        <v/>
      </c>
      <c r="I54" s="42">
        <f t="array" ref="I54:I54">IFERROR(INDEX(통합!$B$1:$B$400,SMALL(IF(통합!$F$1:$F$400="대중교통",ROW(통합!$F$1:$F$400)),7)),"")</f>
        <v/>
      </c>
      <c r="J54" s="42">
        <f t="array" ref="J54:J54">IFERROR(INDEX(통합!$C$1:$C$400,SMALL(IF(통합!$F$1:$F$400="대중교통",ROW(통합!$F$1:$F$400)),7)),"")</f>
        <v/>
      </c>
      <c r="K54" s="42" t="n"/>
    </row>
    <row r="55" ht="19.5" customHeight="1" s="33">
      <c r="A55" s="43" t="n">
        <v>8</v>
      </c>
      <c r="B55" s="44">
        <f t="array" ref="B55:B55">IFERROR(INDEX(통합!$A$1:$A$400,SMALL(IF(통합!$E$1:$E$400="대중교통",ROW(통합!$E$1:$E$400)),8)),"")</f>
        <v/>
      </c>
      <c r="C55" s="44">
        <f t="array" ref="C55:C55">IFERROR(INDEX(통합!$B$1:$B$400,SMALL(IF(통합!$E$1:$E$400="대중교통",ROW(통합!$E$1:$E$400)),8)),"")</f>
        <v/>
      </c>
      <c r="D55" s="44">
        <f t="array" ref="D55:D55">IFERROR(INDEX(통합!$C$1:$C$400,SMALL(IF(통합!$E$1:$E$400="대중교통",ROW(통합!$E$1:$E$400)),8)),"")</f>
        <v/>
      </c>
      <c r="E55" s="44" t="n"/>
      <c r="H55" s="44">
        <f t="array" ref="H55:H55">IFERROR(INDEX(통합!$A$1:$A$400,SMALL(IF(통합!$F$1:$F$400="대중교통",ROW(통합!$F$1:$F$400)),8)),"")</f>
        <v/>
      </c>
      <c r="I55" s="44">
        <f t="array" ref="I55:I55">IFERROR(INDEX(통합!$B$1:$B$400,SMALL(IF(통합!$F$1:$F$400="대중교통",ROW(통합!$F$1:$F$400)),8)),"")</f>
        <v/>
      </c>
      <c r="J55" s="44">
        <f t="array" ref="J55:J55">IFERROR(INDEX(통합!$C$1:$C$400,SMALL(IF(통합!$F$1:$F$400="대중교통",ROW(통합!$F$1:$F$400)),8)),"")</f>
        <v/>
      </c>
      <c r="K55" s="44" t="n"/>
    </row>
    <row r="56" ht="19.5" customHeight="1" s="33">
      <c r="A56" s="41" t="n">
        <v>9</v>
      </c>
      <c r="B56" s="42">
        <f t="array" ref="B56:B56">IFERROR(INDEX(통합!$A$1:$A$400,SMALL(IF(통합!$E$1:$E$400="대중교통",ROW(통합!$E$1:$E$400)),9)),"")</f>
        <v/>
      </c>
      <c r="C56" s="42">
        <f t="array" ref="C56:C56">IFERROR(INDEX(통합!$B$1:$B$400,SMALL(IF(통합!$E$1:$E$400="대중교통",ROW(통합!$E$1:$E$400)),9)),"")</f>
        <v/>
      </c>
      <c r="D56" s="42">
        <f t="array" ref="D56:D56">IFERROR(INDEX(통합!$C$1:$C$400,SMALL(IF(통합!$E$1:$E$400="대중교통",ROW(통합!$E$1:$E$400)),9)),"")</f>
        <v/>
      </c>
      <c r="E56" s="42" t="n"/>
      <c r="H56" s="42">
        <f t="array" ref="H56:H56">IFERROR(INDEX(통합!$A$1:$A$400,SMALL(IF(통합!$F$1:$F$400="대중교통",ROW(통합!$F$1:$F$400)),9)),"")</f>
        <v/>
      </c>
      <c r="I56" s="42">
        <f t="array" ref="I56:I56">IFERROR(INDEX(통합!$B$1:$B$400,SMALL(IF(통합!$F$1:$F$400="대중교통",ROW(통합!$F$1:$F$400)),9)),"")</f>
        <v/>
      </c>
      <c r="J56" s="42">
        <f t="array" ref="J56:J56">IFERROR(INDEX(통합!$C$1:$C$400,SMALL(IF(통합!$F$1:$F$400="대중교통",ROW(통합!$F$1:$F$400)),9)),"")</f>
        <v/>
      </c>
      <c r="K56" s="42" t="n"/>
    </row>
    <row r="57" ht="19.5" customHeight="1" s="33">
      <c r="A57" s="43" t="n">
        <v>10</v>
      </c>
      <c r="B57" s="44">
        <f t="array" ref="B57:B57">IFERROR(INDEX(통합!$A$1:$A$400,SMALL(IF(통합!$E$1:$E$400="대중교통",ROW(통합!$E$1:$E$400)),10)),"")</f>
        <v/>
      </c>
      <c r="C57" s="44">
        <f t="array" ref="C57:C57">IFERROR(INDEX(통합!$B$1:$B$400,SMALL(IF(통합!$E$1:$E$400="대중교통",ROW(통합!$E$1:$E$400)),10)),"")</f>
        <v/>
      </c>
      <c r="D57" s="44">
        <f t="array" ref="D57:D57">IFERROR(INDEX(통합!$C$1:$C$400,SMALL(IF(통합!$E$1:$E$400="대중교통",ROW(통합!$E$1:$E$400)),10)),"")</f>
        <v/>
      </c>
      <c r="E57" s="44" t="n"/>
      <c r="H57" s="44">
        <f t="array" ref="H57:H57">IFERROR(INDEX(통합!$A$1:$A$400,SMALL(IF(통합!$F$1:$F$400="대중교통",ROW(통합!$F$1:$F$400)),10)),"")</f>
        <v/>
      </c>
      <c r="I57" s="44">
        <f t="array" ref="I57:I57">IFERROR(INDEX(통합!$B$1:$B$400,SMALL(IF(통합!$F$1:$F$400="대중교통",ROW(통합!$F$1:$F$400)),10)),"")</f>
        <v/>
      </c>
      <c r="J57" s="44">
        <f t="array" ref="J57:J57">IFERROR(INDEX(통합!$C$1:$C$400,SMALL(IF(통합!$F$1:$F$400="대중교통",ROW(통합!$F$1:$F$400)),10)),"")</f>
        <v/>
      </c>
      <c r="K57" s="44" t="n"/>
    </row>
    <row r="58" ht="19.5" customHeight="1" s="33">
      <c r="A58" s="41" t="n">
        <v>11</v>
      </c>
      <c r="B58" s="42">
        <f t="array" ref="B58:B58">IFERROR(INDEX(통합!$A$1:$A$400,SMALL(IF(통합!$E$1:$E$400="대중교통",ROW(통합!$E$1:$E$400)),11)),"")</f>
        <v/>
      </c>
      <c r="C58" s="42">
        <f t="array" ref="C58:C58">IFERROR(INDEX(통합!$B$1:$B$400,SMALL(IF(통합!$E$1:$E$400="대중교통",ROW(통합!$E$1:$E$400)),11)),"")</f>
        <v/>
      </c>
      <c r="D58" s="42">
        <f t="array" ref="D58:D58">IFERROR(INDEX(통합!$C$1:$C$400,SMALL(IF(통합!$E$1:$E$400="대중교통",ROW(통합!$E$1:$E$400)),11)),"")</f>
        <v/>
      </c>
      <c r="E58" s="42" t="n"/>
      <c r="H58" s="42">
        <f t="array" ref="H58:H58">IFERROR(INDEX(통합!$A$1:$A$400,SMALL(IF(통합!$F$1:$F$400="대중교통",ROW(통합!$F$1:$F$400)),11)),"")</f>
        <v/>
      </c>
      <c r="I58" s="42">
        <f t="array" ref="I58:I58">IFERROR(INDEX(통합!$B$1:$B$400,SMALL(IF(통합!$F$1:$F$400="대중교통",ROW(통합!$F$1:$F$400)),11)),"")</f>
        <v/>
      </c>
      <c r="J58" s="42">
        <f t="array" ref="J58:J58">IFERROR(INDEX(통합!$C$1:$C$400,SMALL(IF(통합!$F$1:$F$400="대중교통",ROW(통합!$F$1:$F$400)),11)),"")</f>
        <v/>
      </c>
      <c r="K58" s="42" t="n"/>
    </row>
    <row r="59" ht="19.5" customHeight="1" s="33">
      <c r="A59" s="43" t="n">
        <v>12</v>
      </c>
      <c r="B59" s="44">
        <f t="array" ref="B59:B59">IFERROR(INDEX(통합!$A$1:$A$400,SMALL(IF(통합!$E$1:$E$400="대중교통",ROW(통합!$E$1:$E$400)),12)),"")</f>
        <v/>
      </c>
      <c r="C59" s="44">
        <f t="array" ref="C59:C59">IFERROR(INDEX(통합!$B$1:$B$400,SMALL(IF(통합!$E$1:$E$400="대중교통",ROW(통합!$E$1:$E$400)),12)),"")</f>
        <v/>
      </c>
      <c r="D59" s="44">
        <f t="array" ref="D59:D59">IFERROR(INDEX(통합!$C$1:$C$400,SMALL(IF(통합!$E$1:$E$400="대중교통",ROW(통합!$E$1:$E$400)),12)),"")</f>
        <v/>
      </c>
      <c r="E59" s="44" t="n"/>
      <c r="H59" s="44">
        <f t="array" ref="H59:H59">IFERROR(INDEX(통합!$A$1:$A$400,SMALL(IF(통합!$F$1:$F$400="대중교통",ROW(통합!$F$1:$F$400)),12)),"")</f>
        <v/>
      </c>
      <c r="I59" s="44">
        <f t="array" ref="I59:I59">IFERROR(INDEX(통합!$B$1:$B$400,SMALL(IF(통합!$F$1:$F$400="대중교통",ROW(통합!$F$1:$F$400)),12)),"")</f>
        <v/>
      </c>
      <c r="J59" s="44">
        <f t="array" ref="J59:J59">IFERROR(INDEX(통합!$C$1:$C$400,SMALL(IF(통합!$F$1:$F$400="대중교통",ROW(통합!$F$1:$F$400)),12)),"")</f>
        <v/>
      </c>
      <c r="K59" s="44" t="n"/>
    </row>
    <row r="60" ht="19.5" customHeight="1" s="33">
      <c r="A60" s="41" t="n">
        <v>13</v>
      </c>
      <c r="B60" s="42">
        <f t="array" ref="B60:B60">IFERROR(INDEX(통합!$A$1:$A$400,SMALL(IF(통합!$E$1:$E$400="대중교통",ROW(통합!$E$1:$E$400)),13)),"")</f>
        <v/>
      </c>
      <c r="C60" s="42">
        <f t="array" ref="C60:C60">IFERROR(INDEX(통합!$B$1:$B$400,SMALL(IF(통합!$E$1:$E$400="대중교통",ROW(통합!$E$1:$E$400)),13)),"")</f>
        <v/>
      </c>
      <c r="D60" s="42">
        <f t="array" ref="D60:D60">IFERROR(INDEX(통합!$C$1:$C$400,SMALL(IF(통합!$E$1:$E$400="대중교통",ROW(통합!$E$1:$E$400)),13)),"")</f>
        <v/>
      </c>
      <c r="E60" s="42" t="n"/>
      <c r="H60" s="42">
        <f t="array" ref="H60:H60">IFERROR(INDEX(통합!$A$1:$A$400,SMALL(IF(통합!$F$1:$F$400="대중교통",ROW(통합!$F$1:$F$400)),13)),"")</f>
        <v/>
      </c>
      <c r="I60" s="42">
        <f t="array" ref="I60:I60">IFERROR(INDEX(통합!$B$1:$B$400,SMALL(IF(통합!$F$1:$F$400="대중교통",ROW(통합!$F$1:$F$400)),13)),"")</f>
        <v/>
      </c>
      <c r="J60" s="42">
        <f t="array" ref="J60:J60">IFERROR(INDEX(통합!$C$1:$C$400,SMALL(IF(통합!$F$1:$F$400="대중교통",ROW(통합!$F$1:$F$400)),13)),"")</f>
        <v/>
      </c>
      <c r="K60" s="42" t="n"/>
    </row>
    <row r="61" ht="19.5" customHeight="1" s="33">
      <c r="A61" s="43" t="n">
        <v>14</v>
      </c>
      <c r="B61" s="44">
        <f t="array" ref="B61:B61">IFERROR(INDEX(통합!$A$1:$A$400,SMALL(IF(통합!$E$1:$E$400="대중교통",ROW(통합!$E$1:$E$400)),14)),"")</f>
        <v/>
      </c>
      <c r="C61" s="44">
        <f t="array" ref="C61:C61">IFERROR(INDEX(통합!$B$1:$B$400,SMALL(IF(통합!$E$1:$E$400="대중교통",ROW(통합!$E$1:$E$400)),14)),"")</f>
        <v/>
      </c>
      <c r="D61" s="44">
        <f t="array" ref="D61:D61">IFERROR(INDEX(통합!$C$1:$C$400,SMALL(IF(통합!$E$1:$E$400="대중교통",ROW(통합!$E$1:$E$400)),14)),"")</f>
        <v/>
      </c>
      <c r="E61" s="44" t="n"/>
      <c r="H61" s="44">
        <f t="array" ref="H61:H61">IFERROR(INDEX(통합!$A$1:$A$400,SMALL(IF(통합!$F$1:$F$400="대중교통",ROW(통합!$F$1:$F$400)),14)),"")</f>
        <v/>
      </c>
      <c r="I61" s="44">
        <f t="array" ref="I61:I61">IFERROR(INDEX(통합!$B$1:$B$400,SMALL(IF(통합!$F$1:$F$400="대중교통",ROW(통합!$F$1:$F$400)),14)),"")</f>
        <v/>
      </c>
      <c r="J61" s="44">
        <f t="array" ref="J61:J61">IFERROR(INDEX(통합!$C$1:$C$400,SMALL(IF(통합!$F$1:$F$400="대중교통",ROW(통합!$F$1:$F$400)),14)),"")</f>
        <v/>
      </c>
      <c r="K61" s="44" t="n"/>
    </row>
    <row r="62" ht="19.5" customHeight="1" s="33">
      <c r="A62" s="41" t="n">
        <v>15</v>
      </c>
      <c r="B62" s="42">
        <f t="array" ref="B62:B62">IFERROR(INDEX(통합!$A$1:$A$400,SMALL(IF(통합!$E$1:$E$400="대중교통",ROW(통합!$E$1:$E$400)),15)),"")</f>
        <v/>
      </c>
      <c r="C62" s="42">
        <f t="array" ref="C62:C62">IFERROR(INDEX(통합!$B$1:$B$400,SMALL(IF(통합!$E$1:$E$400="대중교통",ROW(통합!$E$1:$E$400)),15)),"")</f>
        <v/>
      </c>
      <c r="D62" s="42">
        <f t="array" ref="D62:D62">IFERROR(INDEX(통합!$C$1:$C$400,SMALL(IF(통합!$E$1:$E$400="대중교통",ROW(통합!$E$1:$E$400)),15)),"")</f>
        <v/>
      </c>
      <c r="E62" s="42" t="n"/>
      <c r="H62" s="42">
        <f t="array" ref="H62:H62">IFERROR(INDEX(통합!$A$1:$A$400,SMALL(IF(통합!$F$1:$F$400="대중교통",ROW(통합!$F$1:$F$400)),15)),"")</f>
        <v/>
      </c>
      <c r="I62" s="42">
        <f t="array" ref="I62:I62">IFERROR(INDEX(통합!$B$1:$B$400,SMALL(IF(통합!$F$1:$F$400="대중교통",ROW(통합!$F$1:$F$400)),15)),"")</f>
        <v/>
      </c>
      <c r="J62" s="42">
        <f t="array" ref="J62:J62">IFERROR(INDEX(통합!$C$1:$C$400,SMALL(IF(통합!$F$1:$F$400="대중교통",ROW(통합!$F$1:$F$400)),15)),"")</f>
        <v/>
      </c>
      <c r="K62" s="42" t="n"/>
    </row>
    <row r="63" ht="19.5" customHeight="1" s="33">
      <c r="A63" s="43" t="n">
        <v>16</v>
      </c>
      <c r="B63" s="44">
        <f t="array" ref="B63:B63">IFERROR(INDEX(통합!$A$1:$A$400,SMALL(IF(통합!$E$1:$E$400="대중교통",ROW(통합!$E$1:$E$400)),16)),"")</f>
        <v/>
      </c>
      <c r="C63" s="44">
        <f t="array" ref="C63:C63">IFERROR(INDEX(통합!$B$1:$B$400,SMALL(IF(통합!$E$1:$E$400="대중교통",ROW(통합!$E$1:$E$400)),16)),"")</f>
        <v/>
      </c>
      <c r="D63" s="44">
        <f t="array" ref="D63:D63">IFERROR(INDEX(통합!$C$1:$C$400,SMALL(IF(통합!$E$1:$E$400="대중교통",ROW(통합!$E$1:$E$400)),16)),"")</f>
        <v/>
      </c>
      <c r="E63" s="44" t="n"/>
      <c r="H63" s="44">
        <f t="array" ref="H63:H63">IFERROR(INDEX(통합!$A$1:$A$400,SMALL(IF(통합!$F$1:$F$400="대중교통",ROW(통합!$F$1:$F$400)),16)),"")</f>
        <v/>
      </c>
      <c r="I63" s="44">
        <f t="array" ref="I63:I63">IFERROR(INDEX(통합!$B$1:$B$400,SMALL(IF(통합!$F$1:$F$400="대중교통",ROW(통합!$F$1:$F$400)),16)),"")</f>
        <v/>
      </c>
      <c r="J63" s="44">
        <f t="array" ref="J63:J63">IFERROR(INDEX(통합!$C$1:$C$400,SMALL(IF(통합!$F$1:$F$400="대중교통",ROW(통합!$F$1:$F$400)),16)),"")</f>
        <v/>
      </c>
      <c r="K63" s="44" t="n"/>
    </row>
    <row r="64" ht="19.5" customHeight="1" s="33">
      <c r="A64" s="41" t="n">
        <v>17</v>
      </c>
      <c r="B64" s="42">
        <f t="array" ref="B64:B64">IFERROR(INDEX(통합!$A$1:$A$400,SMALL(IF(통합!$E$1:$E$400="대중교통",ROW(통합!$E$1:$E$400)),17)),"")</f>
        <v/>
      </c>
      <c r="C64" s="42">
        <f t="array" ref="C64:C64">IFERROR(INDEX(통합!$B$1:$B$400,SMALL(IF(통합!$E$1:$E$400="대중교통",ROW(통합!$E$1:$E$400)),17)),"")</f>
        <v/>
      </c>
      <c r="D64" s="42">
        <f t="array" ref="D64:D64">IFERROR(INDEX(통합!$C$1:$C$400,SMALL(IF(통합!$E$1:$E$400="대중교통",ROW(통합!$E$1:$E$400)),17)),"")</f>
        <v/>
      </c>
      <c r="E64" s="42" t="n"/>
      <c r="H64" s="42">
        <f t="array" ref="H64:H64">IFERROR(INDEX(통합!$A$1:$A$400,SMALL(IF(통합!$F$1:$F$400="대중교통",ROW(통합!$F$1:$F$400)),17)),"")</f>
        <v/>
      </c>
      <c r="I64" s="42">
        <f t="array" ref="I64:I64">IFERROR(INDEX(통합!$B$1:$B$400,SMALL(IF(통합!$F$1:$F$400="대중교통",ROW(통합!$F$1:$F$400)),17)),"")</f>
        <v/>
      </c>
      <c r="J64" s="42">
        <f t="array" ref="J64:J64">IFERROR(INDEX(통합!$C$1:$C$400,SMALL(IF(통합!$F$1:$F$400="대중교통",ROW(통합!$F$1:$F$400)),17)),"")</f>
        <v/>
      </c>
      <c r="K64" s="42" t="n"/>
    </row>
    <row r="65" ht="19.5" customHeight="1" s="33">
      <c r="A65" s="43" t="n">
        <v>18</v>
      </c>
      <c r="B65" s="44">
        <f t="array" ref="B65:B65">IFERROR(INDEX(통합!$A$1:$A$400,SMALL(IF(통합!$E$1:$E$400="대중교통",ROW(통합!$E$1:$E$400)),18)),"")</f>
        <v/>
      </c>
      <c r="C65" s="44">
        <f t="array" ref="C65:C65">IFERROR(INDEX(통합!$B$1:$B$400,SMALL(IF(통합!$E$1:$E$400="대중교통",ROW(통합!$E$1:$E$400)),18)),"")</f>
        <v/>
      </c>
      <c r="D65" s="44">
        <f t="array" ref="D65:D65">IFERROR(INDEX(통합!$C$1:$C$400,SMALL(IF(통합!$E$1:$E$400="대중교통",ROW(통합!$E$1:$E$400)),18)),"")</f>
        <v/>
      </c>
      <c r="E65" s="44" t="n"/>
      <c r="H65" s="44">
        <f t="array" ref="H65:H65">IFERROR(INDEX(통합!$A$1:$A$400,SMALL(IF(통합!$F$1:$F$400="대중교통",ROW(통합!$F$1:$F$400)),18)),"")</f>
        <v/>
      </c>
      <c r="I65" s="44">
        <f t="array" ref="I65:I65">IFERROR(INDEX(통합!$B$1:$B$400,SMALL(IF(통합!$F$1:$F$400="대중교통",ROW(통합!$F$1:$F$400)),18)),"")</f>
        <v/>
      </c>
      <c r="J65" s="44">
        <f t="array" ref="J65:J65">IFERROR(INDEX(통합!$C$1:$C$400,SMALL(IF(통합!$F$1:$F$400="대중교통",ROW(통합!$F$1:$F$400)),18)),"")</f>
        <v/>
      </c>
      <c r="K65" s="44" t="n"/>
    </row>
    <row r="66" ht="19.5" customHeight="1" s="33">
      <c r="A66" s="41" t="n">
        <v>19</v>
      </c>
      <c r="B66" s="42">
        <f t="array" ref="B66:B66">IFERROR(INDEX(통합!$A$1:$A$400,SMALL(IF(통합!$E$1:$E$400="대중교통",ROW(통합!$E$1:$E$400)),19)),"")</f>
        <v/>
      </c>
      <c r="C66" s="42">
        <f t="array" ref="C66:C66">IFERROR(INDEX(통합!$B$1:$B$400,SMALL(IF(통합!$E$1:$E$400="대중교통",ROW(통합!$E$1:$E$400)),19)),"")</f>
        <v/>
      </c>
      <c r="D66" s="42">
        <f t="array" ref="D66:D66">IFERROR(INDEX(통합!$C$1:$C$400,SMALL(IF(통합!$E$1:$E$400="대중교통",ROW(통합!$E$1:$E$400)),19)),"")</f>
        <v/>
      </c>
      <c r="E66" s="42" t="n"/>
      <c r="H66" s="42">
        <f t="array" ref="H66:H66">IFERROR(INDEX(통합!$A$1:$A$400,SMALL(IF(통합!$F$1:$F$400="대중교통",ROW(통합!$F$1:$F$400)),19)),"")</f>
        <v/>
      </c>
      <c r="I66" s="42">
        <f t="array" ref="I66:I66">IFERROR(INDEX(통합!$B$1:$B$400,SMALL(IF(통합!$F$1:$F$400="대중교통",ROW(통합!$F$1:$F$400)),19)),"")</f>
        <v/>
      </c>
      <c r="J66" s="42">
        <f t="array" ref="J66:J66">IFERROR(INDEX(통합!$C$1:$C$400,SMALL(IF(통합!$F$1:$F$400="대중교통",ROW(통합!$F$1:$F$400)),19)),"")</f>
        <v/>
      </c>
      <c r="K66" s="42" t="n"/>
    </row>
    <row r="67" ht="19.5" customHeight="1" s="33">
      <c r="A67" s="43" t="n">
        <v>20</v>
      </c>
      <c r="B67" s="44">
        <f t="array" ref="B67:B67">IFERROR(INDEX(통합!$A$1:$A$400,SMALL(IF(통합!$E$1:$E$400="대중교통",ROW(통합!$E$1:$E$400)),20)),"")</f>
        <v/>
      </c>
      <c r="C67" s="44">
        <f t="array" ref="C67:C67">IFERROR(INDEX(통합!$B$1:$B$400,SMALL(IF(통합!$E$1:$E$400="대중교통",ROW(통합!$E$1:$E$400)),20)),"")</f>
        <v/>
      </c>
      <c r="D67" s="44">
        <f t="array" ref="D67:D67">IFERROR(INDEX(통합!$C$1:$C$400,SMALL(IF(통합!$E$1:$E$400="대중교통",ROW(통합!$E$1:$E$400)),20)),"")</f>
        <v/>
      </c>
      <c r="E67" s="44" t="n"/>
      <c r="H67" s="44">
        <f t="array" ref="H67:H67">IFERROR(INDEX(통합!$A$1:$A$400,SMALL(IF(통합!$F$1:$F$400="대중교통",ROW(통합!$F$1:$F$400)),20)),"")</f>
        <v/>
      </c>
      <c r="I67" s="44">
        <f t="array" ref="I67:I67">IFERROR(INDEX(통합!$B$1:$B$400,SMALL(IF(통합!$F$1:$F$400="대중교통",ROW(통합!$F$1:$F$400)),20)),"")</f>
        <v/>
      </c>
      <c r="J67" s="44">
        <f t="array" ref="J67:J67">IFERROR(INDEX(통합!$C$1:$C$400,SMALL(IF(통합!$F$1:$F$400="대중교통",ROW(통합!$F$1:$F$400)),20)),"")</f>
        <v/>
      </c>
      <c r="K67" s="44" t="n"/>
    </row>
    <row r="68" ht="19.5" customHeight="1" s="33">
      <c r="A68" s="41" t="n">
        <v>21</v>
      </c>
      <c r="B68" s="42">
        <f t="array" ref="B68:B68">IFERROR(INDEX(통합!$A$1:$A$400,SMALL(IF(통합!$E$1:$E$400="대중교통",ROW(통합!$E$1:$E$400)),21)),"")</f>
        <v/>
      </c>
      <c r="C68" s="42">
        <f t="array" ref="C68:C68">IFERROR(INDEX(통합!$B$1:$B$400,SMALL(IF(통합!$E$1:$E$400="대중교통",ROW(통합!$E$1:$E$400)),21)),"")</f>
        <v/>
      </c>
      <c r="D68" s="42">
        <f t="array" ref="D68:D68">IFERROR(INDEX(통합!$C$1:$C$400,SMALL(IF(통합!$E$1:$E$400="대중교통",ROW(통합!$E$1:$E$400)),21)),"")</f>
        <v/>
      </c>
      <c r="E68" s="42" t="n"/>
      <c r="H68" s="42">
        <f t="array" ref="H68:H68">IFERROR(INDEX(통합!$A$1:$A$400,SMALL(IF(통합!$F$1:$F$400="대중교통",ROW(통합!$F$1:$F$400)),21)),"")</f>
        <v/>
      </c>
      <c r="I68" s="42">
        <f t="array" ref="I68:I68">IFERROR(INDEX(통합!$B$1:$B$400,SMALL(IF(통합!$F$1:$F$400="대중교통",ROW(통합!$F$1:$F$400)),21)),"")</f>
        <v/>
      </c>
      <c r="J68" s="42">
        <f t="array" ref="J68:J68">IFERROR(INDEX(통합!$C$1:$C$400,SMALL(IF(통합!$F$1:$F$400="대중교통",ROW(통합!$F$1:$F$400)),21)),"")</f>
        <v/>
      </c>
      <c r="K68" s="42" t="n"/>
    </row>
    <row r="69" ht="19.5" customHeight="1" s="33">
      <c r="A69" s="43" t="n">
        <v>22</v>
      </c>
      <c r="B69" s="44">
        <f t="array" ref="B69:B69">IFERROR(INDEX(통합!$A$1:$A$400,SMALL(IF(통합!$E$1:$E$400="대중교통",ROW(통합!$E$1:$E$400)),22)),"")</f>
        <v/>
      </c>
      <c r="C69" s="44">
        <f t="array" ref="C69:C69">IFERROR(INDEX(통합!$B$1:$B$400,SMALL(IF(통합!$E$1:$E$400="대중교통",ROW(통합!$E$1:$E$400)),22)),"")</f>
        <v/>
      </c>
      <c r="D69" s="44">
        <f t="array" ref="D69:D69">IFERROR(INDEX(통합!$C$1:$C$400,SMALL(IF(통합!$E$1:$E$400="대중교통",ROW(통합!$E$1:$E$400)),22)),"")</f>
        <v/>
      </c>
      <c r="E69" s="44" t="n"/>
      <c r="H69" s="44">
        <f t="array" ref="H69:H69">IFERROR(INDEX(통합!$A$1:$A$400,SMALL(IF(통합!$F$1:$F$400="대중교통",ROW(통합!$F$1:$F$400)),22)),"")</f>
        <v/>
      </c>
      <c r="I69" s="44">
        <f t="array" ref="I69:I69">IFERROR(INDEX(통합!$B$1:$B$400,SMALL(IF(통합!$F$1:$F$400="대중교통",ROW(통합!$F$1:$F$400)),22)),"")</f>
        <v/>
      </c>
      <c r="J69" s="44">
        <f t="array" ref="J69:J69">IFERROR(INDEX(통합!$C$1:$C$400,SMALL(IF(통합!$F$1:$F$400="대중교통",ROW(통합!$F$1:$F$400)),22)),"")</f>
        <v/>
      </c>
      <c r="K69" s="44" t="n"/>
    </row>
    <row r="70" ht="19.5" customHeight="1" s="33">
      <c r="A70" s="41" t="n">
        <v>23</v>
      </c>
      <c r="B70" s="42">
        <f t="array" ref="B70:B70">IFERROR(INDEX(통합!$A$1:$A$400,SMALL(IF(통합!$E$1:$E$400="대중교통",ROW(통합!$E$1:$E$400)),23)),"")</f>
        <v/>
      </c>
      <c r="C70" s="42">
        <f t="array" ref="C70:C70">IFERROR(INDEX(통합!$B$1:$B$400,SMALL(IF(통합!$E$1:$E$400="대중교통",ROW(통합!$E$1:$E$400)),23)),"")</f>
        <v/>
      </c>
      <c r="D70" s="42">
        <f t="array" ref="D70:D70">IFERROR(INDEX(통합!$C$1:$C$400,SMALL(IF(통합!$E$1:$E$400="대중교통",ROW(통합!$E$1:$E$400)),23)),"")</f>
        <v/>
      </c>
      <c r="E70" s="42" t="n"/>
      <c r="H70" s="42">
        <f t="array" ref="H70:H70">IFERROR(INDEX(통합!$A$1:$A$400,SMALL(IF(통합!$F$1:$F$400="대중교통",ROW(통합!$F$1:$F$400)),23)),"")</f>
        <v/>
      </c>
      <c r="I70" s="42">
        <f t="array" ref="I70:I70">IFERROR(INDEX(통합!$B$1:$B$400,SMALL(IF(통합!$F$1:$F$400="대중교통",ROW(통합!$F$1:$F$400)),23)),"")</f>
        <v/>
      </c>
      <c r="J70" s="42">
        <f t="array" ref="J70:J70">IFERROR(INDEX(통합!$C$1:$C$400,SMALL(IF(통합!$F$1:$F$400="대중교통",ROW(통합!$F$1:$F$400)),23)),"")</f>
        <v/>
      </c>
      <c r="K70" s="42" t="n"/>
    </row>
    <row r="71" ht="19.5" customHeight="1" s="33">
      <c r="A71" s="43" t="n">
        <v>24</v>
      </c>
      <c r="B71" s="44">
        <f t="array" ref="B71:B71">IFERROR(INDEX(통합!$A$1:$A$400,SMALL(IF(통합!$E$1:$E$400="대중교통",ROW(통합!$E$1:$E$400)),24)),"")</f>
        <v/>
      </c>
      <c r="C71" s="44">
        <f t="array" ref="C71:C71">IFERROR(INDEX(통합!$B$1:$B$400,SMALL(IF(통합!$E$1:$E$400="대중교통",ROW(통합!$E$1:$E$400)),24)),"")</f>
        <v/>
      </c>
      <c r="D71" s="44">
        <f t="array" ref="D71:D71">IFERROR(INDEX(통합!$C$1:$C$400,SMALL(IF(통합!$E$1:$E$400="대중교통",ROW(통합!$E$1:$E$400)),24)),"")</f>
        <v/>
      </c>
      <c r="E71" s="44" t="n"/>
      <c r="H71" s="44">
        <f t="array" ref="H71:H71">IFERROR(INDEX(통합!$A$1:$A$400,SMALL(IF(통합!$F$1:$F$400="대중교통",ROW(통합!$F$1:$F$400)),24)),"")</f>
        <v/>
      </c>
      <c r="I71" s="44">
        <f t="array" ref="I71:I71">IFERROR(INDEX(통합!$B$1:$B$400,SMALL(IF(통합!$F$1:$F$400="대중교통",ROW(통합!$F$1:$F$400)),24)),"")</f>
        <v/>
      </c>
      <c r="J71" s="44">
        <f t="array" ref="J71:J71">IFERROR(INDEX(통합!$C$1:$C$400,SMALL(IF(통합!$F$1:$F$400="대중교통",ROW(통합!$F$1:$F$400)),24)),"")</f>
        <v/>
      </c>
      <c r="K71" s="44" t="n"/>
    </row>
    <row r="72" ht="19.5" customHeight="1" s="33">
      <c r="A72" s="41" t="n">
        <v>25</v>
      </c>
      <c r="B72" s="42">
        <f t="array" ref="B72:B72">IFERROR(INDEX(통합!$A$1:$A$400,SMALL(IF(통합!$E$1:$E$400="대중교통",ROW(통합!$E$1:$E$400)),25)),"")</f>
        <v/>
      </c>
      <c r="C72" s="42">
        <f t="array" ref="C72:C72">IFERROR(INDEX(통합!$B$1:$B$400,SMALL(IF(통합!$E$1:$E$400="대중교통",ROW(통합!$E$1:$E$400)),25)),"")</f>
        <v/>
      </c>
      <c r="D72" s="42">
        <f t="array" ref="D72:D72">IFERROR(INDEX(통합!$C$1:$C$400,SMALL(IF(통합!$E$1:$E$400="대중교통",ROW(통합!$E$1:$E$400)),25)),"")</f>
        <v/>
      </c>
      <c r="E72" s="42" t="n"/>
      <c r="H72" s="42">
        <f t="array" ref="H72:H72">IFERROR(INDEX(통합!$A$1:$A$400,SMALL(IF(통합!$F$1:$F$400="대중교통",ROW(통합!$F$1:$F$400)),25)),"")</f>
        <v/>
      </c>
      <c r="I72" s="42">
        <f t="array" ref="I72:I72">IFERROR(INDEX(통합!$B$1:$B$400,SMALL(IF(통합!$F$1:$F$400="대중교통",ROW(통합!$F$1:$F$400)),25)),"")</f>
        <v/>
      </c>
      <c r="J72" s="42">
        <f t="array" ref="J72:J72">IFERROR(INDEX(통합!$C$1:$C$400,SMALL(IF(통합!$F$1:$F$400="대중교통",ROW(통합!$F$1:$F$400)),25)),"")</f>
        <v/>
      </c>
      <c r="K72" s="42" t="n"/>
    </row>
    <row r="73" ht="19.5" customHeight="1" s="33">
      <c r="A73" s="43" t="n">
        <v>26</v>
      </c>
      <c r="B73" s="44">
        <f t="array" ref="B73:B73">IFERROR(INDEX(통합!$A$1:$A$400,SMALL(IF(통합!$E$1:$E$400="대중교통",ROW(통합!$E$1:$E$400)),26)),"")</f>
        <v/>
      </c>
      <c r="C73" s="44">
        <f t="array" ref="C73:C73">IFERROR(INDEX(통합!$B$1:$B$400,SMALL(IF(통합!$E$1:$E$400="대중교통",ROW(통합!$E$1:$E$400)),26)),"")</f>
        <v/>
      </c>
      <c r="D73" s="44">
        <f t="array" ref="D73:D73">IFERROR(INDEX(통합!$C$1:$C$400,SMALL(IF(통합!$E$1:$E$400="대중교통",ROW(통합!$E$1:$E$400)),26)),"")</f>
        <v/>
      </c>
      <c r="E73" s="44" t="n"/>
      <c r="H73" s="44">
        <f t="array" ref="H73:H73">IFERROR(INDEX(통합!$A$1:$A$400,SMALL(IF(통합!$F$1:$F$400="대중교통",ROW(통합!$F$1:$F$400)),26)),"")</f>
        <v/>
      </c>
      <c r="I73" s="44">
        <f t="array" ref="I73:I73">IFERROR(INDEX(통합!$B$1:$B$400,SMALL(IF(통합!$F$1:$F$400="대중교통",ROW(통합!$F$1:$F$400)),26)),"")</f>
        <v/>
      </c>
      <c r="J73" s="44">
        <f t="array" ref="J73:J73">IFERROR(INDEX(통합!$C$1:$C$400,SMALL(IF(통합!$F$1:$F$400="대중교통",ROW(통합!$F$1:$F$400)),26)),"")</f>
        <v/>
      </c>
      <c r="K73" s="44" t="n"/>
    </row>
    <row r="74" ht="19.5" customHeight="1" s="33">
      <c r="A74" s="41" t="n">
        <v>27</v>
      </c>
      <c r="B74" s="42">
        <f t="array" ref="B74:B74">IFERROR(INDEX(통합!$A$1:$A$400,SMALL(IF(통합!$E$1:$E$400="대중교통",ROW(통합!$E$1:$E$400)),27)),"")</f>
        <v/>
      </c>
      <c r="C74" s="42">
        <f t="array" ref="C74:C74">IFERROR(INDEX(통합!$B$1:$B$400,SMALL(IF(통합!$E$1:$E$400="대중교통",ROW(통합!$E$1:$E$400)),27)),"")</f>
        <v/>
      </c>
      <c r="D74" s="42">
        <f t="array" ref="D74:D74">IFERROR(INDEX(통합!$C$1:$C$400,SMALL(IF(통합!$E$1:$E$400="대중교통",ROW(통합!$E$1:$E$400)),27)),"")</f>
        <v/>
      </c>
      <c r="E74" s="42" t="n"/>
      <c r="H74" s="42">
        <f t="array" ref="H74:H74">IFERROR(INDEX(통합!$A$1:$A$400,SMALL(IF(통합!$F$1:$F$400="대중교통",ROW(통합!$F$1:$F$400)),27)),"")</f>
        <v/>
      </c>
      <c r="I74" s="42">
        <f t="array" ref="I74:I74">IFERROR(INDEX(통합!$B$1:$B$400,SMALL(IF(통합!$F$1:$F$400="대중교통",ROW(통합!$F$1:$F$400)),27)),"")</f>
        <v/>
      </c>
      <c r="J74" s="42">
        <f t="array" ref="J74:J74">IFERROR(INDEX(통합!$C$1:$C$400,SMALL(IF(통합!$F$1:$F$400="대중교통",ROW(통합!$F$1:$F$400)),27)),"")</f>
        <v/>
      </c>
      <c r="K74" s="42" t="n"/>
    </row>
    <row r="75" ht="19.5" customHeight="1" s="33">
      <c r="A75" s="43" t="n">
        <v>28</v>
      </c>
      <c r="B75" s="44">
        <f t="array" ref="B75:B75">IFERROR(INDEX(통합!$A$1:$A$400,SMALL(IF(통합!$E$1:$E$400="대중교통",ROW(통합!$E$1:$E$400)),28)),"")</f>
        <v/>
      </c>
      <c r="C75" s="44">
        <f t="array" ref="C75:C75">IFERROR(INDEX(통합!$B$1:$B$400,SMALL(IF(통합!$E$1:$E$400="대중교통",ROW(통합!$E$1:$E$400)),28)),"")</f>
        <v/>
      </c>
      <c r="D75" s="44">
        <f t="array" ref="D75:D75">IFERROR(INDEX(통합!$C$1:$C$400,SMALL(IF(통합!$E$1:$E$400="대중교통",ROW(통합!$E$1:$E$400)),28)),"")</f>
        <v/>
      </c>
      <c r="E75" s="44" t="n"/>
      <c r="H75" s="44">
        <f t="array" ref="H75:H75">IFERROR(INDEX(통합!$A$1:$A$400,SMALL(IF(통합!$F$1:$F$400="대중교통",ROW(통합!$F$1:$F$400)),28)),"")</f>
        <v/>
      </c>
      <c r="I75" s="44">
        <f t="array" ref="I75:I75">IFERROR(INDEX(통합!$B$1:$B$400,SMALL(IF(통합!$F$1:$F$400="대중교통",ROW(통합!$F$1:$F$400)),28)),"")</f>
        <v/>
      </c>
      <c r="J75" s="44">
        <f t="array" ref="J75:J75">IFERROR(INDEX(통합!$C$1:$C$400,SMALL(IF(통합!$F$1:$F$400="대중교통",ROW(통합!$F$1:$F$400)),28)),"")</f>
        <v/>
      </c>
      <c r="K75" s="44" t="n"/>
    </row>
    <row r="76" ht="19.5" customHeight="1" s="33">
      <c r="A76" s="41" t="n">
        <v>29</v>
      </c>
      <c r="B76" s="42">
        <f t="array" ref="B76:B76">IFERROR(INDEX(통합!$A$1:$A$400,SMALL(IF(통합!$E$1:$E$400="대중교통",ROW(통합!$E$1:$E$400)),29)),"")</f>
        <v/>
      </c>
      <c r="C76" s="42">
        <f t="array" ref="C76:C76">IFERROR(INDEX(통합!$B$1:$B$400,SMALL(IF(통합!$E$1:$E$400="대중교통",ROW(통합!$E$1:$E$400)),29)),"")</f>
        <v/>
      </c>
      <c r="D76" s="42">
        <f t="array" ref="D76:D76">IFERROR(INDEX(통합!$C$1:$C$400,SMALL(IF(통합!$E$1:$E$400="대중교통",ROW(통합!$E$1:$E$400)),29)),"")</f>
        <v/>
      </c>
      <c r="E76" s="42" t="n"/>
      <c r="H76" s="42">
        <f t="array" ref="H76:H76">IFERROR(INDEX(통합!$A$1:$A$400,SMALL(IF(통합!$F$1:$F$400="대중교통",ROW(통합!$F$1:$F$400)),29)),"")</f>
        <v/>
      </c>
      <c r="I76" s="42">
        <f t="array" ref="I76:I76">IFERROR(INDEX(통합!$B$1:$B$400,SMALL(IF(통합!$F$1:$F$400="대중교통",ROW(통합!$F$1:$F$400)),29)),"")</f>
        <v/>
      </c>
      <c r="J76" s="42">
        <f t="array" ref="J76:J76">IFERROR(INDEX(통합!$C$1:$C$400,SMALL(IF(통합!$F$1:$F$400="대중교통",ROW(통합!$F$1:$F$400)),29)),"")</f>
        <v/>
      </c>
      <c r="K76" s="42" t="n"/>
    </row>
    <row r="77" ht="19.5" customHeight="1" s="33">
      <c r="A77" s="43" t="n">
        <v>30</v>
      </c>
      <c r="B77" s="44">
        <f t="array" ref="B77:B77">IFERROR(INDEX(통합!$A$1:$A$400,SMALL(IF(통합!$E$1:$E$400="대중교통",ROW(통합!$E$1:$E$400)),30)),"")</f>
        <v/>
      </c>
      <c r="C77" s="44">
        <f t="array" ref="C77:C77">IFERROR(INDEX(통합!$B$1:$B$400,SMALL(IF(통합!$E$1:$E$400="대중교통",ROW(통합!$E$1:$E$400)),30)),"")</f>
        <v/>
      </c>
      <c r="D77" s="44">
        <f t="array" ref="D77:D77">IFERROR(INDEX(통합!$C$1:$C$400,SMALL(IF(통합!$E$1:$E$400="대중교통",ROW(통합!$E$1:$E$400)),30)),"")</f>
        <v/>
      </c>
      <c r="E77" s="44" t="n"/>
      <c r="H77" s="44">
        <f t="array" ref="H77:H77">IFERROR(INDEX(통합!$A$1:$A$400,SMALL(IF(통합!$F$1:$F$400="대중교통",ROW(통합!$F$1:$F$400)),30)),"")</f>
        <v/>
      </c>
      <c r="I77" s="44">
        <f t="array" ref="I77:I77">IFERROR(INDEX(통합!$B$1:$B$400,SMALL(IF(통합!$F$1:$F$400="대중교통",ROW(통합!$F$1:$F$400)),30)),"")</f>
        <v/>
      </c>
      <c r="J77" s="44">
        <f t="array" ref="J77:J77">IFERROR(INDEX(통합!$C$1:$C$400,SMALL(IF(통합!$F$1:$F$400="대중교통",ROW(통합!$F$1:$F$400)),30)),"")</f>
        <v/>
      </c>
      <c r="K77" s="44" t="n"/>
    </row>
    <row r="78" ht="19.5" customHeight="1" s="33">
      <c r="A78" s="41" t="n">
        <v>31</v>
      </c>
      <c r="B78" s="42">
        <f t="array" ref="B78:B78">IFERROR(INDEX(통합!$A$1:$A$400,SMALL(IF(통합!$E$1:$E$400="대중교통",ROW(통합!$E$1:$E$400)),31)),"")</f>
        <v/>
      </c>
      <c r="C78" s="42">
        <f t="array" ref="C78:C78">IFERROR(INDEX(통합!$B$1:$B$400,SMALL(IF(통합!$E$1:$E$400="대중교통",ROW(통합!$E$1:$E$400)),31)),"")</f>
        <v/>
      </c>
      <c r="D78" s="42">
        <f t="array" ref="D78:D78">IFERROR(INDEX(통합!$C$1:$C$400,SMALL(IF(통합!$E$1:$E$400="대중교통",ROW(통합!$E$1:$E$400)),31)),"")</f>
        <v/>
      </c>
      <c r="E78" s="42" t="n"/>
      <c r="H78" s="42">
        <f t="array" ref="H78:H78">IFERROR(INDEX(통합!$A$1:$A$400,SMALL(IF(통합!$F$1:$F$400="대중교통",ROW(통합!$F$1:$F$400)),31)),"")</f>
        <v/>
      </c>
      <c r="I78" s="42">
        <f t="array" ref="I78:I78">IFERROR(INDEX(통합!$B$1:$B$400,SMALL(IF(통합!$F$1:$F$400="대중교통",ROW(통합!$F$1:$F$400)),31)),"")</f>
        <v/>
      </c>
      <c r="J78" s="42">
        <f t="array" ref="J78:J78">IFERROR(INDEX(통합!$C$1:$C$400,SMALL(IF(통합!$F$1:$F$400="대중교통",ROW(통합!$F$1:$F$400)),31)),"")</f>
        <v/>
      </c>
      <c r="K78" s="42" t="n"/>
    </row>
    <row r="79" ht="19.5" customHeight="1" s="33">
      <c r="A79" s="43" t="n">
        <v>32</v>
      </c>
      <c r="B79" s="44">
        <f t="array" ref="B79:B79">IFERROR(INDEX(통합!$A$1:$A$400,SMALL(IF(통합!$E$1:$E$400="대중교통",ROW(통합!$E$1:$E$400)),32)),"")</f>
        <v/>
      </c>
      <c r="C79" s="44">
        <f t="array" ref="C79:C79">IFERROR(INDEX(통합!$B$1:$B$400,SMALL(IF(통합!$E$1:$E$400="대중교통",ROW(통합!$E$1:$E$400)),32)),"")</f>
        <v/>
      </c>
      <c r="D79" s="44">
        <f t="array" ref="D79:D79">IFERROR(INDEX(통합!$C$1:$C$400,SMALL(IF(통합!$E$1:$E$400="대중교통",ROW(통합!$E$1:$E$400)),32)),"")</f>
        <v/>
      </c>
      <c r="E79" s="44" t="n"/>
      <c r="H79" s="44">
        <f t="array" ref="H79:H79">IFERROR(INDEX(통합!$A$1:$A$400,SMALL(IF(통합!$F$1:$F$400="대중교통",ROW(통합!$F$1:$F$400)),32)),"")</f>
        <v/>
      </c>
      <c r="I79" s="44">
        <f t="array" ref="I79:I79">IFERROR(INDEX(통합!$B$1:$B$400,SMALL(IF(통합!$F$1:$F$400="대중교통",ROW(통합!$F$1:$F$400)),32)),"")</f>
        <v/>
      </c>
      <c r="J79" s="44">
        <f t="array" ref="J79:J79">IFERROR(INDEX(통합!$C$1:$C$400,SMALL(IF(통합!$F$1:$F$400="대중교통",ROW(통합!$F$1:$F$400)),32)),"")</f>
        <v/>
      </c>
      <c r="K79" s="44" t="n"/>
    </row>
    <row r="80" ht="19.5" customHeight="1" s="33">
      <c r="A80" s="41" t="n">
        <v>33</v>
      </c>
      <c r="B80" s="42">
        <f t="array" ref="B80:B80">IFERROR(INDEX(통합!$A$1:$A$400,SMALL(IF(통합!$E$1:$E$400="대중교통",ROW(통합!$E$1:$E$400)),33)),"")</f>
        <v/>
      </c>
      <c r="C80" s="42">
        <f t="array" ref="C80:C80">IFERROR(INDEX(통합!$B$1:$B$400,SMALL(IF(통합!$E$1:$E$400="대중교통",ROW(통합!$E$1:$E$400)),33)),"")</f>
        <v/>
      </c>
      <c r="D80" s="42">
        <f t="array" ref="D80:D80">IFERROR(INDEX(통합!$C$1:$C$400,SMALL(IF(통합!$E$1:$E$400="대중교통",ROW(통합!$E$1:$E$400)),33)),"")</f>
        <v/>
      </c>
      <c r="E80" s="42" t="n"/>
      <c r="H80" s="42">
        <f t="array" ref="H80:H80">IFERROR(INDEX(통합!$A$1:$A$400,SMALL(IF(통합!$F$1:$F$400="대중교통",ROW(통합!$F$1:$F$400)),33)),"")</f>
        <v/>
      </c>
      <c r="I80" s="42">
        <f t="array" ref="I80:I80">IFERROR(INDEX(통합!$B$1:$B$400,SMALL(IF(통합!$F$1:$F$400="대중교통",ROW(통합!$F$1:$F$400)),33)),"")</f>
        <v/>
      </c>
      <c r="J80" s="42">
        <f t="array" ref="J80:J80">IFERROR(INDEX(통합!$C$1:$C$400,SMALL(IF(통합!$F$1:$F$400="대중교통",ROW(통합!$F$1:$F$400)),33)),"")</f>
        <v/>
      </c>
      <c r="K80" s="42" t="n"/>
    </row>
    <row r="81" ht="19.5" customHeight="1" s="33">
      <c r="A81" s="43" t="n">
        <v>34</v>
      </c>
      <c r="B81" s="44">
        <f t="array" ref="B81:B81">IFERROR(INDEX(통합!$A$1:$A$400,SMALL(IF(통합!$E$1:$E$400="대중교통",ROW(통합!$E$1:$E$400)),34)),"")</f>
        <v/>
      </c>
      <c r="C81" s="44">
        <f t="array" ref="C81:C81">IFERROR(INDEX(통합!$B$1:$B$400,SMALL(IF(통합!$E$1:$E$400="대중교통",ROW(통합!$E$1:$E$400)),34)),"")</f>
        <v/>
      </c>
      <c r="D81" s="44">
        <f t="array" ref="D81:D81">IFERROR(INDEX(통합!$C$1:$C$400,SMALL(IF(통합!$E$1:$E$400="대중교통",ROW(통합!$E$1:$E$400)),34)),"")</f>
        <v/>
      </c>
      <c r="E81" s="44" t="n"/>
      <c r="H81" s="44">
        <f t="array" ref="H81:H81">IFERROR(INDEX(통합!$A$1:$A$400,SMALL(IF(통합!$F$1:$F$400="대중교통",ROW(통합!$F$1:$F$400)),34)),"")</f>
        <v/>
      </c>
      <c r="I81" s="44">
        <f t="array" ref="I81:I81">IFERROR(INDEX(통합!$B$1:$B$400,SMALL(IF(통합!$F$1:$F$400="대중교통",ROW(통합!$F$1:$F$400)),34)),"")</f>
        <v/>
      </c>
      <c r="J81" s="44">
        <f t="array" ref="J81:J81">IFERROR(INDEX(통합!$C$1:$C$400,SMALL(IF(통합!$F$1:$F$400="대중교통",ROW(통합!$F$1:$F$400)),34)),"")</f>
        <v/>
      </c>
      <c r="K81" s="44" t="n"/>
    </row>
    <row r="82" ht="19.5" customHeight="1" s="33">
      <c r="A82" s="41" t="n">
        <v>35</v>
      </c>
      <c r="B82" s="42">
        <f t="array" ref="B82:B82">IFERROR(INDEX(통합!$A$1:$A$400,SMALL(IF(통합!$E$1:$E$400="대중교통",ROW(통합!$E$1:$E$400)),35)),"")</f>
        <v/>
      </c>
      <c r="C82" s="42">
        <f t="array" ref="C82:C82">IFERROR(INDEX(통합!$B$1:$B$400,SMALL(IF(통합!$E$1:$E$400="대중교통",ROW(통합!$E$1:$E$400)),35)),"")</f>
        <v/>
      </c>
      <c r="D82" s="42">
        <f t="array" ref="D82:D82">IFERROR(INDEX(통합!$C$1:$C$400,SMALL(IF(통합!$E$1:$E$400="대중교통",ROW(통합!$E$1:$E$400)),35)),"")</f>
        <v/>
      </c>
      <c r="E82" s="42" t="n"/>
      <c r="H82" s="42">
        <f t="array" ref="H82:H82">IFERROR(INDEX(통합!$A$1:$A$400,SMALL(IF(통합!$F$1:$F$400="대중교통",ROW(통합!$F$1:$F$400)),35)),"")</f>
        <v/>
      </c>
      <c r="I82" s="42">
        <f t="array" ref="I82:I82">IFERROR(INDEX(통합!$B$1:$B$400,SMALL(IF(통합!$F$1:$F$400="대중교통",ROW(통합!$F$1:$F$400)),35)),"")</f>
        <v/>
      </c>
      <c r="J82" s="42">
        <f t="array" ref="J82:J82">IFERROR(INDEX(통합!$C$1:$C$400,SMALL(IF(통합!$F$1:$F$400="대중교통",ROW(통합!$F$1:$F$400)),35)),"")</f>
        <v/>
      </c>
      <c r="K82" s="42" t="n"/>
    </row>
    <row r="83" ht="19.5" customHeight="1" s="33">
      <c r="A83" s="43" t="n">
        <v>36</v>
      </c>
      <c r="B83" s="44">
        <f t="array" ref="B83:B83">IFERROR(INDEX(통합!$A$1:$A$400,SMALL(IF(통합!$E$1:$E$400="대중교통",ROW(통합!$E$1:$E$400)),36)),"")</f>
        <v/>
      </c>
      <c r="C83" s="44">
        <f t="array" ref="C83:C83">IFERROR(INDEX(통합!$B$1:$B$400,SMALL(IF(통합!$E$1:$E$400="대중교통",ROW(통합!$E$1:$E$400)),36)),"")</f>
        <v/>
      </c>
      <c r="D83" s="44">
        <f t="array" ref="D83:D83">IFERROR(INDEX(통합!$C$1:$C$400,SMALL(IF(통합!$E$1:$E$400="대중교통",ROW(통합!$E$1:$E$400)),36)),"")</f>
        <v/>
      </c>
      <c r="E83" s="44" t="n"/>
      <c r="H83" s="44">
        <f t="array" ref="H83:H83">IFERROR(INDEX(통합!$A$1:$A$400,SMALL(IF(통합!$F$1:$F$400="대중교통",ROW(통합!$F$1:$F$400)),36)),"")</f>
        <v/>
      </c>
      <c r="I83" s="44">
        <f t="array" ref="I83:I83">IFERROR(INDEX(통합!$B$1:$B$400,SMALL(IF(통합!$F$1:$F$400="대중교통",ROW(통합!$F$1:$F$400)),36)),"")</f>
        <v/>
      </c>
      <c r="J83" s="44">
        <f t="array" ref="J83:J83">IFERROR(INDEX(통합!$C$1:$C$400,SMALL(IF(통합!$F$1:$F$400="대중교통",ROW(통합!$F$1:$F$400)),36)),"")</f>
        <v/>
      </c>
      <c r="K83" s="44" t="n"/>
    </row>
    <row r="84" ht="19.5" customHeight="1" s="33">
      <c r="A84" s="41" t="n">
        <v>37</v>
      </c>
      <c r="B84" s="42">
        <f t="array" ref="B84:B84">IFERROR(INDEX(통합!$A$1:$A$400,SMALL(IF(통합!$E$1:$E$400="대중교통",ROW(통합!$E$1:$E$400)),37)),"")</f>
        <v/>
      </c>
      <c r="C84" s="42">
        <f t="array" ref="C84:C84">IFERROR(INDEX(통합!$B$1:$B$400,SMALL(IF(통합!$E$1:$E$400="대중교통",ROW(통합!$E$1:$E$400)),37)),"")</f>
        <v/>
      </c>
      <c r="D84" s="42">
        <f t="array" ref="D84:D84">IFERROR(INDEX(통합!$C$1:$C$400,SMALL(IF(통합!$E$1:$E$400="대중교통",ROW(통합!$E$1:$E$400)),37)),"")</f>
        <v/>
      </c>
      <c r="E84" s="42" t="n"/>
      <c r="H84" s="42">
        <f t="array" ref="H84:H84">IFERROR(INDEX(통합!$A$1:$A$400,SMALL(IF(통합!$F$1:$F$400="대중교통",ROW(통합!$F$1:$F$400)),37)),"")</f>
        <v/>
      </c>
      <c r="I84" s="42">
        <f t="array" ref="I84:I84">IFERROR(INDEX(통합!$B$1:$B$400,SMALL(IF(통합!$F$1:$F$400="대중교통",ROW(통합!$F$1:$F$400)),37)),"")</f>
        <v/>
      </c>
      <c r="J84" s="42">
        <f t="array" ref="J84:J84">IFERROR(INDEX(통합!$C$1:$C$400,SMALL(IF(통합!$F$1:$F$400="대중교통",ROW(통합!$F$1:$F$400)),37)),"")</f>
        <v/>
      </c>
      <c r="K84" s="42" t="n"/>
    </row>
    <row r="85" ht="19.5" customHeight="1" s="33">
      <c r="A85" s="43" t="n">
        <v>38</v>
      </c>
      <c r="B85" s="44">
        <f t="array" ref="B85:B85">IFERROR(INDEX(통합!$A$1:$A$400,SMALL(IF(통합!$E$1:$E$400="대중교통",ROW(통합!$E$1:$E$400)),38)),"")</f>
        <v/>
      </c>
      <c r="C85" s="44">
        <f t="array" ref="C85:C85">IFERROR(INDEX(통합!$B$1:$B$400,SMALL(IF(통합!$E$1:$E$400="대중교통",ROW(통합!$E$1:$E$400)),38)),"")</f>
        <v/>
      </c>
      <c r="D85" s="44">
        <f t="array" ref="D85:D85">IFERROR(INDEX(통합!$C$1:$C$400,SMALL(IF(통합!$E$1:$E$400="대중교통",ROW(통합!$E$1:$E$400)),38)),"")</f>
        <v/>
      </c>
      <c r="E85" s="44" t="n"/>
      <c r="H85" s="44">
        <f t="array" ref="H85:H85">IFERROR(INDEX(통합!$A$1:$A$400,SMALL(IF(통합!$F$1:$F$400="대중교통",ROW(통합!$F$1:$F$400)),38)),"")</f>
        <v/>
      </c>
      <c r="I85" s="44">
        <f t="array" ref="I85:I85">IFERROR(INDEX(통합!$B$1:$B$400,SMALL(IF(통합!$F$1:$F$400="대중교통",ROW(통합!$F$1:$F$400)),38)),"")</f>
        <v/>
      </c>
      <c r="J85" s="44">
        <f t="array" ref="J85:J85">IFERROR(INDEX(통합!$C$1:$C$400,SMALL(IF(통합!$F$1:$F$400="대중교통",ROW(통합!$F$1:$F$400)),38)),"")</f>
        <v/>
      </c>
      <c r="K85" s="44" t="n"/>
    </row>
    <row r="86" ht="19.5" customHeight="1" s="33">
      <c r="A86" s="41" t="n">
        <v>39</v>
      </c>
      <c r="B86" s="42">
        <f t="array" ref="B86:B86">IFERROR(INDEX(통합!$A$1:$A$400,SMALL(IF(통합!$E$1:$E$400="대중교통",ROW(통합!$E$1:$E$400)),39)),"")</f>
        <v/>
      </c>
      <c r="C86" s="42">
        <f t="array" ref="C86:C86">IFERROR(INDEX(통합!$B$1:$B$400,SMALL(IF(통합!$E$1:$E$400="대중교통",ROW(통합!$E$1:$E$400)),39)),"")</f>
        <v/>
      </c>
      <c r="D86" s="42">
        <f t="array" ref="D86:D86">IFERROR(INDEX(통합!$C$1:$C$400,SMALL(IF(통합!$E$1:$E$400="대중교통",ROW(통합!$E$1:$E$400)),39)),"")</f>
        <v/>
      </c>
      <c r="E86" s="42" t="n"/>
      <c r="H86" s="42">
        <f t="array" ref="H86:H86">IFERROR(INDEX(통합!$A$1:$A$400,SMALL(IF(통합!$F$1:$F$400="대중교통",ROW(통합!$F$1:$F$400)),39)),"")</f>
        <v/>
      </c>
      <c r="I86" s="42">
        <f t="array" ref="I86:I86">IFERROR(INDEX(통합!$B$1:$B$400,SMALL(IF(통합!$F$1:$F$400="대중교통",ROW(통합!$F$1:$F$400)),39)),"")</f>
        <v/>
      </c>
      <c r="J86" s="42">
        <f t="array" ref="J86:J86">IFERROR(INDEX(통합!$C$1:$C$400,SMALL(IF(통합!$F$1:$F$400="대중교통",ROW(통합!$F$1:$F$400)),39)),"")</f>
        <v/>
      </c>
      <c r="K86" s="42" t="n"/>
    </row>
    <row r="87" ht="19.5" customHeight="1" s="33">
      <c r="A87" s="43" t="n">
        <v>40</v>
      </c>
      <c r="B87" s="44">
        <f t="array" ref="B87:B87">IFERROR(INDEX(통합!$A$1:$A$400,SMALL(IF(통합!$E$1:$E$400="대중교통",ROW(통합!$E$1:$E$400)),40)),"")</f>
        <v/>
      </c>
      <c r="C87" s="44">
        <f t="array" ref="C87:C87">IFERROR(INDEX(통합!$B$1:$B$400,SMALL(IF(통합!$E$1:$E$400="대중교통",ROW(통합!$E$1:$E$400)),40)),"")</f>
        <v/>
      </c>
      <c r="D87" s="44">
        <f t="array" ref="D87:D87">IFERROR(INDEX(통합!$C$1:$C$400,SMALL(IF(통합!$E$1:$E$400="대중교통",ROW(통합!$E$1:$E$400)),40)),"")</f>
        <v/>
      </c>
      <c r="E87" s="44" t="n"/>
      <c r="H87" s="44">
        <f t="array" ref="H87:H87">IFERROR(INDEX(통합!$A$1:$A$400,SMALL(IF(통합!$F$1:$F$400="대중교통",ROW(통합!$F$1:$F$400)),40)),"")</f>
        <v/>
      </c>
      <c r="I87" s="44">
        <f t="array" ref="I87:I87">IFERROR(INDEX(통합!$B$1:$B$400,SMALL(IF(통합!$F$1:$F$400="대중교통",ROW(통합!$F$1:$F$400)),40)),"")</f>
        <v/>
      </c>
      <c r="J87" s="44">
        <f t="array" ref="J87:J87">IFERROR(INDEX(통합!$C$1:$C$400,SMALL(IF(통합!$F$1:$F$400="대중교통",ROW(통합!$F$1:$F$400)),40)),"")</f>
        <v/>
      </c>
      <c r="K87" s="44" t="n"/>
    </row>
    <row r="88" ht="15" customHeight="1" s="33">
      <c r="A88" s="45" t="inlineStr">
        <is>
          <t>대중교통  합  계</t>
        </is>
      </c>
      <c r="B88" s="35" t="n"/>
      <c r="C88" s="35" t="n"/>
      <c r="D88" s="35" t="n"/>
      <c r="E88" s="35" t="n"/>
      <c r="G88" s="45" t="inlineStr">
        <is>
          <t>대중교통  합  계</t>
        </is>
      </c>
      <c r="H88" s="35" t="n"/>
      <c r="I88" s="35" t="n"/>
      <c r="J88" s="35" t="n"/>
      <c r="K88" s="35" t="n"/>
    </row>
  </sheetData>
  <mergeCells count="10">
    <mergeCell ref="A2:E2"/>
    <mergeCell ref="G2:K2"/>
    <mergeCell ref="A1:K1"/>
    <mergeCell ref="G44:K44"/>
    <mergeCell ref="A46:E46"/>
    <mergeCell ref="A44:E44"/>
    <mergeCell ref="G46:K46"/>
    <mergeCell ref="A88:E88"/>
    <mergeCell ref="A45:K45"/>
    <mergeCell ref="G88:K8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33">
      <c r="A1" s="65" t="inlineStr">
        <is>
          <t>여백 시트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M4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.5" customWidth="1" style="32" min="1" max="1"/>
    <col width="13" customWidth="1" style="32" min="2" max="13"/>
  </cols>
  <sheetData>
    <row r="1" ht="15" customHeight="1" s="33">
      <c r="A1" s="66">
        <f>IF(11구역!B4="","",11구역!B4)</f>
        <v/>
      </c>
      <c r="B1" s="66">
        <f>IF(11구역!C4="","",11구역!C4)</f>
        <v/>
      </c>
      <c r="C1" s="66">
        <f>IF(11구역!D4="","",11구역!D4)</f>
        <v/>
      </c>
      <c r="D1" s="66">
        <f>IF(11구역!E4="","",11구역!E4)</f>
        <v/>
      </c>
      <c r="E1" s="66">
        <f>IF(11구역!F4="","",11구역!F4)</f>
        <v/>
      </c>
      <c r="F1" s="66">
        <f>IF(11구역!G4="","",11구역!G4)</f>
        <v/>
      </c>
      <c r="G1" s="66">
        <f>IF(11구역!H4="","",11구역!H4)</f>
        <v/>
      </c>
      <c r="H1" s="66">
        <f>IF(11구역!I4="","",11구역!I4)</f>
        <v/>
      </c>
      <c r="I1" s="66">
        <f>IF(11구역!J4="","",11구역!J4)</f>
        <v/>
      </c>
      <c r="J1" s="66">
        <f>IF(11구역!K4="","",11구역!K4)</f>
        <v/>
      </c>
      <c r="K1" s="66">
        <f>IF(11구역!L4="","",11구역!L4)</f>
        <v/>
      </c>
      <c r="L1" s="66">
        <f>IF(11구역!M4="","",11구역!M4)</f>
        <v/>
      </c>
      <c r="M1" s="66">
        <f>IF(11구역!N4="","",11구역!N4)</f>
        <v/>
      </c>
    </row>
    <row r="2" ht="15" customHeight="1" s="33">
      <c r="A2" s="66">
        <f>IF(11구역!B5="","",11구역!B5)</f>
        <v/>
      </c>
      <c r="B2" s="66">
        <f>IF(11구역!C5="","",11구역!C5)</f>
        <v/>
      </c>
      <c r="C2" s="66">
        <f>IF(11구역!D5="","",11구역!D5)</f>
        <v/>
      </c>
      <c r="D2" s="66">
        <f>IF(11구역!E5="","",11구역!E5)</f>
        <v/>
      </c>
      <c r="E2" s="66">
        <f>IF(11구역!F5="","",11구역!F5)</f>
        <v/>
      </c>
      <c r="F2" s="66">
        <f>IF(11구역!G5="","",11구역!G5)</f>
        <v/>
      </c>
      <c r="G2" s="66">
        <f>IF(11구역!H5="","",11구역!H5)</f>
        <v/>
      </c>
      <c r="H2" s="66">
        <f>IF(11구역!I5="","",11구역!I5)</f>
        <v/>
      </c>
      <c r="I2" s="66">
        <f>IF(11구역!J5="","",11구역!J5)</f>
        <v/>
      </c>
      <c r="J2" s="66">
        <f>IF(11구역!K5="","",11구역!K5)</f>
        <v/>
      </c>
      <c r="K2" s="66">
        <f>IF(11구역!L5="","",11구역!L5)</f>
        <v/>
      </c>
      <c r="L2" s="66">
        <f>IF(11구역!M5="","",11구역!M5)</f>
        <v/>
      </c>
      <c r="M2" s="66">
        <f>IF(11구역!N5="","",11구역!N5)</f>
        <v/>
      </c>
    </row>
    <row r="3" ht="15" customHeight="1" s="33">
      <c r="A3" s="66">
        <f>IF(11구역!B6="","",11구역!B6)</f>
        <v/>
      </c>
      <c r="B3" s="66">
        <f>IF(11구역!C6="","",11구역!C6)</f>
        <v/>
      </c>
      <c r="C3" s="66">
        <f>IF(11구역!D6="","",11구역!D6)</f>
        <v/>
      </c>
      <c r="D3" s="66">
        <f>IF(11구역!E6="","",11구역!E6)</f>
        <v/>
      </c>
      <c r="E3" s="66">
        <f>IF(11구역!F6="","",11구역!F6)</f>
        <v/>
      </c>
      <c r="F3" s="66">
        <f>IF(11구역!G6="","",11구역!G6)</f>
        <v/>
      </c>
      <c r="G3" s="66">
        <f>IF(11구역!H6="","",11구역!H6)</f>
        <v/>
      </c>
      <c r="H3" s="66">
        <f>IF(11구역!I6="","",11구역!I6)</f>
        <v/>
      </c>
      <c r="I3" s="66">
        <f>IF(11구역!J6="","",11구역!J6)</f>
        <v/>
      </c>
      <c r="J3" s="66">
        <f>IF(11구역!K6="","",11구역!K6)</f>
        <v/>
      </c>
      <c r="K3" s="66">
        <f>IF(11구역!L6="","",11구역!L6)</f>
        <v/>
      </c>
      <c r="L3" s="66">
        <f>IF(11구역!M6="","",11구역!M6)</f>
        <v/>
      </c>
      <c r="M3" s="66">
        <f>IF(11구역!N6="","",11구역!N6)</f>
        <v/>
      </c>
    </row>
    <row r="4" ht="15" customHeight="1" s="33">
      <c r="A4" s="66">
        <f>IF(11구역!B7="","",11구역!B7)</f>
        <v/>
      </c>
      <c r="B4" s="66">
        <f>IF(11구역!C7="","",11구역!C7)</f>
        <v/>
      </c>
      <c r="C4" s="66">
        <f>IF(11구역!D7="","",11구역!D7)</f>
        <v/>
      </c>
      <c r="D4" s="66">
        <f>IF(11구역!E7="","",11구역!E7)</f>
        <v/>
      </c>
      <c r="E4" s="66">
        <f>IF(11구역!F7="","",11구역!F7)</f>
        <v/>
      </c>
      <c r="F4" s="66">
        <f>IF(11구역!G7="","",11구역!G7)</f>
        <v/>
      </c>
      <c r="G4" s="66">
        <f>IF(11구역!H7="","",11구역!H7)</f>
        <v/>
      </c>
      <c r="H4" s="66">
        <f>IF(11구역!I7="","",11구역!I7)</f>
        <v/>
      </c>
      <c r="I4" s="66">
        <f>IF(11구역!J7="","",11구역!J7)</f>
        <v/>
      </c>
      <c r="J4" s="66">
        <f>IF(11구역!K7="","",11구역!K7)</f>
        <v/>
      </c>
      <c r="K4" s="66">
        <f>IF(11구역!L7="","",11구역!L7)</f>
        <v/>
      </c>
      <c r="L4" s="66">
        <f>IF(11구역!M7="","",11구역!M7)</f>
        <v/>
      </c>
      <c r="M4" s="66">
        <f>IF(11구역!N7="","",11구역!N7)</f>
        <v/>
      </c>
    </row>
    <row r="5" ht="15" customHeight="1" s="33">
      <c r="A5" s="66">
        <f>IF(11구역!B8="","",11구역!B8)</f>
        <v/>
      </c>
      <c r="B5" s="66">
        <f>IF(11구역!C8="","",11구역!C8)</f>
        <v/>
      </c>
      <c r="C5" s="66">
        <f>IF(11구역!D8="","",11구역!D8)</f>
        <v/>
      </c>
      <c r="D5" s="66">
        <f>IF(11구역!E8="","",11구역!E8)</f>
        <v/>
      </c>
      <c r="E5" s="66">
        <f>IF(11구역!F8="","",11구역!F8)</f>
        <v/>
      </c>
      <c r="F5" s="66">
        <f>IF(11구역!G8="","",11구역!G8)</f>
        <v/>
      </c>
      <c r="G5" s="66">
        <f>IF(11구역!H8="","",11구역!H8)</f>
        <v/>
      </c>
      <c r="H5" s="66">
        <f>IF(11구역!I8="","",11구역!I8)</f>
        <v/>
      </c>
      <c r="I5" s="66">
        <f>IF(11구역!J8="","",11구역!J8)</f>
        <v/>
      </c>
      <c r="J5" s="66">
        <f>IF(11구역!K8="","",11구역!K8)</f>
        <v/>
      </c>
      <c r="K5" s="66">
        <f>IF(11구역!L8="","",11구역!L8)</f>
        <v/>
      </c>
      <c r="L5" s="66">
        <f>IF(11구역!M8="","",11구역!M8)</f>
        <v/>
      </c>
      <c r="M5" s="66">
        <f>IF(11구역!N8="","",11구역!N8)</f>
        <v/>
      </c>
    </row>
    <row r="6" ht="15" customHeight="1" s="33">
      <c r="A6" s="66">
        <f>IF(11구역!B9="","",11구역!B9)</f>
        <v/>
      </c>
      <c r="B6" s="66">
        <f>IF(11구역!C9="","",11구역!C9)</f>
        <v/>
      </c>
      <c r="C6" s="66">
        <f>IF(11구역!D9="","",11구역!D9)</f>
        <v/>
      </c>
      <c r="D6" s="66">
        <f>IF(11구역!E9="","",11구역!E9)</f>
        <v/>
      </c>
      <c r="E6" s="66">
        <f>IF(11구역!F9="","",11구역!F9)</f>
        <v/>
      </c>
      <c r="F6" s="66">
        <f>IF(11구역!G9="","",11구역!G9)</f>
        <v/>
      </c>
      <c r="G6" s="66">
        <f>IF(11구역!H9="","",11구역!H9)</f>
        <v/>
      </c>
      <c r="H6" s="66">
        <f>IF(11구역!I9="","",11구역!I9)</f>
        <v/>
      </c>
      <c r="I6" s="66">
        <f>IF(11구역!J9="","",11구역!J9)</f>
        <v/>
      </c>
      <c r="J6" s="66">
        <f>IF(11구역!K9="","",11구역!K9)</f>
        <v/>
      </c>
      <c r="K6" s="66">
        <f>IF(11구역!L9="","",11구역!L9)</f>
        <v/>
      </c>
      <c r="L6" s="66">
        <f>IF(11구역!M9="","",11구역!M9)</f>
        <v/>
      </c>
      <c r="M6" s="66">
        <f>IF(11구역!N9="","",11구역!N9)</f>
        <v/>
      </c>
    </row>
    <row r="7" ht="15" customHeight="1" s="33">
      <c r="A7" s="66">
        <f>IF(11구역!B10="","",11구역!B10)</f>
        <v/>
      </c>
      <c r="B7" s="66">
        <f>IF(11구역!C10="","",11구역!C10)</f>
        <v/>
      </c>
      <c r="C7" s="66">
        <f>IF(11구역!D10="","",11구역!D10)</f>
        <v/>
      </c>
      <c r="D7" s="66">
        <f>IF(11구역!E10="","",11구역!E10)</f>
        <v/>
      </c>
      <c r="E7" s="66">
        <f>IF(11구역!F10="","",11구역!F10)</f>
        <v/>
      </c>
      <c r="F7" s="66">
        <f>IF(11구역!G10="","",11구역!G10)</f>
        <v/>
      </c>
      <c r="G7" s="66">
        <f>IF(11구역!H10="","",11구역!H10)</f>
        <v/>
      </c>
      <c r="H7" s="66">
        <f>IF(11구역!I10="","",11구역!I10)</f>
        <v/>
      </c>
      <c r="I7" s="66">
        <f>IF(11구역!J10="","",11구역!J10)</f>
        <v/>
      </c>
      <c r="J7" s="66">
        <f>IF(11구역!K10="","",11구역!K10)</f>
        <v/>
      </c>
      <c r="K7" s="66">
        <f>IF(11구역!L10="","",11구역!L10)</f>
        <v/>
      </c>
      <c r="L7" s="66">
        <f>IF(11구역!M10="","",11구역!M10)</f>
        <v/>
      </c>
      <c r="M7" s="66">
        <f>IF(11구역!N10="","",11구역!N10)</f>
        <v/>
      </c>
    </row>
    <row r="8" ht="15" customHeight="1" s="33">
      <c r="A8" s="66">
        <f>IF(11구역!B11="","",11구역!B11)</f>
        <v/>
      </c>
      <c r="B8" s="66">
        <f>IF(11구역!C11="","",11구역!C11)</f>
        <v/>
      </c>
      <c r="C8" s="66">
        <f>IF(11구역!D11="","",11구역!D11)</f>
        <v/>
      </c>
      <c r="D8" s="66">
        <f>IF(11구역!E11="","",11구역!E11)</f>
        <v/>
      </c>
      <c r="E8" s="66">
        <f>IF(11구역!F11="","",11구역!F11)</f>
        <v/>
      </c>
      <c r="F8" s="66">
        <f>IF(11구역!G11="","",11구역!G11)</f>
        <v/>
      </c>
      <c r="G8" s="66">
        <f>IF(11구역!H11="","",11구역!H11)</f>
        <v/>
      </c>
      <c r="H8" s="66">
        <f>IF(11구역!I11="","",11구역!I11)</f>
        <v/>
      </c>
      <c r="I8" s="66">
        <f>IF(11구역!J11="","",11구역!J11)</f>
        <v/>
      </c>
      <c r="J8" s="66">
        <f>IF(11구역!K11="","",11구역!K11)</f>
        <v/>
      </c>
      <c r="K8" s="66">
        <f>IF(11구역!L11="","",11구역!L11)</f>
        <v/>
      </c>
      <c r="L8" s="66">
        <f>IF(11구역!M11="","",11구역!M11)</f>
        <v/>
      </c>
      <c r="M8" s="66">
        <f>IF(11구역!N11="","",11구역!N11)</f>
        <v/>
      </c>
    </row>
    <row r="9" ht="15" customHeight="1" s="33">
      <c r="A9" s="66">
        <f>IF(11구역!B12="","",11구역!B12)</f>
        <v/>
      </c>
      <c r="B9" s="66">
        <f>IF(11구역!C12="","",11구역!C12)</f>
        <v/>
      </c>
      <c r="C9" s="66">
        <f>IF(11구역!D12="","",11구역!D12)</f>
        <v/>
      </c>
      <c r="D9" s="66">
        <f>IF(11구역!E12="","",11구역!E12)</f>
        <v/>
      </c>
      <c r="E9" s="66">
        <f>IF(11구역!F12="","",11구역!F12)</f>
        <v/>
      </c>
      <c r="F9" s="66">
        <f>IF(11구역!G12="","",11구역!G12)</f>
        <v/>
      </c>
      <c r="G9" s="66">
        <f>IF(11구역!H12="","",11구역!H12)</f>
        <v/>
      </c>
      <c r="H9" s="66">
        <f>IF(11구역!I12="","",11구역!I12)</f>
        <v/>
      </c>
      <c r="I9" s="66">
        <f>IF(11구역!J12="","",11구역!J12)</f>
        <v/>
      </c>
      <c r="J9" s="66">
        <f>IF(11구역!K12="","",11구역!K12)</f>
        <v/>
      </c>
      <c r="K9" s="66">
        <f>IF(11구역!L12="","",11구역!L12)</f>
        <v/>
      </c>
      <c r="L9" s="66">
        <f>IF(11구역!M12="","",11구역!M12)</f>
        <v/>
      </c>
      <c r="M9" s="66">
        <f>IF(11구역!N12="","",11구역!N12)</f>
        <v/>
      </c>
    </row>
    <row r="10" ht="15" customHeight="1" s="33">
      <c r="A10" s="66">
        <f>IF(11구역!B13="","",11구역!B13)</f>
        <v/>
      </c>
      <c r="B10" s="66">
        <f>IF(11구역!C13="","",11구역!C13)</f>
        <v/>
      </c>
      <c r="C10" s="66">
        <f>IF(11구역!D13="","",11구역!D13)</f>
        <v/>
      </c>
      <c r="D10" s="66">
        <f>IF(11구역!E13="","",11구역!E13)</f>
        <v/>
      </c>
      <c r="E10" s="66">
        <f>IF(11구역!F13="","",11구역!F13)</f>
        <v/>
      </c>
      <c r="F10" s="66">
        <f>IF(11구역!G13="","",11구역!G13)</f>
        <v/>
      </c>
      <c r="G10" s="66">
        <f>IF(11구역!H13="","",11구역!H13)</f>
        <v/>
      </c>
      <c r="H10" s="66">
        <f>IF(11구역!I13="","",11구역!I13)</f>
        <v/>
      </c>
      <c r="I10" s="66">
        <f>IF(11구역!J13="","",11구역!J13)</f>
        <v/>
      </c>
      <c r="J10" s="66">
        <f>IF(11구역!K13="","",11구역!K13)</f>
        <v/>
      </c>
      <c r="K10" s="66">
        <f>IF(11구역!L13="","",11구역!L13)</f>
        <v/>
      </c>
      <c r="L10" s="66">
        <f>IF(11구역!M13="","",11구역!M13)</f>
        <v/>
      </c>
      <c r="M10" s="66">
        <f>IF(11구역!N13="","",11구역!N13)</f>
        <v/>
      </c>
    </row>
    <row r="11" ht="15" customHeight="1" s="33">
      <c r="A11" s="66">
        <f>IF(11구역!B14="","",11구역!B14)</f>
        <v/>
      </c>
      <c r="B11" s="66">
        <f>IF(11구역!C14="","",11구역!C14)</f>
        <v/>
      </c>
      <c r="C11" s="66">
        <f>IF(11구역!D14="","",11구역!D14)</f>
        <v/>
      </c>
      <c r="D11" s="66">
        <f>IF(11구역!E14="","",11구역!E14)</f>
        <v/>
      </c>
      <c r="E11" s="66">
        <f>IF(11구역!F14="","",11구역!F14)</f>
        <v/>
      </c>
      <c r="F11" s="66">
        <f>IF(11구역!G14="","",11구역!G14)</f>
        <v/>
      </c>
      <c r="G11" s="66">
        <f>IF(11구역!H14="","",11구역!H14)</f>
        <v/>
      </c>
      <c r="H11" s="66">
        <f>IF(11구역!I14="","",11구역!I14)</f>
        <v/>
      </c>
      <c r="I11" s="66">
        <f>IF(11구역!J14="","",11구역!J14)</f>
        <v/>
      </c>
      <c r="J11" s="66">
        <f>IF(11구역!K14="","",11구역!K14)</f>
        <v/>
      </c>
      <c r="K11" s="66">
        <f>IF(11구역!L14="","",11구역!L14)</f>
        <v/>
      </c>
      <c r="L11" s="66">
        <f>IF(11구역!M14="","",11구역!M14)</f>
        <v/>
      </c>
      <c r="M11" s="66">
        <f>IF(11구역!N14="","",11구역!N14)</f>
        <v/>
      </c>
    </row>
    <row r="12" ht="15" customHeight="1" s="33">
      <c r="A12" s="66">
        <f>IF(11구역!B15="","",11구역!B15)</f>
        <v/>
      </c>
      <c r="B12" s="66">
        <f>IF(11구역!C15="","",11구역!C15)</f>
        <v/>
      </c>
      <c r="C12" s="66">
        <f>IF(11구역!D15="","",11구역!D15)</f>
        <v/>
      </c>
      <c r="D12" s="66">
        <f>IF(11구역!E15="","",11구역!E15)</f>
        <v/>
      </c>
      <c r="E12" s="66">
        <f>IF(11구역!F15="","",11구역!F15)</f>
        <v/>
      </c>
      <c r="F12" s="66">
        <f>IF(11구역!G15="","",11구역!G15)</f>
        <v/>
      </c>
      <c r="G12" s="66">
        <f>IF(11구역!H15="","",11구역!H15)</f>
        <v/>
      </c>
      <c r="H12" s="66">
        <f>IF(11구역!I15="","",11구역!I15)</f>
        <v/>
      </c>
      <c r="I12" s="66">
        <f>IF(11구역!J15="","",11구역!J15)</f>
        <v/>
      </c>
      <c r="J12" s="66">
        <f>IF(11구역!K15="","",11구역!K15)</f>
        <v/>
      </c>
      <c r="K12" s="66">
        <f>IF(11구역!L15="","",11구역!L15)</f>
        <v/>
      </c>
      <c r="L12" s="66">
        <f>IF(11구역!M15="","",11구역!M15)</f>
        <v/>
      </c>
      <c r="M12" s="66">
        <f>IF(11구역!N15="","",11구역!N15)</f>
        <v/>
      </c>
    </row>
    <row r="13" ht="15" customHeight="1" s="33">
      <c r="A13" s="66">
        <f>IF(11구역!B16="","",11구역!B16)</f>
        <v/>
      </c>
      <c r="B13" s="66">
        <f>IF(11구역!C16="","",11구역!C16)</f>
        <v/>
      </c>
      <c r="C13" s="66">
        <f>IF(11구역!D16="","",11구역!D16)</f>
        <v/>
      </c>
      <c r="D13" s="66">
        <f>IF(11구역!E16="","",11구역!E16)</f>
        <v/>
      </c>
      <c r="E13" s="66">
        <f>IF(11구역!F16="","",11구역!F16)</f>
        <v/>
      </c>
      <c r="F13" s="66">
        <f>IF(11구역!G16="","",11구역!G16)</f>
        <v/>
      </c>
      <c r="G13" s="66">
        <f>IF(11구역!H16="","",11구역!H16)</f>
        <v/>
      </c>
      <c r="H13" s="66">
        <f>IF(11구역!I16="","",11구역!I16)</f>
        <v/>
      </c>
      <c r="I13" s="66">
        <f>IF(11구역!J16="","",11구역!J16)</f>
        <v/>
      </c>
      <c r="J13" s="66">
        <f>IF(11구역!K16="","",11구역!K16)</f>
        <v/>
      </c>
      <c r="K13" s="66">
        <f>IF(11구역!L16="","",11구역!L16)</f>
        <v/>
      </c>
      <c r="L13" s="66">
        <f>IF(11구역!M16="","",11구역!M16)</f>
        <v/>
      </c>
      <c r="M13" s="66">
        <f>IF(11구역!N16="","",11구역!N16)</f>
        <v/>
      </c>
    </row>
    <row r="14" ht="15" customHeight="1" s="33">
      <c r="A14" s="66">
        <f>IF(11구역!B17="","",11구역!B17)</f>
        <v/>
      </c>
      <c r="B14" s="66">
        <f>IF(11구역!C17="","",11구역!C17)</f>
        <v/>
      </c>
      <c r="C14" s="66">
        <f>IF(11구역!D17="","",11구역!D17)</f>
        <v/>
      </c>
      <c r="D14" s="66">
        <f>IF(11구역!E17="","",11구역!E17)</f>
        <v/>
      </c>
      <c r="E14" s="66">
        <f>IF(11구역!F17="","",11구역!F17)</f>
        <v/>
      </c>
      <c r="F14" s="66">
        <f>IF(11구역!G17="","",11구역!G17)</f>
        <v/>
      </c>
      <c r="G14" s="66">
        <f>IF(11구역!H17="","",11구역!H17)</f>
        <v/>
      </c>
      <c r="H14" s="66">
        <f>IF(11구역!I17="","",11구역!I17)</f>
        <v/>
      </c>
      <c r="I14" s="66">
        <f>IF(11구역!J17="","",11구역!J17)</f>
        <v/>
      </c>
      <c r="J14" s="66">
        <f>IF(11구역!K17="","",11구역!K17)</f>
        <v/>
      </c>
      <c r="K14" s="66">
        <f>IF(11구역!L17="","",11구역!L17)</f>
        <v/>
      </c>
      <c r="L14" s="66">
        <f>IF(11구역!M17="","",11구역!M17)</f>
        <v/>
      </c>
      <c r="M14" s="66">
        <f>IF(11구역!N17="","",11구역!N17)</f>
        <v/>
      </c>
    </row>
    <row r="15" ht="15" customHeight="1" s="33">
      <c r="A15" s="66">
        <f>IF(11구역!B18="","",11구역!B18)</f>
        <v/>
      </c>
      <c r="B15" s="66">
        <f>IF(11구역!C18="","",11구역!C18)</f>
        <v/>
      </c>
      <c r="C15" s="66">
        <f>IF(11구역!D18="","",11구역!D18)</f>
        <v/>
      </c>
      <c r="D15" s="66">
        <f>IF(11구역!E18="","",11구역!E18)</f>
        <v/>
      </c>
      <c r="E15" s="66">
        <f>IF(11구역!F18="","",11구역!F18)</f>
        <v/>
      </c>
      <c r="F15" s="66">
        <f>IF(11구역!G18="","",11구역!G18)</f>
        <v/>
      </c>
      <c r="G15" s="66">
        <f>IF(11구역!H18="","",11구역!H18)</f>
        <v/>
      </c>
      <c r="H15" s="66">
        <f>IF(11구역!I18="","",11구역!I18)</f>
        <v/>
      </c>
      <c r="I15" s="66">
        <f>IF(11구역!J18="","",11구역!J18)</f>
        <v/>
      </c>
      <c r="J15" s="66">
        <f>IF(11구역!K18="","",11구역!K18)</f>
        <v/>
      </c>
      <c r="K15" s="66">
        <f>IF(11구역!L18="","",11구역!L18)</f>
        <v/>
      </c>
      <c r="L15" s="66">
        <f>IF(11구역!M18="","",11구역!M18)</f>
        <v/>
      </c>
      <c r="M15" s="66">
        <f>IF(11구역!N18="","",11구역!N18)</f>
        <v/>
      </c>
    </row>
    <row r="16" ht="15" customHeight="1" s="33">
      <c r="A16" s="66">
        <f>IF(11구역!B19="","",11구역!B19)</f>
        <v/>
      </c>
      <c r="B16" s="66">
        <f>IF(11구역!C19="","",11구역!C19)</f>
        <v/>
      </c>
      <c r="C16" s="66">
        <f>IF(11구역!D19="","",11구역!D19)</f>
        <v/>
      </c>
      <c r="D16" s="66">
        <f>IF(11구역!E19="","",11구역!E19)</f>
        <v/>
      </c>
      <c r="E16" s="66">
        <f>IF(11구역!F19="","",11구역!F19)</f>
        <v/>
      </c>
      <c r="F16" s="66">
        <f>IF(11구역!G19="","",11구역!G19)</f>
        <v/>
      </c>
      <c r="G16" s="66">
        <f>IF(11구역!H19="","",11구역!H19)</f>
        <v/>
      </c>
      <c r="H16" s="66">
        <f>IF(11구역!I19="","",11구역!I19)</f>
        <v/>
      </c>
      <c r="I16" s="66">
        <f>IF(11구역!J19="","",11구역!J19)</f>
        <v/>
      </c>
      <c r="J16" s="66">
        <f>IF(11구역!K19="","",11구역!K19)</f>
        <v/>
      </c>
      <c r="K16" s="66">
        <f>IF(11구역!L19="","",11구역!L19)</f>
        <v/>
      </c>
      <c r="L16" s="66">
        <f>IF(11구역!M19="","",11구역!M19)</f>
        <v/>
      </c>
      <c r="M16" s="66">
        <f>IF(11구역!N19="","",11구역!N19)</f>
        <v/>
      </c>
    </row>
    <row r="17" ht="15" customHeight="1" s="33">
      <c r="A17" s="66">
        <f>IF(11구역!B20="","",11구역!B20)</f>
        <v/>
      </c>
      <c r="B17" s="66">
        <f>IF(11구역!C20="","",11구역!C20)</f>
        <v/>
      </c>
      <c r="C17" s="66">
        <f>IF(11구역!D20="","",11구역!D20)</f>
        <v/>
      </c>
      <c r="D17" s="66">
        <f>IF(11구역!E20="","",11구역!E20)</f>
        <v/>
      </c>
      <c r="E17" s="66">
        <f>IF(11구역!F20="","",11구역!F20)</f>
        <v/>
      </c>
      <c r="F17" s="66">
        <f>IF(11구역!G20="","",11구역!G20)</f>
        <v/>
      </c>
      <c r="G17" s="66">
        <f>IF(11구역!H20="","",11구역!H20)</f>
        <v/>
      </c>
      <c r="H17" s="66">
        <f>IF(11구역!I20="","",11구역!I20)</f>
        <v/>
      </c>
      <c r="I17" s="66">
        <f>IF(11구역!J20="","",11구역!J20)</f>
        <v/>
      </c>
      <c r="J17" s="66">
        <f>IF(11구역!K20="","",11구역!K20)</f>
        <v/>
      </c>
      <c r="K17" s="66">
        <f>IF(11구역!L20="","",11구역!L20)</f>
        <v/>
      </c>
      <c r="L17" s="66">
        <f>IF(11구역!M20="","",11구역!M20)</f>
        <v/>
      </c>
      <c r="M17" s="66">
        <f>IF(11구역!N20="","",11구역!N20)</f>
        <v/>
      </c>
    </row>
    <row r="18" ht="15" customHeight="1" s="33">
      <c r="A18" s="66">
        <f>IF(11구역!B21="","",11구역!B21)</f>
        <v/>
      </c>
      <c r="B18" s="66">
        <f>IF(11구역!C21="","",11구역!C21)</f>
        <v/>
      </c>
      <c r="C18" s="66">
        <f>IF(11구역!D21="","",11구역!D21)</f>
        <v/>
      </c>
      <c r="D18" s="66">
        <f>IF(11구역!E21="","",11구역!E21)</f>
        <v/>
      </c>
      <c r="E18" s="66">
        <f>IF(11구역!F21="","",11구역!F21)</f>
        <v/>
      </c>
      <c r="F18" s="66">
        <f>IF(11구역!G21="","",11구역!G21)</f>
        <v/>
      </c>
      <c r="G18" s="66">
        <f>IF(11구역!H21="","",11구역!H21)</f>
        <v/>
      </c>
      <c r="H18" s="66">
        <f>IF(11구역!I21="","",11구역!I21)</f>
        <v/>
      </c>
      <c r="I18" s="66">
        <f>IF(11구역!J21="","",11구역!J21)</f>
        <v/>
      </c>
      <c r="J18" s="66">
        <f>IF(11구역!K21="","",11구역!K21)</f>
        <v/>
      </c>
      <c r="K18" s="66">
        <f>IF(11구역!L21="","",11구역!L21)</f>
        <v/>
      </c>
      <c r="L18" s="66">
        <f>IF(11구역!M21="","",11구역!M21)</f>
        <v/>
      </c>
      <c r="M18" s="66">
        <f>IF(11구역!N21="","",11구역!N21)</f>
        <v/>
      </c>
    </row>
    <row r="19" ht="15" customHeight="1" s="33">
      <c r="A19" s="66">
        <f>IF(11구역!B22="","",11구역!B22)</f>
        <v/>
      </c>
      <c r="B19" s="66">
        <f>IF(11구역!C22="","",11구역!C22)</f>
        <v/>
      </c>
      <c r="C19" s="66">
        <f>IF(11구역!D22="","",11구역!D22)</f>
        <v/>
      </c>
      <c r="D19" s="66">
        <f>IF(11구역!E22="","",11구역!E22)</f>
        <v/>
      </c>
      <c r="E19" s="66">
        <f>IF(11구역!F22="","",11구역!F22)</f>
        <v/>
      </c>
      <c r="F19" s="66">
        <f>IF(11구역!G22="","",11구역!G22)</f>
        <v/>
      </c>
      <c r="G19" s="66">
        <f>IF(11구역!H22="","",11구역!H22)</f>
        <v/>
      </c>
      <c r="H19" s="66">
        <f>IF(11구역!I22="","",11구역!I22)</f>
        <v/>
      </c>
      <c r="I19" s="66">
        <f>IF(11구역!J22="","",11구역!J22)</f>
        <v/>
      </c>
      <c r="J19" s="66">
        <f>IF(11구역!K22="","",11구역!K22)</f>
        <v/>
      </c>
      <c r="K19" s="66">
        <f>IF(11구역!L22="","",11구역!L22)</f>
        <v/>
      </c>
      <c r="L19" s="66">
        <f>IF(11구역!M22="","",11구역!M22)</f>
        <v/>
      </c>
      <c r="M19" s="66">
        <f>IF(11구역!N22="","",11구역!N22)</f>
        <v/>
      </c>
    </row>
    <row r="20" ht="15" customHeight="1" s="33">
      <c r="A20" s="66">
        <f>IF(11구역!B23="","",11구역!B23)</f>
        <v/>
      </c>
      <c r="B20" s="66">
        <f>IF(11구역!C23="","",11구역!C23)</f>
        <v/>
      </c>
      <c r="C20" s="66">
        <f>IF(11구역!D23="","",11구역!D23)</f>
        <v/>
      </c>
      <c r="D20" s="66">
        <f>IF(11구역!E23="","",11구역!E23)</f>
        <v/>
      </c>
      <c r="E20" s="66">
        <f>IF(11구역!F23="","",11구역!F23)</f>
        <v/>
      </c>
      <c r="F20" s="66">
        <f>IF(11구역!G23="","",11구역!G23)</f>
        <v/>
      </c>
      <c r="G20" s="66">
        <f>IF(11구역!H23="","",11구역!H23)</f>
        <v/>
      </c>
      <c r="H20" s="66">
        <f>IF(11구역!I23="","",11구역!I23)</f>
        <v/>
      </c>
      <c r="I20" s="66">
        <f>IF(11구역!J23="","",11구역!J23)</f>
        <v/>
      </c>
      <c r="J20" s="66">
        <f>IF(11구역!K23="","",11구역!K23)</f>
        <v/>
      </c>
      <c r="K20" s="66">
        <f>IF(11구역!L23="","",11구역!L23)</f>
        <v/>
      </c>
      <c r="L20" s="66">
        <f>IF(11구역!M23="","",11구역!M23)</f>
        <v/>
      </c>
      <c r="M20" s="66">
        <f>IF(11구역!N23="","",11구역!N23)</f>
        <v/>
      </c>
    </row>
    <row r="21" ht="15" customHeight="1" s="33">
      <c r="A21" s="66">
        <f>IF(11구역!B24="","",11구역!B24)</f>
        <v/>
      </c>
      <c r="B21" s="66">
        <f>IF(11구역!C24="","",11구역!C24)</f>
        <v/>
      </c>
      <c r="C21" s="66">
        <f>IF(11구역!D24="","",11구역!D24)</f>
        <v/>
      </c>
      <c r="D21" s="66">
        <f>IF(11구역!E24="","",11구역!E24)</f>
        <v/>
      </c>
      <c r="E21" s="66">
        <f>IF(11구역!F24="","",11구역!F24)</f>
        <v/>
      </c>
      <c r="F21" s="66">
        <f>IF(11구역!G24="","",11구역!G24)</f>
        <v/>
      </c>
      <c r="G21" s="66">
        <f>IF(11구역!H24="","",11구역!H24)</f>
        <v/>
      </c>
      <c r="H21" s="66">
        <f>IF(11구역!I24="","",11구역!I24)</f>
        <v/>
      </c>
      <c r="I21" s="66">
        <f>IF(11구역!J24="","",11구역!J24)</f>
        <v/>
      </c>
      <c r="J21" s="66">
        <f>IF(11구역!K24="","",11구역!K24)</f>
        <v/>
      </c>
      <c r="K21" s="66">
        <f>IF(11구역!L24="","",11구역!L24)</f>
        <v/>
      </c>
      <c r="L21" s="66">
        <f>IF(11구역!M24="","",11구역!M24)</f>
        <v/>
      </c>
      <c r="M21" s="66">
        <f>IF(11구역!N24="","",11구역!N24)</f>
        <v/>
      </c>
    </row>
    <row r="22" ht="15" customHeight="1" s="33">
      <c r="A22" s="66">
        <f>IF(11구역!B25="","",11구역!B25)</f>
        <v/>
      </c>
      <c r="B22" s="66">
        <f>IF(11구역!C25="","",11구역!C25)</f>
        <v/>
      </c>
      <c r="C22" s="66">
        <f>IF(11구역!D25="","",11구역!D25)</f>
        <v/>
      </c>
      <c r="D22" s="66">
        <f>IF(11구역!E25="","",11구역!E25)</f>
        <v/>
      </c>
      <c r="E22" s="66">
        <f>IF(11구역!F25="","",11구역!F25)</f>
        <v/>
      </c>
      <c r="F22" s="66">
        <f>IF(11구역!G25="","",11구역!G25)</f>
        <v/>
      </c>
      <c r="G22" s="66">
        <f>IF(11구역!H25="","",11구역!H25)</f>
        <v/>
      </c>
      <c r="H22" s="66">
        <f>IF(11구역!I25="","",11구역!I25)</f>
        <v/>
      </c>
      <c r="I22" s="66">
        <f>IF(11구역!J25="","",11구역!J25)</f>
        <v/>
      </c>
      <c r="J22" s="66">
        <f>IF(11구역!K25="","",11구역!K25)</f>
        <v/>
      </c>
      <c r="K22" s="66">
        <f>IF(11구역!L25="","",11구역!L25)</f>
        <v/>
      </c>
      <c r="L22" s="66">
        <f>IF(11구역!M25="","",11구역!M25)</f>
        <v/>
      </c>
      <c r="M22" s="66">
        <f>IF(11구역!N25="","",11구역!N25)</f>
        <v/>
      </c>
    </row>
    <row r="23" ht="15" customHeight="1" s="33">
      <c r="A23" s="66">
        <f>IF(11구역!B26="","",11구역!B26)</f>
        <v/>
      </c>
      <c r="B23" s="66">
        <f>IF(11구역!C26="","",11구역!C26)</f>
        <v/>
      </c>
      <c r="C23" s="66">
        <f>IF(11구역!D26="","",11구역!D26)</f>
        <v/>
      </c>
      <c r="D23" s="66">
        <f>IF(11구역!E26="","",11구역!E26)</f>
        <v/>
      </c>
      <c r="E23" s="66">
        <f>IF(11구역!F26="","",11구역!F26)</f>
        <v/>
      </c>
      <c r="F23" s="66">
        <f>IF(11구역!G26="","",11구역!G26)</f>
        <v/>
      </c>
      <c r="G23" s="66">
        <f>IF(11구역!H26="","",11구역!H26)</f>
        <v/>
      </c>
      <c r="H23" s="66">
        <f>IF(11구역!I26="","",11구역!I26)</f>
        <v/>
      </c>
      <c r="I23" s="66">
        <f>IF(11구역!J26="","",11구역!J26)</f>
        <v/>
      </c>
      <c r="J23" s="66">
        <f>IF(11구역!K26="","",11구역!K26)</f>
        <v/>
      </c>
      <c r="K23" s="66">
        <f>IF(11구역!L26="","",11구역!L26)</f>
        <v/>
      </c>
      <c r="L23" s="66">
        <f>IF(11구역!M26="","",11구역!M26)</f>
        <v/>
      </c>
      <c r="M23" s="66">
        <f>IF(11구역!N26="","",11구역!N26)</f>
        <v/>
      </c>
    </row>
    <row r="24" ht="15" customHeight="1" s="33">
      <c r="A24" s="66">
        <f>IF(11구역!B27="","",11구역!B27)</f>
        <v/>
      </c>
      <c r="B24" s="66">
        <f>IF(11구역!C27="","",11구역!C27)</f>
        <v/>
      </c>
      <c r="C24" s="66">
        <f>IF(11구역!D27="","",11구역!D27)</f>
        <v/>
      </c>
      <c r="D24" s="66">
        <f>IF(11구역!E27="","",11구역!E27)</f>
        <v/>
      </c>
      <c r="E24" s="66">
        <f>IF(11구역!F27="","",11구역!F27)</f>
        <v/>
      </c>
      <c r="F24" s="66">
        <f>IF(11구역!G27="","",11구역!G27)</f>
        <v/>
      </c>
      <c r="G24" s="66">
        <f>IF(11구역!H27="","",11구역!H27)</f>
        <v/>
      </c>
      <c r="H24" s="66">
        <f>IF(11구역!I27="","",11구역!I27)</f>
        <v/>
      </c>
      <c r="I24" s="66">
        <f>IF(11구역!J27="","",11구역!J27)</f>
        <v/>
      </c>
      <c r="J24" s="66">
        <f>IF(11구역!K27="","",11구역!K27)</f>
        <v/>
      </c>
      <c r="K24" s="66">
        <f>IF(11구역!L27="","",11구역!L27)</f>
        <v/>
      </c>
      <c r="L24" s="66">
        <f>IF(11구역!M27="","",11구역!M27)</f>
        <v/>
      </c>
      <c r="M24" s="66">
        <f>IF(11구역!N27="","",11구역!N27)</f>
        <v/>
      </c>
    </row>
    <row r="25" ht="15" customHeight="1" s="33">
      <c r="A25" s="66">
        <f>IF(11구역!B28="","",11구역!B28)</f>
        <v/>
      </c>
      <c r="B25" s="66">
        <f>IF(11구역!C28="","",11구역!C28)</f>
        <v/>
      </c>
      <c r="C25" s="66">
        <f>IF(11구역!D28="","",11구역!D28)</f>
        <v/>
      </c>
      <c r="D25" s="66">
        <f>IF(11구역!E28="","",11구역!E28)</f>
        <v/>
      </c>
      <c r="E25" s="66">
        <f>IF(11구역!F28="","",11구역!F28)</f>
        <v/>
      </c>
      <c r="F25" s="66">
        <f>IF(11구역!G28="","",11구역!G28)</f>
        <v/>
      </c>
      <c r="G25" s="66">
        <f>IF(11구역!H28="","",11구역!H28)</f>
        <v/>
      </c>
      <c r="H25" s="66">
        <f>IF(11구역!I28="","",11구역!I28)</f>
        <v/>
      </c>
      <c r="I25" s="66">
        <f>IF(11구역!J28="","",11구역!J28)</f>
        <v/>
      </c>
      <c r="J25" s="66">
        <f>IF(11구역!K28="","",11구역!K28)</f>
        <v/>
      </c>
      <c r="K25" s="66">
        <f>IF(11구역!L28="","",11구역!L28)</f>
        <v/>
      </c>
      <c r="L25" s="66">
        <f>IF(11구역!M28="","",11구역!M28)</f>
        <v/>
      </c>
      <c r="M25" s="66">
        <f>IF(11구역!N28="","",11구역!N28)</f>
        <v/>
      </c>
    </row>
    <row r="26" ht="15" customHeight="1" s="33">
      <c r="A26" s="66">
        <f>IF(11구역!B29="","",11구역!B29)</f>
        <v/>
      </c>
      <c r="B26" s="66">
        <f>IF(11구역!C29="","",11구역!C29)</f>
        <v/>
      </c>
      <c r="C26" s="66">
        <f>IF(11구역!D29="","",11구역!D29)</f>
        <v/>
      </c>
      <c r="D26" s="66">
        <f>IF(11구역!E29="","",11구역!E29)</f>
        <v/>
      </c>
      <c r="E26" s="66">
        <f>IF(11구역!F29="","",11구역!F29)</f>
        <v/>
      </c>
      <c r="F26" s="66">
        <f>IF(11구역!G29="","",11구역!G29)</f>
        <v/>
      </c>
      <c r="G26" s="66">
        <f>IF(11구역!H29="","",11구역!H29)</f>
        <v/>
      </c>
      <c r="H26" s="66">
        <f>IF(11구역!I29="","",11구역!I29)</f>
        <v/>
      </c>
      <c r="I26" s="66">
        <f>IF(11구역!J29="","",11구역!J29)</f>
        <v/>
      </c>
      <c r="J26" s="66">
        <f>IF(11구역!K29="","",11구역!K29)</f>
        <v/>
      </c>
      <c r="K26" s="66">
        <f>IF(11구역!L29="","",11구역!L29)</f>
        <v/>
      </c>
      <c r="L26" s="66">
        <f>IF(11구역!M29="","",11구역!M29)</f>
        <v/>
      </c>
      <c r="M26" s="66">
        <f>IF(11구역!N29="","",11구역!N29)</f>
        <v/>
      </c>
    </row>
    <row r="27" ht="15" customHeight="1" s="33">
      <c r="A27" s="66">
        <f>IF(11구역!B30="","",11구역!B30)</f>
        <v/>
      </c>
      <c r="B27" s="66">
        <f>IF(11구역!C30="","",11구역!C30)</f>
        <v/>
      </c>
      <c r="C27" s="66">
        <f>IF(11구역!D30="","",11구역!D30)</f>
        <v/>
      </c>
      <c r="D27" s="66">
        <f>IF(11구역!E30="","",11구역!E30)</f>
        <v/>
      </c>
      <c r="E27" s="66">
        <f>IF(11구역!F30="","",11구역!F30)</f>
        <v/>
      </c>
      <c r="F27" s="66">
        <f>IF(11구역!G30="","",11구역!G30)</f>
        <v/>
      </c>
      <c r="G27" s="66">
        <f>IF(11구역!H30="","",11구역!H30)</f>
        <v/>
      </c>
      <c r="H27" s="66">
        <f>IF(11구역!I30="","",11구역!I30)</f>
        <v/>
      </c>
      <c r="I27" s="66">
        <f>IF(11구역!J30="","",11구역!J30)</f>
        <v/>
      </c>
      <c r="J27" s="66">
        <f>IF(11구역!K30="","",11구역!K30)</f>
        <v/>
      </c>
      <c r="K27" s="66">
        <f>IF(11구역!L30="","",11구역!L30)</f>
        <v/>
      </c>
      <c r="L27" s="66">
        <f>IF(11구역!M30="","",11구역!M30)</f>
        <v/>
      </c>
      <c r="M27" s="66">
        <f>IF(11구역!N30="","",11구역!N30)</f>
        <v/>
      </c>
    </row>
    <row r="28" ht="15" customHeight="1" s="33">
      <c r="A28" s="66">
        <f>IF(11구역!B31="","",11구역!B31)</f>
        <v/>
      </c>
      <c r="B28" s="66">
        <f>IF(11구역!C31="","",11구역!C31)</f>
        <v/>
      </c>
      <c r="C28" s="66">
        <f>IF(11구역!D31="","",11구역!D31)</f>
        <v/>
      </c>
      <c r="D28" s="66">
        <f>IF(11구역!E31="","",11구역!E31)</f>
        <v/>
      </c>
      <c r="E28" s="66">
        <f>IF(11구역!F31="","",11구역!F31)</f>
        <v/>
      </c>
      <c r="F28" s="66">
        <f>IF(11구역!G31="","",11구역!G31)</f>
        <v/>
      </c>
      <c r="G28" s="66">
        <f>IF(11구역!H31="","",11구역!H31)</f>
        <v/>
      </c>
      <c r="H28" s="66">
        <f>IF(11구역!I31="","",11구역!I31)</f>
        <v/>
      </c>
      <c r="I28" s="66">
        <f>IF(11구역!J31="","",11구역!J31)</f>
        <v/>
      </c>
      <c r="J28" s="66">
        <f>IF(11구역!K31="","",11구역!K31)</f>
        <v/>
      </c>
      <c r="K28" s="66">
        <f>IF(11구역!L31="","",11구역!L31)</f>
        <v/>
      </c>
      <c r="L28" s="66">
        <f>IF(11구역!M31="","",11구역!M31)</f>
        <v/>
      </c>
      <c r="M28" s="66">
        <f>IF(11구역!N31="","",11구역!N31)</f>
        <v/>
      </c>
    </row>
    <row r="29" ht="15" customHeight="1" s="33">
      <c r="A29" s="66">
        <f>IF(11구역!B32="","",11구역!B32)</f>
        <v/>
      </c>
      <c r="B29" s="66">
        <f>IF(11구역!C32="","",11구역!C32)</f>
        <v/>
      </c>
      <c r="C29" s="66">
        <f>IF(11구역!D32="","",11구역!D32)</f>
        <v/>
      </c>
      <c r="D29" s="66">
        <f>IF(11구역!E32="","",11구역!E32)</f>
        <v/>
      </c>
      <c r="E29" s="66">
        <f>IF(11구역!F32="","",11구역!F32)</f>
        <v/>
      </c>
      <c r="F29" s="66">
        <f>IF(11구역!G32="","",11구역!G32)</f>
        <v/>
      </c>
      <c r="G29" s="66">
        <f>IF(11구역!H32="","",11구역!H32)</f>
        <v/>
      </c>
      <c r="H29" s="66">
        <f>IF(11구역!I32="","",11구역!I32)</f>
        <v/>
      </c>
      <c r="I29" s="66">
        <f>IF(11구역!J32="","",11구역!J32)</f>
        <v/>
      </c>
      <c r="J29" s="66">
        <f>IF(11구역!K32="","",11구역!K32)</f>
        <v/>
      </c>
      <c r="K29" s="66">
        <f>IF(11구역!L32="","",11구역!L32)</f>
        <v/>
      </c>
      <c r="L29" s="66">
        <f>IF(11구역!M32="","",11구역!M32)</f>
        <v/>
      </c>
      <c r="M29" s="66">
        <f>IF(11구역!N32="","",11구역!N32)</f>
        <v/>
      </c>
    </row>
    <row r="30" ht="15" customHeight="1" s="33">
      <c r="A30" s="66">
        <f>IF(11구역!B33="","",11구역!B33)</f>
        <v/>
      </c>
      <c r="B30" s="66">
        <f>IF(11구역!C33="","",11구역!C33)</f>
        <v/>
      </c>
      <c r="C30" s="66">
        <f>IF(11구역!D33="","",11구역!D33)</f>
        <v/>
      </c>
      <c r="D30" s="66">
        <f>IF(11구역!E33="","",11구역!E33)</f>
        <v/>
      </c>
      <c r="E30" s="66">
        <f>IF(11구역!F33="","",11구역!F33)</f>
        <v/>
      </c>
      <c r="F30" s="66">
        <f>IF(11구역!G33="","",11구역!G33)</f>
        <v/>
      </c>
      <c r="G30" s="66">
        <f>IF(11구역!H33="","",11구역!H33)</f>
        <v/>
      </c>
      <c r="H30" s="66">
        <f>IF(11구역!I33="","",11구역!I33)</f>
        <v/>
      </c>
      <c r="I30" s="66">
        <f>IF(11구역!J33="","",11구역!J33)</f>
        <v/>
      </c>
      <c r="J30" s="66">
        <f>IF(11구역!K33="","",11구역!K33)</f>
        <v/>
      </c>
      <c r="K30" s="66">
        <f>IF(11구역!L33="","",11구역!L33)</f>
        <v/>
      </c>
      <c r="L30" s="66">
        <f>IF(11구역!M33="","",11구역!M33)</f>
        <v/>
      </c>
      <c r="M30" s="66">
        <f>IF(11구역!N33="","",11구역!N33)</f>
        <v/>
      </c>
    </row>
    <row r="31" ht="15" customHeight="1" s="33">
      <c r="A31" s="66">
        <f>IF(11구역!B34="","",11구역!B34)</f>
        <v/>
      </c>
      <c r="B31" s="66">
        <f>IF(11구역!C34="","",11구역!C34)</f>
        <v/>
      </c>
      <c r="C31" s="66">
        <f>IF(11구역!D34="","",11구역!D34)</f>
        <v/>
      </c>
      <c r="D31" s="66">
        <f>IF(11구역!E34="","",11구역!E34)</f>
        <v/>
      </c>
      <c r="E31" s="66">
        <f>IF(11구역!F34="","",11구역!F34)</f>
        <v/>
      </c>
      <c r="F31" s="66">
        <f>IF(11구역!G34="","",11구역!G34)</f>
        <v/>
      </c>
      <c r="G31" s="66">
        <f>IF(11구역!H34="","",11구역!H34)</f>
        <v/>
      </c>
      <c r="H31" s="66">
        <f>IF(11구역!I34="","",11구역!I34)</f>
        <v/>
      </c>
      <c r="I31" s="66">
        <f>IF(11구역!J34="","",11구역!J34)</f>
        <v/>
      </c>
      <c r="J31" s="66">
        <f>IF(11구역!K34="","",11구역!K34)</f>
        <v/>
      </c>
      <c r="K31" s="66">
        <f>IF(11구역!L34="","",11구역!L34)</f>
        <v/>
      </c>
      <c r="L31" s="66">
        <f>IF(11구역!M34="","",11구역!M34)</f>
        <v/>
      </c>
      <c r="M31" s="66">
        <f>IF(11구역!N34="","",11구역!N34)</f>
        <v/>
      </c>
    </row>
    <row r="32" ht="15" customHeight="1" s="33">
      <c r="A32" s="66">
        <f>IF(11구역!B35="","",11구역!B35)</f>
        <v/>
      </c>
      <c r="B32" s="66">
        <f>IF(11구역!C35="","",11구역!C35)</f>
        <v/>
      </c>
      <c r="C32" s="66">
        <f>IF(11구역!D35="","",11구역!D35)</f>
        <v/>
      </c>
      <c r="D32" s="66">
        <f>IF(11구역!E35="","",11구역!E35)</f>
        <v/>
      </c>
      <c r="E32" s="66">
        <f>IF(11구역!F35="","",11구역!F35)</f>
        <v/>
      </c>
      <c r="F32" s="66">
        <f>IF(11구역!G35="","",11구역!G35)</f>
        <v/>
      </c>
      <c r="G32" s="66">
        <f>IF(11구역!H35="","",11구역!H35)</f>
        <v/>
      </c>
      <c r="H32" s="66">
        <f>IF(11구역!I35="","",11구역!I35)</f>
        <v/>
      </c>
      <c r="I32" s="66">
        <f>IF(11구역!J35="","",11구역!J35)</f>
        <v/>
      </c>
      <c r="J32" s="66">
        <f>IF(11구역!K35="","",11구역!K35)</f>
        <v/>
      </c>
      <c r="K32" s="66">
        <f>IF(11구역!L35="","",11구역!L35)</f>
        <v/>
      </c>
      <c r="L32" s="66">
        <f>IF(11구역!M35="","",11구역!M35)</f>
        <v/>
      </c>
      <c r="M32" s="66">
        <f>IF(11구역!N35="","",11구역!N35)</f>
        <v/>
      </c>
    </row>
    <row r="33" ht="15" customHeight="1" s="33">
      <c r="A33" s="66">
        <f>IF(11구역!B36="","",11구역!B36)</f>
        <v/>
      </c>
      <c r="B33" s="66">
        <f>IF(11구역!C36="","",11구역!C36)</f>
        <v/>
      </c>
      <c r="C33" s="66">
        <f>IF(11구역!D36="","",11구역!D36)</f>
        <v/>
      </c>
      <c r="D33" s="66">
        <f>IF(11구역!E36="","",11구역!E36)</f>
        <v/>
      </c>
      <c r="E33" s="66">
        <f>IF(11구역!F36="","",11구역!F36)</f>
        <v/>
      </c>
      <c r="F33" s="66">
        <f>IF(11구역!G36="","",11구역!G36)</f>
        <v/>
      </c>
      <c r="G33" s="66">
        <f>IF(11구역!H36="","",11구역!H36)</f>
        <v/>
      </c>
      <c r="H33" s="66">
        <f>IF(11구역!I36="","",11구역!I36)</f>
        <v/>
      </c>
      <c r="I33" s="66">
        <f>IF(11구역!J36="","",11구역!J36)</f>
        <v/>
      </c>
      <c r="J33" s="66">
        <f>IF(11구역!K36="","",11구역!K36)</f>
        <v/>
      </c>
      <c r="K33" s="66">
        <f>IF(11구역!L36="","",11구역!L36)</f>
        <v/>
      </c>
      <c r="L33" s="66">
        <f>IF(11구역!M36="","",11구역!M36)</f>
        <v/>
      </c>
      <c r="M33" s="66">
        <f>IF(11구역!N36="","",11구역!N36)</f>
        <v/>
      </c>
    </row>
    <row r="34" ht="15" customHeight="1" s="33">
      <c r="A34" s="66">
        <f>IF(11구역!B37="","",11구역!B37)</f>
        <v/>
      </c>
      <c r="B34" s="66">
        <f>IF(11구역!C37="","",11구역!C37)</f>
        <v/>
      </c>
      <c r="C34" s="66">
        <f>IF(11구역!D37="","",11구역!D37)</f>
        <v/>
      </c>
      <c r="D34" s="66">
        <f>IF(11구역!E37="","",11구역!E37)</f>
        <v/>
      </c>
      <c r="E34" s="66">
        <f>IF(11구역!F37="","",11구역!F37)</f>
        <v/>
      </c>
      <c r="F34" s="66">
        <f>IF(11구역!G37="","",11구역!G37)</f>
        <v/>
      </c>
      <c r="G34" s="66">
        <f>IF(11구역!H37="","",11구역!H37)</f>
        <v/>
      </c>
      <c r="H34" s="66">
        <f>IF(11구역!I37="","",11구역!I37)</f>
        <v/>
      </c>
      <c r="I34" s="66">
        <f>IF(11구역!J37="","",11구역!J37)</f>
        <v/>
      </c>
      <c r="J34" s="66">
        <f>IF(11구역!K37="","",11구역!K37)</f>
        <v/>
      </c>
      <c r="K34" s="66">
        <f>IF(11구역!L37="","",11구역!L37)</f>
        <v/>
      </c>
      <c r="L34" s="66">
        <f>IF(11구역!M37="","",11구역!M37)</f>
        <v/>
      </c>
      <c r="M34" s="66">
        <f>IF(11구역!N37="","",11구역!N37)</f>
        <v/>
      </c>
    </row>
    <row r="35" ht="15" customHeight="1" s="33">
      <c r="A35" s="66">
        <f>IF(11구역!B38="","",11구역!B38)</f>
        <v/>
      </c>
      <c r="B35" s="66">
        <f>IF(11구역!C38="","",11구역!C38)</f>
        <v/>
      </c>
      <c r="C35" s="66">
        <f>IF(11구역!D38="","",11구역!D38)</f>
        <v/>
      </c>
      <c r="D35" s="66">
        <f>IF(11구역!E38="","",11구역!E38)</f>
        <v/>
      </c>
      <c r="E35" s="66">
        <f>IF(11구역!F38="","",11구역!F38)</f>
        <v/>
      </c>
      <c r="F35" s="66">
        <f>IF(11구역!G38="","",11구역!G38)</f>
        <v/>
      </c>
      <c r="G35" s="66">
        <f>IF(11구역!H38="","",11구역!H38)</f>
        <v/>
      </c>
      <c r="H35" s="66">
        <f>IF(11구역!I38="","",11구역!I38)</f>
        <v/>
      </c>
      <c r="I35" s="66">
        <f>IF(11구역!J38="","",11구역!J38)</f>
        <v/>
      </c>
      <c r="J35" s="66">
        <f>IF(11구역!K38="","",11구역!K38)</f>
        <v/>
      </c>
      <c r="K35" s="66">
        <f>IF(11구역!L38="","",11구역!L38)</f>
        <v/>
      </c>
      <c r="L35" s="66">
        <f>IF(11구역!M38="","",11구역!M38)</f>
        <v/>
      </c>
      <c r="M35" s="66">
        <f>IF(11구역!N38="","",11구역!N38)</f>
        <v/>
      </c>
    </row>
    <row r="36" ht="15" customHeight="1" s="33">
      <c r="A36" s="66">
        <f>IF(11구역!B39="","",11구역!B39)</f>
        <v/>
      </c>
      <c r="B36" s="66">
        <f>IF(11구역!C39="","",11구역!C39)</f>
        <v/>
      </c>
      <c r="C36" s="66">
        <f>IF(11구역!D39="","",11구역!D39)</f>
        <v/>
      </c>
      <c r="D36" s="66">
        <f>IF(11구역!E39="","",11구역!E39)</f>
        <v/>
      </c>
      <c r="E36" s="66">
        <f>IF(11구역!F39="","",11구역!F39)</f>
        <v/>
      </c>
      <c r="F36" s="66">
        <f>IF(11구역!G39="","",11구역!G39)</f>
        <v/>
      </c>
      <c r="G36" s="66">
        <f>IF(11구역!H39="","",11구역!H39)</f>
        <v/>
      </c>
      <c r="H36" s="66">
        <f>IF(11구역!I39="","",11구역!I39)</f>
        <v/>
      </c>
      <c r="I36" s="66">
        <f>IF(11구역!J39="","",11구역!J39)</f>
        <v/>
      </c>
      <c r="J36" s="66">
        <f>IF(11구역!K39="","",11구역!K39)</f>
        <v/>
      </c>
      <c r="K36" s="66">
        <f>IF(11구역!L39="","",11구역!L39)</f>
        <v/>
      </c>
      <c r="L36" s="66">
        <f>IF(11구역!M39="","",11구역!M39)</f>
        <v/>
      </c>
      <c r="M36" s="66">
        <f>IF(11구역!N39="","",11구역!N39)</f>
        <v/>
      </c>
    </row>
    <row r="37" ht="15" customHeight="1" s="33">
      <c r="A37" s="66">
        <f>IF(11구역!B40="","",11구역!B40)</f>
        <v/>
      </c>
      <c r="B37" s="66">
        <f>IF(11구역!C40="","",11구역!C40)</f>
        <v/>
      </c>
      <c r="C37" s="66">
        <f>IF(11구역!D40="","",11구역!D40)</f>
        <v/>
      </c>
      <c r="D37" s="66">
        <f>IF(11구역!E40="","",11구역!E40)</f>
        <v/>
      </c>
      <c r="E37" s="66">
        <f>IF(11구역!F40="","",11구역!F40)</f>
        <v/>
      </c>
      <c r="F37" s="66">
        <f>IF(11구역!G40="","",11구역!G40)</f>
        <v/>
      </c>
      <c r="G37" s="66">
        <f>IF(11구역!H40="","",11구역!H40)</f>
        <v/>
      </c>
      <c r="H37" s="66">
        <f>IF(11구역!I40="","",11구역!I40)</f>
        <v/>
      </c>
      <c r="I37" s="66">
        <f>IF(11구역!J40="","",11구역!J40)</f>
        <v/>
      </c>
      <c r="J37" s="66">
        <f>IF(11구역!K40="","",11구역!K40)</f>
        <v/>
      </c>
      <c r="K37" s="66">
        <f>IF(11구역!L40="","",11구역!L40)</f>
        <v/>
      </c>
      <c r="L37" s="66">
        <f>IF(11구역!M40="","",11구역!M40)</f>
        <v/>
      </c>
      <c r="M37" s="66">
        <f>IF(11구역!N40="","",11구역!N40)</f>
        <v/>
      </c>
    </row>
    <row r="38" ht="15" customHeight="1" s="33">
      <c r="A38" s="66">
        <f>IF(11구역!B41="","",11구역!B41)</f>
        <v/>
      </c>
      <c r="B38" s="66">
        <f>IF(11구역!C41="","",11구역!C41)</f>
        <v/>
      </c>
      <c r="C38" s="66">
        <f>IF(11구역!D41="","",11구역!D41)</f>
        <v/>
      </c>
      <c r="D38" s="66">
        <f>IF(11구역!E41="","",11구역!E41)</f>
        <v/>
      </c>
      <c r="E38" s="66">
        <f>IF(11구역!F41="","",11구역!F41)</f>
        <v/>
      </c>
      <c r="F38" s="66">
        <f>IF(11구역!G41="","",11구역!G41)</f>
        <v/>
      </c>
      <c r="G38" s="66">
        <f>IF(11구역!H41="","",11구역!H41)</f>
        <v/>
      </c>
      <c r="H38" s="66">
        <f>IF(11구역!I41="","",11구역!I41)</f>
        <v/>
      </c>
      <c r="I38" s="66">
        <f>IF(11구역!J41="","",11구역!J41)</f>
        <v/>
      </c>
      <c r="J38" s="66">
        <f>IF(11구역!K41="","",11구역!K41)</f>
        <v/>
      </c>
      <c r="K38" s="66">
        <f>IF(11구역!L41="","",11구역!L41)</f>
        <v/>
      </c>
      <c r="L38" s="66">
        <f>IF(11구역!M41="","",11구역!M41)</f>
        <v/>
      </c>
      <c r="M38" s="66">
        <f>IF(11구역!N41="","",11구역!N41)</f>
        <v/>
      </c>
    </row>
    <row r="39" ht="15" customHeight="1" s="33">
      <c r="A39" s="66">
        <f>IF(11구역!B42="","",11구역!B42)</f>
        <v/>
      </c>
      <c r="B39" s="66">
        <f>IF(11구역!C42="","",11구역!C42)</f>
        <v/>
      </c>
      <c r="C39" s="66">
        <f>IF(11구역!D42="","",11구역!D42)</f>
        <v/>
      </c>
      <c r="D39" s="66">
        <f>IF(11구역!E42="","",11구역!E42)</f>
        <v/>
      </c>
      <c r="E39" s="66">
        <f>IF(11구역!F42="","",11구역!F42)</f>
        <v/>
      </c>
      <c r="F39" s="66">
        <f>IF(11구역!G42="","",11구역!G42)</f>
        <v/>
      </c>
      <c r="G39" s="66">
        <f>IF(11구역!H42="","",11구역!H42)</f>
        <v/>
      </c>
      <c r="H39" s="66">
        <f>IF(11구역!I42="","",11구역!I42)</f>
        <v/>
      </c>
      <c r="I39" s="66">
        <f>IF(11구역!J42="","",11구역!J42)</f>
        <v/>
      </c>
      <c r="J39" s="66">
        <f>IF(11구역!K42="","",11구역!K42)</f>
        <v/>
      </c>
      <c r="K39" s="66">
        <f>IF(11구역!L42="","",11구역!L42)</f>
        <v/>
      </c>
      <c r="L39" s="66">
        <f>IF(11구역!M42="","",11구역!M42)</f>
        <v/>
      </c>
      <c r="M39" s="66">
        <f>IF(11구역!N42="","",11구역!N42)</f>
        <v/>
      </c>
    </row>
    <row r="40" ht="15" customHeight="1" s="33">
      <c r="A40" s="66">
        <f>IF(11구역!B43="","",11구역!B43)</f>
        <v/>
      </c>
      <c r="B40" s="66">
        <f>IF(11구역!C43="","",11구역!C43)</f>
        <v/>
      </c>
      <c r="C40" s="66">
        <f>IF(11구역!D43="","",11구역!D43)</f>
        <v/>
      </c>
      <c r="D40" s="66">
        <f>IF(11구역!E43="","",11구역!E43)</f>
        <v/>
      </c>
      <c r="E40" s="66">
        <f>IF(11구역!F43="","",11구역!F43)</f>
        <v/>
      </c>
      <c r="F40" s="66">
        <f>IF(11구역!G43="","",11구역!G43)</f>
        <v/>
      </c>
      <c r="G40" s="66">
        <f>IF(11구역!H43="","",11구역!H43)</f>
        <v/>
      </c>
      <c r="H40" s="66">
        <f>IF(11구역!I43="","",11구역!I43)</f>
        <v/>
      </c>
      <c r="I40" s="66">
        <f>IF(11구역!J43="","",11구역!J43)</f>
        <v/>
      </c>
      <c r="J40" s="66">
        <f>IF(11구역!K43="","",11구역!K43)</f>
        <v/>
      </c>
      <c r="K40" s="66">
        <f>IF(11구역!L43="","",11구역!L43)</f>
        <v/>
      </c>
      <c r="L40" s="66">
        <f>IF(11구역!M43="","",11구역!M43)</f>
        <v/>
      </c>
      <c r="M40" s="66">
        <f>IF(11구역!N43="","",11구역!N43)</f>
        <v/>
      </c>
    </row>
    <row r="41" ht="15" customHeight="1" s="33">
      <c r="A41" s="66">
        <f>IF(12구역!B4="","",12구역!B4)</f>
        <v/>
      </c>
      <c r="B41" s="66">
        <f>IF(12구역!C4="","",12구역!C4)</f>
        <v/>
      </c>
      <c r="C41" s="66">
        <f>IF(12구역!D4="","",12구역!D4)</f>
        <v/>
      </c>
      <c r="D41" s="66">
        <f>IF(12구역!E4="","",12구역!E4)</f>
        <v/>
      </c>
      <c r="E41" s="66">
        <f>IF(12구역!F4="","",12구역!F4)</f>
        <v/>
      </c>
      <c r="F41" s="66">
        <f>IF(12구역!G4="","",12구역!G4)</f>
        <v/>
      </c>
      <c r="G41" s="66">
        <f>IF(12구역!H4="","",12구역!H4)</f>
        <v/>
      </c>
      <c r="H41" s="66">
        <f>IF(12구역!I4="","",12구역!I4)</f>
        <v/>
      </c>
      <c r="I41" s="66">
        <f>IF(12구역!J4="","",12구역!J4)</f>
        <v/>
      </c>
      <c r="J41" s="66">
        <f>IF(12구역!K4="","",12구역!K4)</f>
        <v/>
      </c>
      <c r="K41" s="66">
        <f>IF(12구역!L4="","",12구역!L4)</f>
        <v/>
      </c>
      <c r="L41" s="66">
        <f>IF(12구역!M4="","",12구역!M4)</f>
        <v/>
      </c>
      <c r="M41" s="66">
        <f>IF(12구역!N4="","",12구역!N4)</f>
        <v/>
      </c>
    </row>
    <row r="42" ht="15" customHeight="1" s="33">
      <c r="A42" s="66">
        <f>IF(12구역!B5="","",12구역!B5)</f>
        <v/>
      </c>
      <c r="B42" s="66">
        <f>IF(12구역!C5="","",12구역!C5)</f>
        <v/>
      </c>
      <c r="C42" s="66">
        <f>IF(12구역!D5="","",12구역!D5)</f>
        <v/>
      </c>
      <c r="D42" s="66">
        <f>IF(12구역!E5="","",12구역!E5)</f>
        <v/>
      </c>
      <c r="E42" s="66">
        <f>IF(12구역!F5="","",12구역!F5)</f>
        <v/>
      </c>
      <c r="F42" s="66">
        <f>IF(12구역!G5="","",12구역!G5)</f>
        <v/>
      </c>
      <c r="G42" s="66">
        <f>IF(12구역!H5="","",12구역!H5)</f>
        <v/>
      </c>
      <c r="H42" s="66">
        <f>IF(12구역!I5="","",12구역!I5)</f>
        <v/>
      </c>
      <c r="I42" s="66">
        <f>IF(12구역!J5="","",12구역!J5)</f>
        <v/>
      </c>
      <c r="J42" s="66">
        <f>IF(12구역!K5="","",12구역!K5)</f>
        <v/>
      </c>
      <c r="K42" s="66">
        <f>IF(12구역!L5="","",12구역!L5)</f>
        <v/>
      </c>
      <c r="L42" s="66">
        <f>IF(12구역!M5="","",12구역!M5)</f>
        <v/>
      </c>
      <c r="M42" s="66">
        <f>IF(12구역!N5="","",12구역!N5)</f>
        <v/>
      </c>
    </row>
    <row r="43" ht="15" customHeight="1" s="33">
      <c r="A43" s="66">
        <f>IF(12구역!B6="","",12구역!B6)</f>
        <v/>
      </c>
      <c r="B43" s="66">
        <f>IF(12구역!C6="","",12구역!C6)</f>
        <v/>
      </c>
      <c r="C43" s="66">
        <f>IF(12구역!D6="","",12구역!D6)</f>
        <v/>
      </c>
      <c r="D43" s="66">
        <f>IF(12구역!E6="","",12구역!E6)</f>
        <v/>
      </c>
      <c r="E43" s="66">
        <f>IF(12구역!F6="","",12구역!F6)</f>
        <v/>
      </c>
      <c r="F43" s="66">
        <f>IF(12구역!G6="","",12구역!G6)</f>
        <v/>
      </c>
      <c r="G43" s="66">
        <f>IF(12구역!H6="","",12구역!H6)</f>
        <v/>
      </c>
      <c r="H43" s="66">
        <f>IF(12구역!I6="","",12구역!I6)</f>
        <v/>
      </c>
      <c r="I43" s="66">
        <f>IF(12구역!J6="","",12구역!J6)</f>
        <v/>
      </c>
      <c r="J43" s="66">
        <f>IF(12구역!K6="","",12구역!K6)</f>
        <v/>
      </c>
      <c r="K43" s="66">
        <f>IF(12구역!L6="","",12구역!L6)</f>
        <v/>
      </c>
      <c r="L43" s="66">
        <f>IF(12구역!M6="","",12구역!M6)</f>
        <v/>
      </c>
      <c r="M43" s="66">
        <f>IF(12구역!N6="","",12구역!N6)</f>
        <v/>
      </c>
    </row>
    <row r="44" ht="15" customHeight="1" s="33">
      <c r="A44" s="66">
        <f>IF(12구역!B7="","",12구역!B7)</f>
        <v/>
      </c>
      <c r="B44" s="66">
        <f>IF(12구역!C7="","",12구역!C7)</f>
        <v/>
      </c>
      <c r="C44" s="66">
        <f>IF(12구역!D7="","",12구역!D7)</f>
        <v/>
      </c>
      <c r="D44" s="66">
        <f>IF(12구역!E7="","",12구역!E7)</f>
        <v/>
      </c>
      <c r="E44" s="66">
        <f>IF(12구역!F7="","",12구역!F7)</f>
        <v/>
      </c>
      <c r="F44" s="66">
        <f>IF(12구역!G7="","",12구역!G7)</f>
        <v/>
      </c>
      <c r="G44" s="66">
        <f>IF(12구역!H7="","",12구역!H7)</f>
        <v/>
      </c>
      <c r="H44" s="66">
        <f>IF(12구역!I7="","",12구역!I7)</f>
        <v/>
      </c>
      <c r="I44" s="66">
        <f>IF(12구역!J7="","",12구역!J7)</f>
        <v/>
      </c>
      <c r="J44" s="66">
        <f>IF(12구역!K7="","",12구역!K7)</f>
        <v/>
      </c>
      <c r="K44" s="66">
        <f>IF(12구역!L7="","",12구역!L7)</f>
        <v/>
      </c>
      <c r="L44" s="66">
        <f>IF(12구역!M7="","",12구역!M7)</f>
        <v/>
      </c>
      <c r="M44" s="66">
        <f>IF(12구역!N7="","",12구역!N7)</f>
        <v/>
      </c>
    </row>
    <row r="45" ht="15" customHeight="1" s="33">
      <c r="A45" s="66">
        <f>IF(12구역!B8="","",12구역!B8)</f>
        <v/>
      </c>
      <c r="B45" s="66">
        <f>IF(12구역!C8="","",12구역!C8)</f>
        <v/>
      </c>
      <c r="C45" s="66">
        <f>IF(12구역!D8="","",12구역!D8)</f>
        <v/>
      </c>
      <c r="D45" s="66">
        <f>IF(12구역!E8="","",12구역!E8)</f>
        <v/>
      </c>
      <c r="E45" s="66">
        <f>IF(12구역!F8="","",12구역!F8)</f>
        <v/>
      </c>
      <c r="F45" s="66">
        <f>IF(12구역!G8="","",12구역!G8)</f>
        <v/>
      </c>
      <c r="G45" s="66">
        <f>IF(12구역!H8="","",12구역!H8)</f>
        <v/>
      </c>
      <c r="H45" s="66">
        <f>IF(12구역!I8="","",12구역!I8)</f>
        <v/>
      </c>
      <c r="I45" s="66">
        <f>IF(12구역!J8="","",12구역!J8)</f>
        <v/>
      </c>
      <c r="J45" s="66">
        <f>IF(12구역!K8="","",12구역!K8)</f>
        <v/>
      </c>
      <c r="K45" s="66">
        <f>IF(12구역!L8="","",12구역!L8)</f>
        <v/>
      </c>
      <c r="L45" s="66">
        <f>IF(12구역!M8="","",12구역!M8)</f>
        <v/>
      </c>
      <c r="M45" s="66">
        <f>IF(12구역!N8="","",12구역!N8)</f>
        <v/>
      </c>
    </row>
    <row r="46" ht="15" customHeight="1" s="33">
      <c r="A46" s="66">
        <f>IF(12구역!B9="","",12구역!B9)</f>
        <v/>
      </c>
      <c r="B46" s="66">
        <f>IF(12구역!C9="","",12구역!C9)</f>
        <v/>
      </c>
      <c r="C46" s="66">
        <f>IF(12구역!D9="","",12구역!D9)</f>
        <v/>
      </c>
      <c r="D46" s="66">
        <f>IF(12구역!E9="","",12구역!E9)</f>
        <v/>
      </c>
      <c r="E46" s="66">
        <f>IF(12구역!F9="","",12구역!F9)</f>
        <v/>
      </c>
      <c r="F46" s="66">
        <f>IF(12구역!G9="","",12구역!G9)</f>
        <v/>
      </c>
      <c r="G46" s="66">
        <f>IF(12구역!H9="","",12구역!H9)</f>
        <v/>
      </c>
      <c r="H46" s="66">
        <f>IF(12구역!I9="","",12구역!I9)</f>
        <v/>
      </c>
      <c r="I46" s="66">
        <f>IF(12구역!J9="","",12구역!J9)</f>
        <v/>
      </c>
      <c r="J46" s="66">
        <f>IF(12구역!K9="","",12구역!K9)</f>
        <v/>
      </c>
      <c r="K46" s="66">
        <f>IF(12구역!L9="","",12구역!L9)</f>
        <v/>
      </c>
      <c r="L46" s="66">
        <f>IF(12구역!M9="","",12구역!M9)</f>
        <v/>
      </c>
      <c r="M46" s="66">
        <f>IF(12구역!N9="","",12구역!N9)</f>
        <v/>
      </c>
    </row>
    <row r="47" ht="15" customHeight="1" s="33">
      <c r="A47" s="66">
        <f>IF(12구역!B10="","",12구역!B10)</f>
        <v/>
      </c>
      <c r="B47" s="66">
        <f>IF(12구역!C10="","",12구역!C10)</f>
        <v/>
      </c>
      <c r="C47" s="66">
        <f>IF(12구역!D10="","",12구역!D10)</f>
        <v/>
      </c>
      <c r="D47" s="66">
        <f>IF(12구역!E10="","",12구역!E10)</f>
        <v/>
      </c>
      <c r="E47" s="66">
        <f>IF(12구역!F10="","",12구역!F10)</f>
        <v/>
      </c>
      <c r="F47" s="66">
        <f>IF(12구역!G10="","",12구역!G10)</f>
        <v/>
      </c>
      <c r="G47" s="66">
        <f>IF(12구역!H10="","",12구역!H10)</f>
        <v/>
      </c>
      <c r="H47" s="66">
        <f>IF(12구역!I10="","",12구역!I10)</f>
        <v/>
      </c>
      <c r="I47" s="66">
        <f>IF(12구역!J10="","",12구역!J10)</f>
        <v/>
      </c>
      <c r="J47" s="66">
        <f>IF(12구역!K10="","",12구역!K10)</f>
        <v/>
      </c>
      <c r="K47" s="66">
        <f>IF(12구역!L10="","",12구역!L10)</f>
        <v/>
      </c>
      <c r="L47" s="66">
        <f>IF(12구역!M10="","",12구역!M10)</f>
        <v/>
      </c>
      <c r="M47" s="66">
        <f>IF(12구역!N10="","",12구역!N10)</f>
        <v/>
      </c>
    </row>
    <row r="48" ht="15" customHeight="1" s="33">
      <c r="A48" s="66">
        <f>IF(12구역!B11="","",12구역!B11)</f>
        <v/>
      </c>
      <c r="B48" s="66">
        <f>IF(12구역!C11="","",12구역!C11)</f>
        <v/>
      </c>
      <c r="C48" s="66">
        <f>IF(12구역!D11="","",12구역!D11)</f>
        <v/>
      </c>
      <c r="D48" s="66">
        <f>IF(12구역!E11="","",12구역!E11)</f>
        <v/>
      </c>
      <c r="E48" s="66">
        <f>IF(12구역!F11="","",12구역!F11)</f>
        <v/>
      </c>
      <c r="F48" s="66">
        <f>IF(12구역!G11="","",12구역!G11)</f>
        <v/>
      </c>
      <c r="G48" s="66">
        <f>IF(12구역!H11="","",12구역!H11)</f>
        <v/>
      </c>
      <c r="H48" s="66">
        <f>IF(12구역!I11="","",12구역!I11)</f>
        <v/>
      </c>
      <c r="I48" s="66">
        <f>IF(12구역!J11="","",12구역!J11)</f>
        <v/>
      </c>
      <c r="J48" s="66">
        <f>IF(12구역!K11="","",12구역!K11)</f>
        <v/>
      </c>
      <c r="K48" s="66">
        <f>IF(12구역!L11="","",12구역!L11)</f>
        <v/>
      </c>
      <c r="L48" s="66">
        <f>IF(12구역!M11="","",12구역!M11)</f>
        <v/>
      </c>
      <c r="M48" s="66">
        <f>IF(12구역!N11="","",12구역!N11)</f>
        <v/>
      </c>
    </row>
    <row r="49" ht="15" customHeight="1" s="33">
      <c r="A49" s="66">
        <f>IF(12구역!B12="","",12구역!B12)</f>
        <v/>
      </c>
      <c r="B49" s="66">
        <f>IF(12구역!C12="","",12구역!C12)</f>
        <v/>
      </c>
      <c r="C49" s="66">
        <f>IF(12구역!D12="","",12구역!D12)</f>
        <v/>
      </c>
      <c r="D49" s="66">
        <f>IF(12구역!E12="","",12구역!E12)</f>
        <v/>
      </c>
      <c r="E49" s="66">
        <f>IF(12구역!F12="","",12구역!F12)</f>
        <v/>
      </c>
      <c r="F49" s="66">
        <f>IF(12구역!G12="","",12구역!G12)</f>
        <v/>
      </c>
      <c r="G49" s="66">
        <f>IF(12구역!H12="","",12구역!H12)</f>
        <v/>
      </c>
      <c r="H49" s="66">
        <f>IF(12구역!I12="","",12구역!I12)</f>
        <v/>
      </c>
      <c r="I49" s="66">
        <f>IF(12구역!J12="","",12구역!J12)</f>
        <v/>
      </c>
      <c r="J49" s="66">
        <f>IF(12구역!K12="","",12구역!K12)</f>
        <v/>
      </c>
      <c r="K49" s="66">
        <f>IF(12구역!L12="","",12구역!L12)</f>
        <v/>
      </c>
      <c r="L49" s="66">
        <f>IF(12구역!M12="","",12구역!M12)</f>
        <v/>
      </c>
      <c r="M49" s="66">
        <f>IF(12구역!N12="","",12구역!N12)</f>
        <v/>
      </c>
    </row>
    <row r="50" ht="15" customHeight="1" s="33">
      <c r="A50" s="66">
        <f>IF(12구역!B13="","",12구역!B13)</f>
        <v/>
      </c>
      <c r="B50" s="66">
        <f>IF(12구역!C13="","",12구역!C13)</f>
        <v/>
      </c>
      <c r="C50" s="66">
        <f>IF(12구역!D13="","",12구역!D13)</f>
        <v/>
      </c>
      <c r="D50" s="66">
        <f>IF(12구역!E13="","",12구역!E13)</f>
        <v/>
      </c>
      <c r="E50" s="66">
        <f>IF(12구역!F13="","",12구역!F13)</f>
        <v/>
      </c>
      <c r="F50" s="66">
        <f>IF(12구역!G13="","",12구역!G13)</f>
        <v/>
      </c>
      <c r="G50" s="66">
        <f>IF(12구역!H13="","",12구역!H13)</f>
        <v/>
      </c>
      <c r="H50" s="66">
        <f>IF(12구역!I13="","",12구역!I13)</f>
        <v/>
      </c>
      <c r="I50" s="66">
        <f>IF(12구역!J13="","",12구역!J13)</f>
        <v/>
      </c>
      <c r="J50" s="66">
        <f>IF(12구역!K13="","",12구역!K13)</f>
        <v/>
      </c>
      <c r="K50" s="66">
        <f>IF(12구역!L13="","",12구역!L13)</f>
        <v/>
      </c>
      <c r="L50" s="66">
        <f>IF(12구역!M13="","",12구역!M13)</f>
        <v/>
      </c>
      <c r="M50" s="66">
        <f>IF(12구역!N13="","",12구역!N13)</f>
        <v/>
      </c>
    </row>
    <row r="51" ht="15" customHeight="1" s="33">
      <c r="A51" s="66">
        <f>IF(12구역!B14="","",12구역!B14)</f>
        <v/>
      </c>
      <c r="B51" s="66">
        <f>IF(12구역!C14="","",12구역!C14)</f>
        <v/>
      </c>
      <c r="C51" s="66">
        <f>IF(12구역!D14="","",12구역!D14)</f>
        <v/>
      </c>
      <c r="D51" s="66">
        <f>IF(12구역!E14="","",12구역!E14)</f>
        <v/>
      </c>
      <c r="E51" s="66">
        <f>IF(12구역!F14="","",12구역!F14)</f>
        <v/>
      </c>
      <c r="F51" s="66">
        <f>IF(12구역!G14="","",12구역!G14)</f>
        <v/>
      </c>
      <c r="G51" s="66">
        <f>IF(12구역!H14="","",12구역!H14)</f>
        <v/>
      </c>
      <c r="H51" s="66">
        <f>IF(12구역!I14="","",12구역!I14)</f>
        <v/>
      </c>
      <c r="I51" s="66">
        <f>IF(12구역!J14="","",12구역!J14)</f>
        <v/>
      </c>
      <c r="J51" s="66">
        <f>IF(12구역!K14="","",12구역!K14)</f>
        <v/>
      </c>
      <c r="K51" s="66">
        <f>IF(12구역!L14="","",12구역!L14)</f>
        <v/>
      </c>
      <c r="L51" s="66">
        <f>IF(12구역!M14="","",12구역!M14)</f>
        <v/>
      </c>
      <c r="M51" s="66">
        <f>IF(12구역!N14="","",12구역!N14)</f>
        <v/>
      </c>
    </row>
    <row r="52" ht="15" customHeight="1" s="33">
      <c r="A52" s="66">
        <f>IF(12구역!B15="","",12구역!B15)</f>
        <v/>
      </c>
      <c r="B52" s="66">
        <f>IF(12구역!C15="","",12구역!C15)</f>
        <v/>
      </c>
      <c r="C52" s="66">
        <f>IF(12구역!D15="","",12구역!D15)</f>
        <v/>
      </c>
      <c r="D52" s="66">
        <f>IF(12구역!E15="","",12구역!E15)</f>
        <v/>
      </c>
      <c r="E52" s="66">
        <f>IF(12구역!F15="","",12구역!F15)</f>
        <v/>
      </c>
      <c r="F52" s="66">
        <f>IF(12구역!G15="","",12구역!G15)</f>
        <v/>
      </c>
      <c r="G52" s="66">
        <f>IF(12구역!H15="","",12구역!H15)</f>
        <v/>
      </c>
      <c r="H52" s="66">
        <f>IF(12구역!I15="","",12구역!I15)</f>
        <v/>
      </c>
      <c r="I52" s="66">
        <f>IF(12구역!J15="","",12구역!J15)</f>
        <v/>
      </c>
      <c r="J52" s="66">
        <f>IF(12구역!K15="","",12구역!K15)</f>
        <v/>
      </c>
      <c r="K52" s="66">
        <f>IF(12구역!L15="","",12구역!L15)</f>
        <v/>
      </c>
      <c r="L52" s="66">
        <f>IF(12구역!M15="","",12구역!M15)</f>
        <v/>
      </c>
      <c r="M52" s="66">
        <f>IF(12구역!N15="","",12구역!N15)</f>
        <v/>
      </c>
    </row>
    <row r="53" ht="15" customHeight="1" s="33">
      <c r="A53" s="66">
        <f>IF(12구역!B16="","",12구역!B16)</f>
        <v/>
      </c>
      <c r="B53" s="66">
        <f>IF(12구역!C16="","",12구역!C16)</f>
        <v/>
      </c>
      <c r="C53" s="66">
        <f>IF(12구역!D16="","",12구역!D16)</f>
        <v/>
      </c>
      <c r="D53" s="66">
        <f>IF(12구역!E16="","",12구역!E16)</f>
        <v/>
      </c>
      <c r="E53" s="66">
        <f>IF(12구역!F16="","",12구역!F16)</f>
        <v/>
      </c>
      <c r="F53" s="66">
        <f>IF(12구역!G16="","",12구역!G16)</f>
        <v/>
      </c>
      <c r="G53" s="66">
        <f>IF(12구역!H16="","",12구역!H16)</f>
        <v/>
      </c>
      <c r="H53" s="66">
        <f>IF(12구역!I16="","",12구역!I16)</f>
        <v/>
      </c>
      <c r="I53" s="66">
        <f>IF(12구역!J16="","",12구역!J16)</f>
        <v/>
      </c>
      <c r="J53" s="66">
        <f>IF(12구역!K16="","",12구역!K16)</f>
        <v/>
      </c>
      <c r="K53" s="66">
        <f>IF(12구역!L16="","",12구역!L16)</f>
        <v/>
      </c>
      <c r="L53" s="66">
        <f>IF(12구역!M16="","",12구역!M16)</f>
        <v/>
      </c>
      <c r="M53" s="66">
        <f>IF(12구역!N16="","",12구역!N16)</f>
        <v/>
      </c>
    </row>
    <row r="54" ht="15" customHeight="1" s="33">
      <c r="A54" s="66">
        <f>IF(12구역!B17="","",12구역!B17)</f>
        <v/>
      </c>
      <c r="B54" s="66">
        <f>IF(12구역!C17="","",12구역!C17)</f>
        <v/>
      </c>
      <c r="C54" s="66">
        <f>IF(12구역!D17="","",12구역!D17)</f>
        <v/>
      </c>
      <c r="D54" s="66">
        <f>IF(12구역!E17="","",12구역!E17)</f>
        <v/>
      </c>
      <c r="E54" s="66">
        <f>IF(12구역!F17="","",12구역!F17)</f>
        <v/>
      </c>
      <c r="F54" s="66">
        <f>IF(12구역!G17="","",12구역!G17)</f>
        <v/>
      </c>
      <c r="G54" s="66">
        <f>IF(12구역!H17="","",12구역!H17)</f>
        <v/>
      </c>
      <c r="H54" s="66">
        <f>IF(12구역!I17="","",12구역!I17)</f>
        <v/>
      </c>
      <c r="I54" s="66">
        <f>IF(12구역!J17="","",12구역!J17)</f>
        <v/>
      </c>
      <c r="J54" s="66">
        <f>IF(12구역!K17="","",12구역!K17)</f>
        <v/>
      </c>
      <c r="K54" s="66">
        <f>IF(12구역!L17="","",12구역!L17)</f>
        <v/>
      </c>
      <c r="L54" s="66">
        <f>IF(12구역!M17="","",12구역!M17)</f>
        <v/>
      </c>
      <c r="M54" s="66">
        <f>IF(12구역!N17="","",12구역!N17)</f>
        <v/>
      </c>
    </row>
    <row r="55" ht="15" customHeight="1" s="33">
      <c r="A55" s="66">
        <f>IF(12구역!B18="","",12구역!B18)</f>
        <v/>
      </c>
      <c r="B55" s="66">
        <f>IF(12구역!C18="","",12구역!C18)</f>
        <v/>
      </c>
      <c r="C55" s="66">
        <f>IF(12구역!D18="","",12구역!D18)</f>
        <v/>
      </c>
      <c r="D55" s="66">
        <f>IF(12구역!E18="","",12구역!E18)</f>
        <v/>
      </c>
      <c r="E55" s="66">
        <f>IF(12구역!F18="","",12구역!F18)</f>
        <v/>
      </c>
      <c r="F55" s="66">
        <f>IF(12구역!G18="","",12구역!G18)</f>
        <v/>
      </c>
      <c r="G55" s="66">
        <f>IF(12구역!H18="","",12구역!H18)</f>
        <v/>
      </c>
      <c r="H55" s="66">
        <f>IF(12구역!I18="","",12구역!I18)</f>
        <v/>
      </c>
      <c r="I55" s="66">
        <f>IF(12구역!J18="","",12구역!J18)</f>
        <v/>
      </c>
      <c r="J55" s="66">
        <f>IF(12구역!K18="","",12구역!K18)</f>
        <v/>
      </c>
      <c r="K55" s="66">
        <f>IF(12구역!L18="","",12구역!L18)</f>
        <v/>
      </c>
      <c r="L55" s="66">
        <f>IF(12구역!M18="","",12구역!M18)</f>
        <v/>
      </c>
      <c r="M55" s="66">
        <f>IF(12구역!N18="","",12구역!N18)</f>
        <v/>
      </c>
    </row>
    <row r="56" ht="15" customHeight="1" s="33">
      <c r="A56" s="66">
        <f>IF(12구역!B19="","",12구역!B19)</f>
        <v/>
      </c>
      <c r="B56" s="66">
        <f>IF(12구역!C19="","",12구역!C19)</f>
        <v/>
      </c>
      <c r="C56" s="66">
        <f>IF(12구역!D19="","",12구역!D19)</f>
        <v/>
      </c>
      <c r="D56" s="66">
        <f>IF(12구역!E19="","",12구역!E19)</f>
        <v/>
      </c>
      <c r="E56" s="66">
        <f>IF(12구역!F19="","",12구역!F19)</f>
        <v/>
      </c>
      <c r="F56" s="66">
        <f>IF(12구역!G19="","",12구역!G19)</f>
        <v/>
      </c>
      <c r="G56" s="66">
        <f>IF(12구역!H19="","",12구역!H19)</f>
        <v/>
      </c>
      <c r="H56" s="66">
        <f>IF(12구역!I19="","",12구역!I19)</f>
        <v/>
      </c>
      <c r="I56" s="66">
        <f>IF(12구역!J19="","",12구역!J19)</f>
        <v/>
      </c>
      <c r="J56" s="66">
        <f>IF(12구역!K19="","",12구역!K19)</f>
        <v/>
      </c>
      <c r="K56" s="66">
        <f>IF(12구역!L19="","",12구역!L19)</f>
        <v/>
      </c>
      <c r="L56" s="66">
        <f>IF(12구역!M19="","",12구역!M19)</f>
        <v/>
      </c>
      <c r="M56" s="66">
        <f>IF(12구역!N19="","",12구역!N19)</f>
        <v/>
      </c>
    </row>
    <row r="57" ht="15" customHeight="1" s="33">
      <c r="A57" s="66">
        <f>IF(12구역!B20="","",12구역!B20)</f>
        <v/>
      </c>
      <c r="B57" s="66">
        <f>IF(12구역!C20="","",12구역!C20)</f>
        <v/>
      </c>
      <c r="C57" s="66">
        <f>IF(12구역!D20="","",12구역!D20)</f>
        <v/>
      </c>
      <c r="D57" s="66">
        <f>IF(12구역!E20="","",12구역!E20)</f>
        <v/>
      </c>
      <c r="E57" s="66">
        <f>IF(12구역!F20="","",12구역!F20)</f>
        <v/>
      </c>
      <c r="F57" s="66">
        <f>IF(12구역!G20="","",12구역!G20)</f>
        <v/>
      </c>
      <c r="G57" s="66">
        <f>IF(12구역!H20="","",12구역!H20)</f>
        <v/>
      </c>
      <c r="H57" s="66">
        <f>IF(12구역!I20="","",12구역!I20)</f>
        <v/>
      </c>
      <c r="I57" s="66">
        <f>IF(12구역!J20="","",12구역!J20)</f>
        <v/>
      </c>
      <c r="J57" s="66">
        <f>IF(12구역!K20="","",12구역!K20)</f>
        <v/>
      </c>
      <c r="K57" s="66">
        <f>IF(12구역!L20="","",12구역!L20)</f>
        <v/>
      </c>
      <c r="L57" s="66">
        <f>IF(12구역!M20="","",12구역!M20)</f>
        <v/>
      </c>
      <c r="M57" s="66">
        <f>IF(12구역!N20="","",12구역!N20)</f>
        <v/>
      </c>
    </row>
    <row r="58" ht="15" customHeight="1" s="33">
      <c r="A58" s="66">
        <f>IF(12구역!B21="","",12구역!B21)</f>
        <v/>
      </c>
      <c r="B58" s="66">
        <f>IF(12구역!C21="","",12구역!C21)</f>
        <v/>
      </c>
      <c r="C58" s="66">
        <f>IF(12구역!D21="","",12구역!D21)</f>
        <v/>
      </c>
      <c r="D58" s="66">
        <f>IF(12구역!E21="","",12구역!E21)</f>
        <v/>
      </c>
      <c r="E58" s="66">
        <f>IF(12구역!F21="","",12구역!F21)</f>
        <v/>
      </c>
      <c r="F58" s="66">
        <f>IF(12구역!G21="","",12구역!G21)</f>
        <v/>
      </c>
      <c r="G58" s="66">
        <f>IF(12구역!H21="","",12구역!H21)</f>
        <v/>
      </c>
      <c r="H58" s="66">
        <f>IF(12구역!I21="","",12구역!I21)</f>
        <v/>
      </c>
      <c r="I58" s="66">
        <f>IF(12구역!J21="","",12구역!J21)</f>
        <v/>
      </c>
      <c r="J58" s="66">
        <f>IF(12구역!K21="","",12구역!K21)</f>
        <v/>
      </c>
      <c r="K58" s="66">
        <f>IF(12구역!L21="","",12구역!L21)</f>
        <v/>
      </c>
      <c r="L58" s="66">
        <f>IF(12구역!M21="","",12구역!M21)</f>
        <v/>
      </c>
      <c r="M58" s="66">
        <f>IF(12구역!N21="","",12구역!N21)</f>
        <v/>
      </c>
    </row>
    <row r="59" ht="15" customHeight="1" s="33">
      <c r="A59" s="66">
        <f>IF(12구역!B22="","",12구역!B22)</f>
        <v/>
      </c>
      <c r="B59" s="66">
        <f>IF(12구역!C22="","",12구역!C22)</f>
        <v/>
      </c>
      <c r="C59" s="66">
        <f>IF(12구역!D22="","",12구역!D22)</f>
        <v/>
      </c>
      <c r="D59" s="66">
        <f>IF(12구역!E22="","",12구역!E22)</f>
        <v/>
      </c>
      <c r="E59" s="66">
        <f>IF(12구역!F22="","",12구역!F22)</f>
        <v/>
      </c>
      <c r="F59" s="66">
        <f>IF(12구역!G22="","",12구역!G22)</f>
        <v/>
      </c>
      <c r="G59" s="66">
        <f>IF(12구역!H22="","",12구역!H22)</f>
        <v/>
      </c>
      <c r="H59" s="66">
        <f>IF(12구역!I22="","",12구역!I22)</f>
        <v/>
      </c>
      <c r="I59" s="66">
        <f>IF(12구역!J22="","",12구역!J22)</f>
        <v/>
      </c>
      <c r="J59" s="66">
        <f>IF(12구역!K22="","",12구역!K22)</f>
        <v/>
      </c>
      <c r="K59" s="66">
        <f>IF(12구역!L22="","",12구역!L22)</f>
        <v/>
      </c>
      <c r="L59" s="66">
        <f>IF(12구역!M22="","",12구역!M22)</f>
        <v/>
      </c>
      <c r="M59" s="66">
        <f>IF(12구역!N22="","",12구역!N22)</f>
        <v/>
      </c>
    </row>
    <row r="60" ht="15" customHeight="1" s="33">
      <c r="A60" s="66">
        <f>IF(12구역!B23="","",12구역!B23)</f>
        <v/>
      </c>
      <c r="B60" s="66">
        <f>IF(12구역!C23="","",12구역!C23)</f>
        <v/>
      </c>
      <c r="C60" s="66">
        <f>IF(12구역!D23="","",12구역!D23)</f>
        <v/>
      </c>
      <c r="D60" s="66">
        <f>IF(12구역!E23="","",12구역!E23)</f>
        <v/>
      </c>
      <c r="E60" s="66">
        <f>IF(12구역!F23="","",12구역!F23)</f>
        <v/>
      </c>
      <c r="F60" s="66">
        <f>IF(12구역!G23="","",12구역!G23)</f>
        <v/>
      </c>
      <c r="G60" s="66">
        <f>IF(12구역!H23="","",12구역!H23)</f>
        <v/>
      </c>
      <c r="H60" s="66">
        <f>IF(12구역!I23="","",12구역!I23)</f>
        <v/>
      </c>
      <c r="I60" s="66">
        <f>IF(12구역!J23="","",12구역!J23)</f>
        <v/>
      </c>
      <c r="J60" s="66">
        <f>IF(12구역!K23="","",12구역!K23)</f>
        <v/>
      </c>
      <c r="K60" s="66">
        <f>IF(12구역!L23="","",12구역!L23)</f>
        <v/>
      </c>
      <c r="L60" s="66">
        <f>IF(12구역!M23="","",12구역!M23)</f>
        <v/>
      </c>
      <c r="M60" s="66">
        <f>IF(12구역!N23="","",12구역!N23)</f>
        <v/>
      </c>
    </row>
    <row r="61" ht="15" customHeight="1" s="33">
      <c r="A61" s="66">
        <f>IF(12구역!B24="","",12구역!B24)</f>
        <v/>
      </c>
      <c r="B61" s="66">
        <f>IF(12구역!C24="","",12구역!C24)</f>
        <v/>
      </c>
      <c r="C61" s="66">
        <f>IF(12구역!D24="","",12구역!D24)</f>
        <v/>
      </c>
      <c r="D61" s="66">
        <f>IF(12구역!E24="","",12구역!E24)</f>
        <v/>
      </c>
      <c r="E61" s="66">
        <f>IF(12구역!F24="","",12구역!F24)</f>
        <v/>
      </c>
      <c r="F61" s="66">
        <f>IF(12구역!G24="","",12구역!G24)</f>
        <v/>
      </c>
      <c r="G61" s="66">
        <f>IF(12구역!H24="","",12구역!H24)</f>
        <v/>
      </c>
      <c r="H61" s="66">
        <f>IF(12구역!I24="","",12구역!I24)</f>
        <v/>
      </c>
      <c r="I61" s="66">
        <f>IF(12구역!J24="","",12구역!J24)</f>
        <v/>
      </c>
      <c r="J61" s="66">
        <f>IF(12구역!K24="","",12구역!K24)</f>
        <v/>
      </c>
      <c r="K61" s="66">
        <f>IF(12구역!L24="","",12구역!L24)</f>
        <v/>
      </c>
      <c r="L61" s="66">
        <f>IF(12구역!M24="","",12구역!M24)</f>
        <v/>
      </c>
      <c r="M61" s="66">
        <f>IF(12구역!N24="","",12구역!N24)</f>
        <v/>
      </c>
    </row>
    <row r="62" ht="15" customHeight="1" s="33">
      <c r="A62" s="66">
        <f>IF(12구역!B25="","",12구역!B25)</f>
        <v/>
      </c>
      <c r="B62" s="66">
        <f>IF(12구역!C25="","",12구역!C25)</f>
        <v/>
      </c>
      <c r="C62" s="66">
        <f>IF(12구역!D25="","",12구역!D25)</f>
        <v/>
      </c>
      <c r="D62" s="66">
        <f>IF(12구역!E25="","",12구역!E25)</f>
        <v/>
      </c>
      <c r="E62" s="66">
        <f>IF(12구역!F25="","",12구역!F25)</f>
        <v/>
      </c>
      <c r="F62" s="66">
        <f>IF(12구역!G25="","",12구역!G25)</f>
        <v/>
      </c>
      <c r="G62" s="66">
        <f>IF(12구역!H25="","",12구역!H25)</f>
        <v/>
      </c>
      <c r="H62" s="66">
        <f>IF(12구역!I25="","",12구역!I25)</f>
        <v/>
      </c>
      <c r="I62" s="66">
        <f>IF(12구역!J25="","",12구역!J25)</f>
        <v/>
      </c>
      <c r="J62" s="66">
        <f>IF(12구역!K25="","",12구역!K25)</f>
        <v/>
      </c>
      <c r="K62" s="66">
        <f>IF(12구역!L25="","",12구역!L25)</f>
        <v/>
      </c>
      <c r="L62" s="66">
        <f>IF(12구역!M25="","",12구역!M25)</f>
        <v/>
      </c>
      <c r="M62" s="66">
        <f>IF(12구역!N25="","",12구역!N25)</f>
        <v/>
      </c>
    </row>
    <row r="63" ht="15" customHeight="1" s="33">
      <c r="A63" s="66">
        <f>IF(12구역!B26="","",12구역!B26)</f>
        <v/>
      </c>
      <c r="B63" s="66">
        <f>IF(12구역!C26="","",12구역!C26)</f>
        <v/>
      </c>
      <c r="C63" s="66">
        <f>IF(12구역!D26="","",12구역!D26)</f>
        <v/>
      </c>
      <c r="D63" s="66">
        <f>IF(12구역!E26="","",12구역!E26)</f>
        <v/>
      </c>
      <c r="E63" s="66">
        <f>IF(12구역!F26="","",12구역!F26)</f>
        <v/>
      </c>
      <c r="F63" s="66">
        <f>IF(12구역!G26="","",12구역!G26)</f>
        <v/>
      </c>
      <c r="G63" s="66">
        <f>IF(12구역!H26="","",12구역!H26)</f>
        <v/>
      </c>
      <c r="H63" s="66">
        <f>IF(12구역!I26="","",12구역!I26)</f>
        <v/>
      </c>
      <c r="I63" s="66">
        <f>IF(12구역!J26="","",12구역!J26)</f>
        <v/>
      </c>
      <c r="J63" s="66">
        <f>IF(12구역!K26="","",12구역!K26)</f>
        <v/>
      </c>
      <c r="K63" s="66">
        <f>IF(12구역!L26="","",12구역!L26)</f>
        <v/>
      </c>
      <c r="L63" s="66">
        <f>IF(12구역!M26="","",12구역!M26)</f>
        <v/>
      </c>
      <c r="M63" s="66">
        <f>IF(12구역!N26="","",12구역!N26)</f>
        <v/>
      </c>
    </row>
    <row r="64" ht="15" customHeight="1" s="33">
      <c r="A64" s="66">
        <f>IF(12구역!B27="","",12구역!B27)</f>
        <v/>
      </c>
      <c r="B64" s="66">
        <f>IF(12구역!C27="","",12구역!C27)</f>
        <v/>
      </c>
      <c r="C64" s="66">
        <f>IF(12구역!D27="","",12구역!D27)</f>
        <v/>
      </c>
      <c r="D64" s="66">
        <f>IF(12구역!E27="","",12구역!E27)</f>
        <v/>
      </c>
      <c r="E64" s="66">
        <f>IF(12구역!F27="","",12구역!F27)</f>
        <v/>
      </c>
      <c r="F64" s="66">
        <f>IF(12구역!G27="","",12구역!G27)</f>
        <v/>
      </c>
      <c r="G64" s="66">
        <f>IF(12구역!H27="","",12구역!H27)</f>
        <v/>
      </c>
      <c r="H64" s="66">
        <f>IF(12구역!I27="","",12구역!I27)</f>
        <v/>
      </c>
      <c r="I64" s="66">
        <f>IF(12구역!J27="","",12구역!J27)</f>
        <v/>
      </c>
      <c r="J64" s="66">
        <f>IF(12구역!K27="","",12구역!K27)</f>
        <v/>
      </c>
      <c r="K64" s="66">
        <f>IF(12구역!L27="","",12구역!L27)</f>
        <v/>
      </c>
      <c r="L64" s="66">
        <f>IF(12구역!M27="","",12구역!M27)</f>
        <v/>
      </c>
      <c r="M64" s="66">
        <f>IF(12구역!N27="","",12구역!N27)</f>
        <v/>
      </c>
    </row>
    <row r="65" ht="15" customHeight="1" s="33">
      <c r="A65" s="66">
        <f>IF(12구역!B28="","",12구역!B28)</f>
        <v/>
      </c>
      <c r="B65" s="66">
        <f>IF(12구역!C28="","",12구역!C28)</f>
        <v/>
      </c>
      <c r="C65" s="66">
        <f>IF(12구역!D28="","",12구역!D28)</f>
        <v/>
      </c>
      <c r="D65" s="66">
        <f>IF(12구역!E28="","",12구역!E28)</f>
        <v/>
      </c>
      <c r="E65" s="66">
        <f>IF(12구역!F28="","",12구역!F28)</f>
        <v/>
      </c>
      <c r="F65" s="66">
        <f>IF(12구역!G28="","",12구역!G28)</f>
        <v/>
      </c>
      <c r="G65" s="66">
        <f>IF(12구역!H28="","",12구역!H28)</f>
        <v/>
      </c>
      <c r="H65" s="66">
        <f>IF(12구역!I28="","",12구역!I28)</f>
        <v/>
      </c>
      <c r="I65" s="66">
        <f>IF(12구역!J28="","",12구역!J28)</f>
        <v/>
      </c>
      <c r="J65" s="66">
        <f>IF(12구역!K28="","",12구역!K28)</f>
        <v/>
      </c>
      <c r="K65" s="66">
        <f>IF(12구역!L28="","",12구역!L28)</f>
        <v/>
      </c>
      <c r="L65" s="66">
        <f>IF(12구역!M28="","",12구역!M28)</f>
        <v/>
      </c>
      <c r="M65" s="66">
        <f>IF(12구역!N28="","",12구역!N28)</f>
        <v/>
      </c>
    </row>
    <row r="66" ht="15" customHeight="1" s="33">
      <c r="A66" s="66">
        <f>IF(12구역!B29="","",12구역!B29)</f>
        <v/>
      </c>
      <c r="B66" s="66">
        <f>IF(12구역!C29="","",12구역!C29)</f>
        <v/>
      </c>
      <c r="C66" s="66">
        <f>IF(12구역!D29="","",12구역!D29)</f>
        <v/>
      </c>
      <c r="D66" s="66">
        <f>IF(12구역!E29="","",12구역!E29)</f>
        <v/>
      </c>
      <c r="E66" s="66">
        <f>IF(12구역!F29="","",12구역!F29)</f>
        <v/>
      </c>
      <c r="F66" s="66">
        <f>IF(12구역!G29="","",12구역!G29)</f>
        <v/>
      </c>
      <c r="G66" s="66">
        <f>IF(12구역!H29="","",12구역!H29)</f>
        <v/>
      </c>
      <c r="H66" s="66">
        <f>IF(12구역!I29="","",12구역!I29)</f>
        <v/>
      </c>
      <c r="I66" s="66">
        <f>IF(12구역!J29="","",12구역!J29)</f>
        <v/>
      </c>
      <c r="J66" s="66">
        <f>IF(12구역!K29="","",12구역!K29)</f>
        <v/>
      </c>
      <c r="K66" s="66">
        <f>IF(12구역!L29="","",12구역!L29)</f>
        <v/>
      </c>
      <c r="L66" s="66">
        <f>IF(12구역!M29="","",12구역!M29)</f>
        <v/>
      </c>
      <c r="M66" s="66">
        <f>IF(12구역!N29="","",12구역!N29)</f>
        <v/>
      </c>
    </row>
    <row r="67" ht="15" customHeight="1" s="33">
      <c r="A67" s="66">
        <f>IF(12구역!B30="","",12구역!B30)</f>
        <v/>
      </c>
      <c r="B67" s="66">
        <f>IF(12구역!C30="","",12구역!C30)</f>
        <v/>
      </c>
      <c r="C67" s="66">
        <f>IF(12구역!D30="","",12구역!D30)</f>
        <v/>
      </c>
      <c r="D67" s="66">
        <f>IF(12구역!E30="","",12구역!E30)</f>
        <v/>
      </c>
      <c r="E67" s="66">
        <f>IF(12구역!F30="","",12구역!F30)</f>
        <v/>
      </c>
      <c r="F67" s="66">
        <f>IF(12구역!G30="","",12구역!G30)</f>
        <v/>
      </c>
      <c r="G67" s="66">
        <f>IF(12구역!H30="","",12구역!H30)</f>
        <v/>
      </c>
      <c r="H67" s="66">
        <f>IF(12구역!I30="","",12구역!I30)</f>
        <v/>
      </c>
      <c r="I67" s="66">
        <f>IF(12구역!J30="","",12구역!J30)</f>
        <v/>
      </c>
      <c r="J67" s="66">
        <f>IF(12구역!K30="","",12구역!K30)</f>
        <v/>
      </c>
      <c r="K67" s="66">
        <f>IF(12구역!L30="","",12구역!L30)</f>
        <v/>
      </c>
      <c r="L67" s="66">
        <f>IF(12구역!M30="","",12구역!M30)</f>
        <v/>
      </c>
      <c r="M67" s="66">
        <f>IF(12구역!N30="","",12구역!N30)</f>
        <v/>
      </c>
    </row>
    <row r="68" ht="15" customHeight="1" s="33">
      <c r="A68" s="66">
        <f>IF(12구역!B31="","",12구역!B31)</f>
        <v/>
      </c>
      <c r="B68" s="66">
        <f>IF(12구역!C31="","",12구역!C31)</f>
        <v/>
      </c>
      <c r="C68" s="66">
        <f>IF(12구역!D31="","",12구역!D31)</f>
        <v/>
      </c>
      <c r="D68" s="66">
        <f>IF(12구역!E31="","",12구역!E31)</f>
        <v/>
      </c>
      <c r="E68" s="66">
        <f>IF(12구역!F31="","",12구역!F31)</f>
        <v/>
      </c>
      <c r="F68" s="66">
        <f>IF(12구역!G31="","",12구역!G31)</f>
        <v/>
      </c>
      <c r="G68" s="66">
        <f>IF(12구역!H31="","",12구역!H31)</f>
        <v/>
      </c>
      <c r="H68" s="66">
        <f>IF(12구역!I31="","",12구역!I31)</f>
        <v/>
      </c>
      <c r="I68" s="66">
        <f>IF(12구역!J31="","",12구역!J31)</f>
        <v/>
      </c>
      <c r="J68" s="66">
        <f>IF(12구역!K31="","",12구역!K31)</f>
        <v/>
      </c>
      <c r="K68" s="66">
        <f>IF(12구역!L31="","",12구역!L31)</f>
        <v/>
      </c>
      <c r="L68" s="66">
        <f>IF(12구역!M31="","",12구역!M31)</f>
        <v/>
      </c>
      <c r="M68" s="66">
        <f>IF(12구역!N31="","",12구역!N31)</f>
        <v/>
      </c>
    </row>
    <row r="69" ht="15" customHeight="1" s="33">
      <c r="A69" s="66">
        <f>IF(12구역!B32="","",12구역!B32)</f>
        <v/>
      </c>
      <c r="B69" s="66">
        <f>IF(12구역!C32="","",12구역!C32)</f>
        <v/>
      </c>
      <c r="C69" s="66">
        <f>IF(12구역!D32="","",12구역!D32)</f>
        <v/>
      </c>
      <c r="D69" s="66">
        <f>IF(12구역!E32="","",12구역!E32)</f>
        <v/>
      </c>
      <c r="E69" s="66">
        <f>IF(12구역!F32="","",12구역!F32)</f>
        <v/>
      </c>
      <c r="F69" s="66">
        <f>IF(12구역!G32="","",12구역!G32)</f>
        <v/>
      </c>
      <c r="G69" s="66">
        <f>IF(12구역!H32="","",12구역!H32)</f>
        <v/>
      </c>
      <c r="H69" s="66">
        <f>IF(12구역!I32="","",12구역!I32)</f>
        <v/>
      </c>
      <c r="I69" s="66">
        <f>IF(12구역!J32="","",12구역!J32)</f>
        <v/>
      </c>
      <c r="J69" s="66">
        <f>IF(12구역!K32="","",12구역!K32)</f>
        <v/>
      </c>
      <c r="K69" s="66">
        <f>IF(12구역!L32="","",12구역!L32)</f>
        <v/>
      </c>
      <c r="L69" s="66">
        <f>IF(12구역!M32="","",12구역!M32)</f>
        <v/>
      </c>
      <c r="M69" s="66">
        <f>IF(12구역!N32="","",12구역!N32)</f>
        <v/>
      </c>
    </row>
    <row r="70" ht="15" customHeight="1" s="33">
      <c r="A70" s="66">
        <f>IF(12구역!B33="","",12구역!B33)</f>
        <v/>
      </c>
      <c r="B70" s="66">
        <f>IF(12구역!C33="","",12구역!C33)</f>
        <v/>
      </c>
      <c r="C70" s="66">
        <f>IF(12구역!D33="","",12구역!D33)</f>
        <v/>
      </c>
      <c r="D70" s="66">
        <f>IF(12구역!E33="","",12구역!E33)</f>
        <v/>
      </c>
      <c r="E70" s="66">
        <f>IF(12구역!F33="","",12구역!F33)</f>
        <v/>
      </c>
      <c r="F70" s="66">
        <f>IF(12구역!G33="","",12구역!G33)</f>
        <v/>
      </c>
      <c r="G70" s="66">
        <f>IF(12구역!H33="","",12구역!H33)</f>
        <v/>
      </c>
      <c r="H70" s="66">
        <f>IF(12구역!I33="","",12구역!I33)</f>
        <v/>
      </c>
      <c r="I70" s="66">
        <f>IF(12구역!J33="","",12구역!J33)</f>
        <v/>
      </c>
      <c r="J70" s="66">
        <f>IF(12구역!K33="","",12구역!K33)</f>
        <v/>
      </c>
      <c r="K70" s="66">
        <f>IF(12구역!L33="","",12구역!L33)</f>
        <v/>
      </c>
      <c r="L70" s="66">
        <f>IF(12구역!M33="","",12구역!M33)</f>
        <v/>
      </c>
      <c r="M70" s="66">
        <f>IF(12구역!N33="","",12구역!N33)</f>
        <v/>
      </c>
    </row>
    <row r="71" ht="15" customHeight="1" s="33">
      <c r="A71" s="66">
        <f>IF(12구역!B34="","",12구역!B34)</f>
        <v/>
      </c>
      <c r="B71" s="66">
        <f>IF(12구역!C34="","",12구역!C34)</f>
        <v/>
      </c>
      <c r="C71" s="66">
        <f>IF(12구역!D34="","",12구역!D34)</f>
        <v/>
      </c>
      <c r="D71" s="66">
        <f>IF(12구역!E34="","",12구역!E34)</f>
        <v/>
      </c>
      <c r="E71" s="66">
        <f>IF(12구역!F34="","",12구역!F34)</f>
        <v/>
      </c>
      <c r="F71" s="66">
        <f>IF(12구역!G34="","",12구역!G34)</f>
        <v/>
      </c>
      <c r="G71" s="66">
        <f>IF(12구역!H34="","",12구역!H34)</f>
        <v/>
      </c>
      <c r="H71" s="66">
        <f>IF(12구역!I34="","",12구역!I34)</f>
        <v/>
      </c>
      <c r="I71" s="66">
        <f>IF(12구역!J34="","",12구역!J34)</f>
        <v/>
      </c>
      <c r="J71" s="66">
        <f>IF(12구역!K34="","",12구역!K34)</f>
        <v/>
      </c>
      <c r="K71" s="66">
        <f>IF(12구역!L34="","",12구역!L34)</f>
        <v/>
      </c>
      <c r="L71" s="66">
        <f>IF(12구역!M34="","",12구역!M34)</f>
        <v/>
      </c>
      <c r="M71" s="66">
        <f>IF(12구역!N34="","",12구역!N34)</f>
        <v/>
      </c>
    </row>
    <row r="72" ht="15" customHeight="1" s="33">
      <c r="A72" s="66">
        <f>IF(12구역!B35="","",12구역!B35)</f>
        <v/>
      </c>
      <c r="B72" s="66">
        <f>IF(12구역!C35="","",12구역!C35)</f>
        <v/>
      </c>
      <c r="C72" s="66">
        <f>IF(12구역!D35="","",12구역!D35)</f>
        <v/>
      </c>
      <c r="D72" s="66">
        <f>IF(12구역!E35="","",12구역!E35)</f>
        <v/>
      </c>
      <c r="E72" s="66">
        <f>IF(12구역!F35="","",12구역!F35)</f>
        <v/>
      </c>
      <c r="F72" s="66">
        <f>IF(12구역!G35="","",12구역!G35)</f>
        <v/>
      </c>
      <c r="G72" s="66">
        <f>IF(12구역!H35="","",12구역!H35)</f>
        <v/>
      </c>
      <c r="H72" s="66">
        <f>IF(12구역!I35="","",12구역!I35)</f>
        <v/>
      </c>
      <c r="I72" s="66">
        <f>IF(12구역!J35="","",12구역!J35)</f>
        <v/>
      </c>
      <c r="J72" s="66">
        <f>IF(12구역!K35="","",12구역!K35)</f>
        <v/>
      </c>
      <c r="K72" s="66">
        <f>IF(12구역!L35="","",12구역!L35)</f>
        <v/>
      </c>
      <c r="L72" s="66">
        <f>IF(12구역!M35="","",12구역!M35)</f>
        <v/>
      </c>
      <c r="M72" s="66">
        <f>IF(12구역!N35="","",12구역!N35)</f>
        <v/>
      </c>
    </row>
    <row r="73" ht="15" customHeight="1" s="33">
      <c r="A73" s="66">
        <f>IF(12구역!B36="","",12구역!B36)</f>
        <v/>
      </c>
      <c r="B73" s="66">
        <f>IF(12구역!C36="","",12구역!C36)</f>
        <v/>
      </c>
      <c r="C73" s="66">
        <f>IF(12구역!D36="","",12구역!D36)</f>
        <v/>
      </c>
      <c r="D73" s="66">
        <f>IF(12구역!E36="","",12구역!E36)</f>
        <v/>
      </c>
      <c r="E73" s="66">
        <f>IF(12구역!F36="","",12구역!F36)</f>
        <v/>
      </c>
      <c r="F73" s="66">
        <f>IF(12구역!G36="","",12구역!G36)</f>
        <v/>
      </c>
      <c r="G73" s="66">
        <f>IF(12구역!H36="","",12구역!H36)</f>
        <v/>
      </c>
      <c r="H73" s="66">
        <f>IF(12구역!I36="","",12구역!I36)</f>
        <v/>
      </c>
      <c r="I73" s="66">
        <f>IF(12구역!J36="","",12구역!J36)</f>
        <v/>
      </c>
      <c r="J73" s="66">
        <f>IF(12구역!K36="","",12구역!K36)</f>
        <v/>
      </c>
      <c r="K73" s="66">
        <f>IF(12구역!L36="","",12구역!L36)</f>
        <v/>
      </c>
      <c r="L73" s="66">
        <f>IF(12구역!M36="","",12구역!M36)</f>
        <v/>
      </c>
      <c r="M73" s="66">
        <f>IF(12구역!N36="","",12구역!N36)</f>
        <v/>
      </c>
    </row>
    <row r="74" ht="15" customHeight="1" s="33">
      <c r="A74" s="66">
        <f>IF(12구역!B37="","",12구역!B37)</f>
        <v/>
      </c>
      <c r="B74" s="66">
        <f>IF(12구역!C37="","",12구역!C37)</f>
        <v/>
      </c>
      <c r="C74" s="66">
        <f>IF(12구역!D37="","",12구역!D37)</f>
        <v/>
      </c>
      <c r="D74" s="66">
        <f>IF(12구역!E37="","",12구역!E37)</f>
        <v/>
      </c>
      <c r="E74" s="66">
        <f>IF(12구역!F37="","",12구역!F37)</f>
        <v/>
      </c>
      <c r="F74" s="66">
        <f>IF(12구역!G37="","",12구역!G37)</f>
        <v/>
      </c>
      <c r="G74" s="66">
        <f>IF(12구역!H37="","",12구역!H37)</f>
        <v/>
      </c>
      <c r="H74" s="66">
        <f>IF(12구역!I37="","",12구역!I37)</f>
        <v/>
      </c>
      <c r="I74" s="66">
        <f>IF(12구역!J37="","",12구역!J37)</f>
        <v/>
      </c>
      <c r="J74" s="66">
        <f>IF(12구역!K37="","",12구역!K37)</f>
        <v/>
      </c>
      <c r="K74" s="66">
        <f>IF(12구역!L37="","",12구역!L37)</f>
        <v/>
      </c>
      <c r="L74" s="66">
        <f>IF(12구역!M37="","",12구역!M37)</f>
        <v/>
      </c>
      <c r="M74" s="66">
        <f>IF(12구역!N37="","",12구역!N37)</f>
        <v/>
      </c>
    </row>
    <row r="75" ht="15" customHeight="1" s="33">
      <c r="A75" s="66">
        <f>IF(12구역!B38="","",12구역!B38)</f>
        <v/>
      </c>
      <c r="B75" s="66">
        <f>IF(12구역!C38="","",12구역!C38)</f>
        <v/>
      </c>
      <c r="C75" s="66">
        <f>IF(12구역!D38="","",12구역!D38)</f>
        <v/>
      </c>
      <c r="D75" s="66">
        <f>IF(12구역!E38="","",12구역!E38)</f>
        <v/>
      </c>
      <c r="E75" s="66">
        <f>IF(12구역!F38="","",12구역!F38)</f>
        <v/>
      </c>
      <c r="F75" s="66">
        <f>IF(12구역!G38="","",12구역!G38)</f>
        <v/>
      </c>
      <c r="G75" s="66">
        <f>IF(12구역!H38="","",12구역!H38)</f>
        <v/>
      </c>
      <c r="H75" s="66">
        <f>IF(12구역!I38="","",12구역!I38)</f>
        <v/>
      </c>
      <c r="I75" s="66">
        <f>IF(12구역!J38="","",12구역!J38)</f>
        <v/>
      </c>
      <c r="J75" s="66">
        <f>IF(12구역!K38="","",12구역!K38)</f>
        <v/>
      </c>
      <c r="K75" s="66">
        <f>IF(12구역!L38="","",12구역!L38)</f>
        <v/>
      </c>
      <c r="L75" s="66">
        <f>IF(12구역!M38="","",12구역!M38)</f>
        <v/>
      </c>
      <c r="M75" s="66">
        <f>IF(12구역!N38="","",12구역!N38)</f>
        <v/>
      </c>
    </row>
    <row r="76" ht="15" customHeight="1" s="33">
      <c r="A76" s="66">
        <f>IF(12구역!B39="","",12구역!B39)</f>
        <v/>
      </c>
      <c r="B76" s="66">
        <f>IF(12구역!C39="","",12구역!C39)</f>
        <v/>
      </c>
      <c r="C76" s="66">
        <f>IF(12구역!D39="","",12구역!D39)</f>
        <v/>
      </c>
      <c r="D76" s="66">
        <f>IF(12구역!E39="","",12구역!E39)</f>
        <v/>
      </c>
      <c r="E76" s="66">
        <f>IF(12구역!F39="","",12구역!F39)</f>
        <v/>
      </c>
      <c r="F76" s="66">
        <f>IF(12구역!G39="","",12구역!G39)</f>
        <v/>
      </c>
      <c r="G76" s="66">
        <f>IF(12구역!H39="","",12구역!H39)</f>
        <v/>
      </c>
      <c r="H76" s="66">
        <f>IF(12구역!I39="","",12구역!I39)</f>
        <v/>
      </c>
      <c r="I76" s="66">
        <f>IF(12구역!J39="","",12구역!J39)</f>
        <v/>
      </c>
      <c r="J76" s="66">
        <f>IF(12구역!K39="","",12구역!K39)</f>
        <v/>
      </c>
      <c r="K76" s="66">
        <f>IF(12구역!L39="","",12구역!L39)</f>
        <v/>
      </c>
      <c r="L76" s="66">
        <f>IF(12구역!M39="","",12구역!M39)</f>
        <v/>
      </c>
      <c r="M76" s="66">
        <f>IF(12구역!N39="","",12구역!N39)</f>
        <v/>
      </c>
    </row>
    <row r="77" ht="15" customHeight="1" s="33">
      <c r="A77" s="66">
        <f>IF(12구역!B40="","",12구역!B40)</f>
        <v/>
      </c>
      <c r="B77" s="66">
        <f>IF(12구역!C40="","",12구역!C40)</f>
        <v/>
      </c>
      <c r="C77" s="66">
        <f>IF(12구역!D40="","",12구역!D40)</f>
        <v/>
      </c>
      <c r="D77" s="66">
        <f>IF(12구역!E40="","",12구역!E40)</f>
        <v/>
      </c>
      <c r="E77" s="66">
        <f>IF(12구역!F40="","",12구역!F40)</f>
        <v/>
      </c>
      <c r="F77" s="66">
        <f>IF(12구역!G40="","",12구역!G40)</f>
        <v/>
      </c>
      <c r="G77" s="66">
        <f>IF(12구역!H40="","",12구역!H40)</f>
        <v/>
      </c>
      <c r="H77" s="66">
        <f>IF(12구역!I40="","",12구역!I40)</f>
        <v/>
      </c>
      <c r="I77" s="66">
        <f>IF(12구역!J40="","",12구역!J40)</f>
        <v/>
      </c>
      <c r="J77" s="66">
        <f>IF(12구역!K40="","",12구역!K40)</f>
        <v/>
      </c>
      <c r="K77" s="66">
        <f>IF(12구역!L40="","",12구역!L40)</f>
        <v/>
      </c>
      <c r="L77" s="66">
        <f>IF(12구역!M40="","",12구역!M40)</f>
        <v/>
      </c>
      <c r="M77" s="66">
        <f>IF(12구역!N40="","",12구역!N40)</f>
        <v/>
      </c>
    </row>
    <row r="78" ht="15" customHeight="1" s="33">
      <c r="A78" s="66">
        <f>IF(12구역!B41="","",12구역!B41)</f>
        <v/>
      </c>
      <c r="B78" s="66">
        <f>IF(12구역!C41="","",12구역!C41)</f>
        <v/>
      </c>
      <c r="C78" s="66">
        <f>IF(12구역!D41="","",12구역!D41)</f>
        <v/>
      </c>
      <c r="D78" s="66">
        <f>IF(12구역!E41="","",12구역!E41)</f>
        <v/>
      </c>
      <c r="E78" s="66">
        <f>IF(12구역!F41="","",12구역!F41)</f>
        <v/>
      </c>
      <c r="F78" s="66">
        <f>IF(12구역!G41="","",12구역!G41)</f>
        <v/>
      </c>
      <c r="G78" s="66">
        <f>IF(12구역!H41="","",12구역!H41)</f>
        <v/>
      </c>
      <c r="H78" s="66">
        <f>IF(12구역!I41="","",12구역!I41)</f>
        <v/>
      </c>
      <c r="I78" s="66">
        <f>IF(12구역!J41="","",12구역!J41)</f>
        <v/>
      </c>
      <c r="J78" s="66">
        <f>IF(12구역!K41="","",12구역!K41)</f>
        <v/>
      </c>
      <c r="K78" s="66">
        <f>IF(12구역!L41="","",12구역!L41)</f>
        <v/>
      </c>
      <c r="L78" s="66">
        <f>IF(12구역!M41="","",12구역!M41)</f>
        <v/>
      </c>
      <c r="M78" s="66">
        <f>IF(12구역!N41="","",12구역!N41)</f>
        <v/>
      </c>
    </row>
    <row r="79" ht="15" customHeight="1" s="33">
      <c r="A79" s="66">
        <f>IF(12구역!B42="","",12구역!B42)</f>
        <v/>
      </c>
      <c r="B79" s="66">
        <f>IF(12구역!C42="","",12구역!C42)</f>
        <v/>
      </c>
      <c r="C79" s="66">
        <f>IF(12구역!D42="","",12구역!D42)</f>
        <v/>
      </c>
      <c r="D79" s="66">
        <f>IF(12구역!E42="","",12구역!E42)</f>
        <v/>
      </c>
      <c r="E79" s="66">
        <f>IF(12구역!F42="","",12구역!F42)</f>
        <v/>
      </c>
      <c r="F79" s="66">
        <f>IF(12구역!G42="","",12구역!G42)</f>
        <v/>
      </c>
      <c r="G79" s="66">
        <f>IF(12구역!H42="","",12구역!H42)</f>
        <v/>
      </c>
      <c r="H79" s="66">
        <f>IF(12구역!I42="","",12구역!I42)</f>
        <v/>
      </c>
      <c r="I79" s="66">
        <f>IF(12구역!J42="","",12구역!J42)</f>
        <v/>
      </c>
      <c r="J79" s="66">
        <f>IF(12구역!K42="","",12구역!K42)</f>
        <v/>
      </c>
      <c r="K79" s="66">
        <f>IF(12구역!L42="","",12구역!L42)</f>
        <v/>
      </c>
      <c r="L79" s="66">
        <f>IF(12구역!M42="","",12구역!M42)</f>
        <v/>
      </c>
      <c r="M79" s="66">
        <f>IF(12구역!N42="","",12구역!N42)</f>
        <v/>
      </c>
    </row>
    <row r="80" ht="15" customHeight="1" s="33">
      <c r="A80" s="66">
        <f>IF(12구역!B43="","",12구역!B43)</f>
        <v/>
      </c>
      <c r="B80" s="66">
        <f>IF(12구역!C43="","",12구역!C43)</f>
        <v/>
      </c>
      <c r="C80" s="66">
        <f>IF(12구역!D43="","",12구역!D43)</f>
        <v/>
      </c>
      <c r="D80" s="66">
        <f>IF(12구역!E43="","",12구역!E43)</f>
        <v/>
      </c>
      <c r="E80" s="66">
        <f>IF(12구역!F43="","",12구역!F43)</f>
        <v/>
      </c>
      <c r="F80" s="66">
        <f>IF(12구역!G43="","",12구역!G43)</f>
        <v/>
      </c>
      <c r="G80" s="66">
        <f>IF(12구역!H43="","",12구역!H43)</f>
        <v/>
      </c>
      <c r="H80" s="66">
        <f>IF(12구역!I43="","",12구역!I43)</f>
        <v/>
      </c>
      <c r="I80" s="66">
        <f>IF(12구역!J43="","",12구역!J43)</f>
        <v/>
      </c>
      <c r="J80" s="66">
        <f>IF(12구역!K43="","",12구역!K43)</f>
        <v/>
      </c>
      <c r="K80" s="66">
        <f>IF(12구역!L43="","",12구역!L43)</f>
        <v/>
      </c>
      <c r="L80" s="66">
        <f>IF(12구역!M43="","",12구역!M43)</f>
        <v/>
      </c>
      <c r="M80" s="66">
        <f>IF(12구역!N43="","",12구역!N43)</f>
        <v/>
      </c>
    </row>
    <row r="81" ht="15" customHeight="1" s="33">
      <c r="A81" s="66">
        <f>IF(13구역!B4="","",13구역!B4)</f>
        <v/>
      </c>
      <c r="B81" s="66">
        <f>IF(13구역!C4="","",13구역!C4)</f>
        <v/>
      </c>
      <c r="C81" s="66">
        <f>IF(13구역!D4="","",13구역!D4)</f>
        <v/>
      </c>
      <c r="D81" s="66">
        <f>IF(13구역!E4="","",13구역!E4)</f>
        <v/>
      </c>
      <c r="E81" s="66">
        <f>IF(13구역!F4="","",13구역!F4)</f>
        <v/>
      </c>
      <c r="F81" s="66">
        <f>IF(13구역!G4="","",13구역!G4)</f>
        <v/>
      </c>
      <c r="G81" s="66">
        <f>IF(13구역!H4="","",13구역!H4)</f>
        <v/>
      </c>
      <c r="H81" s="66">
        <f>IF(13구역!I4="","",13구역!I4)</f>
        <v/>
      </c>
      <c r="I81" s="66">
        <f>IF(13구역!J4="","",13구역!J4)</f>
        <v/>
      </c>
      <c r="J81" s="66">
        <f>IF(13구역!K4="","",13구역!K4)</f>
        <v/>
      </c>
      <c r="K81" s="66">
        <f>IF(13구역!L4="","",13구역!L4)</f>
        <v/>
      </c>
      <c r="L81" s="66">
        <f>IF(13구역!M4="","",13구역!M4)</f>
        <v/>
      </c>
      <c r="M81" s="66">
        <f>IF(13구역!N4="","",13구역!N4)</f>
        <v/>
      </c>
    </row>
    <row r="82" ht="15" customHeight="1" s="33">
      <c r="A82" s="66">
        <f>IF(13구역!B5="","",13구역!B5)</f>
        <v/>
      </c>
      <c r="B82" s="66">
        <f>IF(13구역!C5="","",13구역!C5)</f>
        <v/>
      </c>
      <c r="C82" s="66">
        <f>IF(13구역!D5="","",13구역!D5)</f>
        <v/>
      </c>
      <c r="D82" s="66">
        <f>IF(13구역!E5="","",13구역!E5)</f>
        <v/>
      </c>
      <c r="E82" s="66">
        <f>IF(13구역!F5="","",13구역!F5)</f>
        <v/>
      </c>
      <c r="F82" s="66">
        <f>IF(13구역!G5="","",13구역!G5)</f>
        <v/>
      </c>
      <c r="G82" s="66">
        <f>IF(13구역!H5="","",13구역!H5)</f>
        <v/>
      </c>
      <c r="H82" s="66">
        <f>IF(13구역!I5="","",13구역!I5)</f>
        <v/>
      </c>
      <c r="I82" s="66">
        <f>IF(13구역!J5="","",13구역!J5)</f>
        <v/>
      </c>
      <c r="J82" s="66">
        <f>IF(13구역!K5="","",13구역!K5)</f>
        <v/>
      </c>
      <c r="K82" s="66">
        <f>IF(13구역!L5="","",13구역!L5)</f>
        <v/>
      </c>
      <c r="L82" s="66">
        <f>IF(13구역!M5="","",13구역!M5)</f>
        <v/>
      </c>
      <c r="M82" s="66">
        <f>IF(13구역!N5="","",13구역!N5)</f>
        <v/>
      </c>
    </row>
    <row r="83" ht="15" customHeight="1" s="33">
      <c r="A83" s="66">
        <f>IF(13구역!B6="","",13구역!B6)</f>
        <v/>
      </c>
      <c r="B83" s="66">
        <f>IF(13구역!C6="","",13구역!C6)</f>
        <v/>
      </c>
      <c r="C83" s="66">
        <f>IF(13구역!D6="","",13구역!D6)</f>
        <v/>
      </c>
      <c r="D83" s="66">
        <f>IF(13구역!E6="","",13구역!E6)</f>
        <v/>
      </c>
      <c r="E83" s="66">
        <f>IF(13구역!F6="","",13구역!F6)</f>
        <v/>
      </c>
      <c r="F83" s="66">
        <f>IF(13구역!G6="","",13구역!G6)</f>
        <v/>
      </c>
      <c r="G83" s="66">
        <f>IF(13구역!H6="","",13구역!H6)</f>
        <v/>
      </c>
      <c r="H83" s="66">
        <f>IF(13구역!I6="","",13구역!I6)</f>
        <v/>
      </c>
      <c r="I83" s="66">
        <f>IF(13구역!J6="","",13구역!J6)</f>
        <v/>
      </c>
      <c r="J83" s="66">
        <f>IF(13구역!K6="","",13구역!K6)</f>
        <v/>
      </c>
      <c r="K83" s="66">
        <f>IF(13구역!L6="","",13구역!L6)</f>
        <v/>
      </c>
      <c r="L83" s="66">
        <f>IF(13구역!M6="","",13구역!M6)</f>
        <v/>
      </c>
      <c r="M83" s="66">
        <f>IF(13구역!N6="","",13구역!N6)</f>
        <v/>
      </c>
    </row>
    <row r="84" ht="15" customHeight="1" s="33">
      <c r="A84" s="66">
        <f>IF(13구역!B7="","",13구역!B7)</f>
        <v/>
      </c>
      <c r="B84" s="66">
        <f>IF(13구역!C7="","",13구역!C7)</f>
        <v/>
      </c>
      <c r="C84" s="66">
        <f>IF(13구역!D7="","",13구역!D7)</f>
        <v/>
      </c>
      <c r="D84" s="66">
        <f>IF(13구역!E7="","",13구역!E7)</f>
        <v/>
      </c>
      <c r="E84" s="66">
        <f>IF(13구역!F7="","",13구역!F7)</f>
        <v/>
      </c>
      <c r="F84" s="66">
        <f>IF(13구역!G7="","",13구역!G7)</f>
        <v/>
      </c>
      <c r="G84" s="66">
        <f>IF(13구역!H7="","",13구역!H7)</f>
        <v/>
      </c>
      <c r="H84" s="66">
        <f>IF(13구역!I7="","",13구역!I7)</f>
        <v/>
      </c>
      <c r="I84" s="66">
        <f>IF(13구역!J7="","",13구역!J7)</f>
        <v/>
      </c>
      <c r="J84" s="66">
        <f>IF(13구역!K7="","",13구역!K7)</f>
        <v/>
      </c>
      <c r="K84" s="66">
        <f>IF(13구역!L7="","",13구역!L7)</f>
        <v/>
      </c>
      <c r="L84" s="66">
        <f>IF(13구역!M7="","",13구역!M7)</f>
        <v/>
      </c>
      <c r="M84" s="66">
        <f>IF(13구역!N7="","",13구역!N7)</f>
        <v/>
      </c>
    </row>
    <row r="85" ht="15" customHeight="1" s="33">
      <c r="A85" s="66">
        <f>IF(13구역!B8="","",13구역!B8)</f>
        <v/>
      </c>
      <c r="B85" s="66">
        <f>IF(13구역!C8="","",13구역!C8)</f>
        <v/>
      </c>
      <c r="C85" s="66">
        <f>IF(13구역!D8="","",13구역!D8)</f>
        <v/>
      </c>
      <c r="D85" s="66">
        <f>IF(13구역!E8="","",13구역!E8)</f>
        <v/>
      </c>
      <c r="E85" s="66">
        <f>IF(13구역!F8="","",13구역!F8)</f>
        <v/>
      </c>
      <c r="F85" s="66">
        <f>IF(13구역!G8="","",13구역!G8)</f>
        <v/>
      </c>
      <c r="G85" s="66">
        <f>IF(13구역!H8="","",13구역!H8)</f>
        <v/>
      </c>
      <c r="H85" s="66">
        <f>IF(13구역!I8="","",13구역!I8)</f>
        <v/>
      </c>
      <c r="I85" s="66">
        <f>IF(13구역!J8="","",13구역!J8)</f>
        <v/>
      </c>
      <c r="J85" s="66">
        <f>IF(13구역!K8="","",13구역!K8)</f>
        <v/>
      </c>
      <c r="K85" s="66">
        <f>IF(13구역!L8="","",13구역!L8)</f>
        <v/>
      </c>
      <c r="L85" s="66">
        <f>IF(13구역!M8="","",13구역!M8)</f>
        <v/>
      </c>
      <c r="M85" s="66">
        <f>IF(13구역!N8="","",13구역!N8)</f>
        <v/>
      </c>
    </row>
    <row r="86" ht="15" customHeight="1" s="33">
      <c r="A86" s="66">
        <f>IF(13구역!B9="","",13구역!B9)</f>
        <v/>
      </c>
      <c r="B86" s="66">
        <f>IF(13구역!C9="","",13구역!C9)</f>
        <v/>
      </c>
      <c r="C86" s="66">
        <f>IF(13구역!D9="","",13구역!D9)</f>
        <v/>
      </c>
      <c r="D86" s="66">
        <f>IF(13구역!E9="","",13구역!E9)</f>
        <v/>
      </c>
      <c r="E86" s="66">
        <f>IF(13구역!F9="","",13구역!F9)</f>
        <v/>
      </c>
      <c r="F86" s="66">
        <f>IF(13구역!G9="","",13구역!G9)</f>
        <v/>
      </c>
      <c r="G86" s="66">
        <f>IF(13구역!H9="","",13구역!H9)</f>
        <v/>
      </c>
      <c r="H86" s="66">
        <f>IF(13구역!I9="","",13구역!I9)</f>
        <v/>
      </c>
      <c r="I86" s="66">
        <f>IF(13구역!J9="","",13구역!J9)</f>
        <v/>
      </c>
      <c r="J86" s="66">
        <f>IF(13구역!K9="","",13구역!K9)</f>
        <v/>
      </c>
      <c r="K86" s="66">
        <f>IF(13구역!L9="","",13구역!L9)</f>
        <v/>
      </c>
      <c r="L86" s="66">
        <f>IF(13구역!M9="","",13구역!M9)</f>
        <v/>
      </c>
      <c r="M86" s="66">
        <f>IF(13구역!N9="","",13구역!N9)</f>
        <v/>
      </c>
    </row>
    <row r="87" ht="15" customHeight="1" s="33">
      <c r="A87" s="66">
        <f>IF(13구역!B10="","",13구역!B10)</f>
        <v/>
      </c>
      <c r="B87" s="66">
        <f>IF(13구역!C10="","",13구역!C10)</f>
        <v/>
      </c>
      <c r="C87" s="66">
        <f>IF(13구역!D10="","",13구역!D10)</f>
        <v/>
      </c>
      <c r="D87" s="66">
        <f>IF(13구역!E10="","",13구역!E10)</f>
        <v/>
      </c>
      <c r="E87" s="66">
        <f>IF(13구역!F10="","",13구역!F10)</f>
        <v/>
      </c>
      <c r="F87" s="66">
        <f>IF(13구역!G10="","",13구역!G10)</f>
        <v/>
      </c>
      <c r="G87" s="66">
        <f>IF(13구역!H10="","",13구역!H10)</f>
        <v/>
      </c>
      <c r="H87" s="66">
        <f>IF(13구역!I10="","",13구역!I10)</f>
        <v/>
      </c>
      <c r="I87" s="66">
        <f>IF(13구역!J10="","",13구역!J10)</f>
        <v/>
      </c>
      <c r="J87" s="66">
        <f>IF(13구역!K10="","",13구역!K10)</f>
        <v/>
      </c>
      <c r="K87" s="66">
        <f>IF(13구역!L10="","",13구역!L10)</f>
        <v/>
      </c>
      <c r="L87" s="66">
        <f>IF(13구역!M10="","",13구역!M10)</f>
        <v/>
      </c>
      <c r="M87" s="66">
        <f>IF(13구역!N10="","",13구역!N10)</f>
        <v/>
      </c>
    </row>
    <row r="88" ht="15" customHeight="1" s="33">
      <c r="A88" s="66">
        <f>IF(13구역!B11="","",13구역!B11)</f>
        <v/>
      </c>
      <c r="B88" s="66">
        <f>IF(13구역!C11="","",13구역!C11)</f>
        <v/>
      </c>
      <c r="C88" s="66">
        <f>IF(13구역!D11="","",13구역!D11)</f>
        <v/>
      </c>
      <c r="D88" s="66">
        <f>IF(13구역!E11="","",13구역!E11)</f>
        <v/>
      </c>
      <c r="E88" s="66">
        <f>IF(13구역!F11="","",13구역!F11)</f>
        <v/>
      </c>
      <c r="F88" s="66">
        <f>IF(13구역!G11="","",13구역!G11)</f>
        <v/>
      </c>
      <c r="G88" s="66">
        <f>IF(13구역!H11="","",13구역!H11)</f>
        <v/>
      </c>
      <c r="H88" s="66">
        <f>IF(13구역!I11="","",13구역!I11)</f>
        <v/>
      </c>
      <c r="I88" s="66">
        <f>IF(13구역!J11="","",13구역!J11)</f>
        <v/>
      </c>
      <c r="J88" s="66">
        <f>IF(13구역!K11="","",13구역!K11)</f>
        <v/>
      </c>
      <c r="K88" s="66">
        <f>IF(13구역!L11="","",13구역!L11)</f>
        <v/>
      </c>
      <c r="L88" s="66">
        <f>IF(13구역!M11="","",13구역!M11)</f>
        <v/>
      </c>
      <c r="M88" s="66">
        <f>IF(13구역!N11="","",13구역!N11)</f>
        <v/>
      </c>
    </row>
    <row r="89" ht="15" customHeight="1" s="33">
      <c r="A89" s="66">
        <f>IF(13구역!B12="","",13구역!B12)</f>
        <v/>
      </c>
      <c r="B89" s="66">
        <f>IF(13구역!C12="","",13구역!C12)</f>
        <v/>
      </c>
      <c r="C89" s="66">
        <f>IF(13구역!D12="","",13구역!D12)</f>
        <v/>
      </c>
      <c r="D89" s="66">
        <f>IF(13구역!E12="","",13구역!E12)</f>
        <v/>
      </c>
      <c r="E89" s="66">
        <f>IF(13구역!F12="","",13구역!F12)</f>
        <v/>
      </c>
      <c r="F89" s="66">
        <f>IF(13구역!G12="","",13구역!G12)</f>
        <v/>
      </c>
      <c r="G89" s="66">
        <f>IF(13구역!H12="","",13구역!H12)</f>
        <v/>
      </c>
      <c r="H89" s="66">
        <f>IF(13구역!I12="","",13구역!I12)</f>
        <v/>
      </c>
      <c r="I89" s="66">
        <f>IF(13구역!J12="","",13구역!J12)</f>
        <v/>
      </c>
      <c r="J89" s="66">
        <f>IF(13구역!K12="","",13구역!K12)</f>
        <v/>
      </c>
      <c r="K89" s="66">
        <f>IF(13구역!L12="","",13구역!L12)</f>
        <v/>
      </c>
      <c r="L89" s="66">
        <f>IF(13구역!M12="","",13구역!M12)</f>
        <v/>
      </c>
      <c r="M89" s="66">
        <f>IF(13구역!N12="","",13구역!N12)</f>
        <v/>
      </c>
    </row>
    <row r="90" ht="15" customHeight="1" s="33">
      <c r="A90" s="66">
        <f>IF(13구역!B13="","",13구역!B13)</f>
        <v/>
      </c>
      <c r="B90" s="66">
        <f>IF(13구역!C13="","",13구역!C13)</f>
        <v/>
      </c>
      <c r="C90" s="66">
        <f>IF(13구역!D13="","",13구역!D13)</f>
        <v/>
      </c>
      <c r="D90" s="66">
        <f>IF(13구역!E13="","",13구역!E13)</f>
        <v/>
      </c>
      <c r="E90" s="66">
        <f>IF(13구역!F13="","",13구역!F13)</f>
        <v/>
      </c>
      <c r="F90" s="66">
        <f>IF(13구역!G13="","",13구역!G13)</f>
        <v/>
      </c>
      <c r="G90" s="66">
        <f>IF(13구역!H13="","",13구역!H13)</f>
        <v/>
      </c>
      <c r="H90" s="66">
        <f>IF(13구역!I13="","",13구역!I13)</f>
        <v/>
      </c>
      <c r="I90" s="66">
        <f>IF(13구역!J13="","",13구역!J13)</f>
        <v/>
      </c>
      <c r="J90" s="66">
        <f>IF(13구역!K13="","",13구역!K13)</f>
        <v/>
      </c>
      <c r="K90" s="66">
        <f>IF(13구역!L13="","",13구역!L13)</f>
        <v/>
      </c>
      <c r="L90" s="66">
        <f>IF(13구역!M13="","",13구역!M13)</f>
        <v/>
      </c>
      <c r="M90" s="66">
        <f>IF(13구역!N13="","",13구역!N13)</f>
        <v/>
      </c>
    </row>
    <row r="91" ht="15" customHeight="1" s="33">
      <c r="A91" s="66">
        <f>IF(13구역!B14="","",13구역!B14)</f>
        <v/>
      </c>
      <c r="B91" s="66">
        <f>IF(13구역!C14="","",13구역!C14)</f>
        <v/>
      </c>
      <c r="C91" s="66">
        <f>IF(13구역!D14="","",13구역!D14)</f>
        <v/>
      </c>
      <c r="D91" s="66">
        <f>IF(13구역!E14="","",13구역!E14)</f>
        <v/>
      </c>
      <c r="E91" s="66">
        <f>IF(13구역!F14="","",13구역!F14)</f>
        <v/>
      </c>
      <c r="F91" s="66">
        <f>IF(13구역!G14="","",13구역!G14)</f>
        <v/>
      </c>
      <c r="G91" s="66">
        <f>IF(13구역!H14="","",13구역!H14)</f>
        <v/>
      </c>
      <c r="H91" s="66">
        <f>IF(13구역!I14="","",13구역!I14)</f>
        <v/>
      </c>
      <c r="I91" s="66">
        <f>IF(13구역!J14="","",13구역!J14)</f>
        <v/>
      </c>
      <c r="J91" s="66">
        <f>IF(13구역!K14="","",13구역!K14)</f>
        <v/>
      </c>
      <c r="K91" s="66">
        <f>IF(13구역!L14="","",13구역!L14)</f>
        <v/>
      </c>
      <c r="L91" s="66">
        <f>IF(13구역!M14="","",13구역!M14)</f>
        <v/>
      </c>
      <c r="M91" s="66">
        <f>IF(13구역!N14="","",13구역!N14)</f>
        <v/>
      </c>
    </row>
    <row r="92" ht="15" customHeight="1" s="33">
      <c r="A92" s="66">
        <f>IF(13구역!B15="","",13구역!B15)</f>
        <v/>
      </c>
      <c r="B92" s="66">
        <f>IF(13구역!C15="","",13구역!C15)</f>
        <v/>
      </c>
      <c r="C92" s="66">
        <f>IF(13구역!D15="","",13구역!D15)</f>
        <v/>
      </c>
      <c r="D92" s="66">
        <f>IF(13구역!E15="","",13구역!E15)</f>
        <v/>
      </c>
      <c r="E92" s="66">
        <f>IF(13구역!F15="","",13구역!F15)</f>
        <v/>
      </c>
      <c r="F92" s="66">
        <f>IF(13구역!G15="","",13구역!G15)</f>
        <v/>
      </c>
      <c r="G92" s="66">
        <f>IF(13구역!H15="","",13구역!H15)</f>
        <v/>
      </c>
      <c r="H92" s="66">
        <f>IF(13구역!I15="","",13구역!I15)</f>
        <v/>
      </c>
      <c r="I92" s="66">
        <f>IF(13구역!J15="","",13구역!J15)</f>
        <v/>
      </c>
      <c r="J92" s="66">
        <f>IF(13구역!K15="","",13구역!K15)</f>
        <v/>
      </c>
      <c r="K92" s="66">
        <f>IF(13구역!L15="","",13구역!L15)</f>
        <v/>
      </c>
      <c r="L92" s="66">
        <f>IF(13구역!M15="","",13구역!M15)</f>
        <v/>
      </c>
      <c r="M92" s="66">
        <f>IF(13구역!N15="","",13구역!N15)</f>
        <v/>
      </c>
    </row>
    <row r="93" ht="15" customHeight="1" s="33">
      <c r="A93" s="66">
        <f>IF(13구역!B16="","",13구역!B16)</f>
        <v/>
      </c>
      <c r="B93" s="66">
        <f>IF(13구역!C16="","",13구역!C16)</f>
        <v/>
      </c>
      <c r="C93" s="66">
        <f>IF(13구역!D16="","",13구역!D16)</f>
        <v/>
      </c>
      <c r="D93" s="66">
        <f>IF(13구역!E16="","",13구역!E16)</f>
        <v/>
      </c>
      <c r="E93" s="66">
        <f>IF(13구역!F16="","",13구역!F16)</f>
        <v/>
      </c>
      <c r="F93" s="66">
        <f>IF(13구역!G16="","",13구역!G16)</f>
        <v/>
      </c>
      <c r="G93" s="66">
        <f>IF(13구역!H16="","",13구역!H16)</f>
        <v/>
      </c>
      <c r="H93" s="66">
        <f>IF(13구역!I16="","",13구역!I16)</f>
        <v/>
      </c>
      <c r="I93" s="66">
        <f>IF(13구역!J16="","",13구역!J16)</f>
        <v/>
      </c>
      <c r="J93" s="66">
        <f>IF(13구역!K16="","",13구역!K16)</f>
        <v/>
      </c>
      <c r="K93" s="66">
        <f>IF(13구역!L16="","",13구역!L16)</f>
        <v/>
      </c>
      <c r="L93" s="66">
        <f>IF(13구역!M16="","",13구역!M16)</f>
        <v/>
      </c>
      <c r="M93" s="66">
        <f>IF(13구역!N16="","",13구역!N16)</f>
        <v/>
      </c>
    </row>
    <row r="94" ht="15" customHeight="1" s="33">
      <c r="A94" s="66">
        <f>IF(13구역!B17="","",13구역!B17)</f>
        <v/>
      </c>
      <c r="B94" s="66">
        <f>IF(13구역!C17="","",13구역!C17)</f>
        <v/>
      </c>
      <c r="C94" s="66">
        <f>IF(13구역!D17="","",13구역!D17)</f>
        <v/>
      </c>
      <c r="D94" s="66">
        <f>IF(13구역!E17="","",13구역!E17)</f>
        <v/>
      </c>
      <c r="E94" s="66">
        <f>IF(13구역!F17="","",13구역!F17)</f>
        <v/>
      </c>
      <c r="F94" s="66">
        <f>IF(13구역!G17="","",13구역!G17)</f>
        <v/>
      </c>
      <c r="G94" s="66">
        <f>IF(13구역!H17="","",13구역!H17)</f>
        <v/>
      </c>
      <c r="H94" s="66">
        <f>IF(13구역!I17="","",13구역!I17)</f>
        <v/>
      </c>
      <c r="I94" s="66">
        <f>IF(13구역!J17="","",13구역!J17)</f>
        <v/>
      </c>
      <c r="J94" s="66">
        <f>IF(13구역!K17="","",13구역!K17)</f>
        <v/>
      </c>
      <c r="K94" s="66">
        <f>IF(13구역!L17="","",13구역!L17)</f>
        <v/>
      </c>
      <c r="L94" s="66">
        <f>IF(13구역!M17="","",13구역!M17)</f>
        <v/>
      </c>
      <c r="M94" s="66">
        <f>IF(13구역!N17="","",13구역!N17)</f>
        <v/>
      </c>
    </row>
    <row r="95" ht="15" customHeight="1" s="33">
      <c r="A95" s="66">
        <f>IF(13구역!B18="","",13구역!B18)</f>
        <v/>
      </c>
      <c r="B95" s="66">
        <f>IF(13구역!C18="","",13구역!C18)</f>
        <v/>
      </c>
      <c r="C95" s="66">
        <f>IF(13구역!D18="","",13구역!D18)</f>
        <v/>
      </c>
      <c r="D95" s="66">
        <f>IF(13구역!E18="","",13구역!E18)</f>
        <v/>
      </c>
      <c r="E95" s="66">
        <f>IF(13구역!F18="","",13구역!F18)</f>
        <v/>
      </c>
      <c r="F95" s="66">
        <f>IF(13구역!G18="","",13구역!G18)</f>
        <v/>
      </c>
      <c r="G95" s="66">
        <f>IF(13구역!H18="","",13구역!H18)</f>
        <v/>
      </c>
      <c r="H95" s="66">
        <f>IF(13구역!I18="","",13구역!I18)</f>
        <v/>
      </c>
      <c r="I95" s="66">
        <f>IF(13구역!J18="","",13구역!J18)</f>
        <v/>
      </c>
      <c r="J95" s="66">
        <f>IF(13구역!K18="","",13구역!K18)</f>
        <v/>
      </c>
      <c r="K95" s="66">
        <f>IF(13구역!L18="","",13구역!L18)</f>
        <v/>
      </c>
      <c r="L95" s="66">
        <f>IF(13구역!M18="","",13구역!M18)</f>
        <v/>
      </c>
      <c r="M95" s="66">
        <f>IF(13구역!N18="","",13구역!N18)</f>
        <v/>
      </c>
    </row>
    <row r="96" ht="15" customHeight="1" s="33">
      <c r="A96" s="66">
        <f>IF(13구역!B19="","",13구역!B19)</f>
        <v/>
      </c>
      <c r="B96" s="66">
        <f>IF(13구역!C19="","",13구역!C19)</f>
        <v/>
      </c>
      <c r="C96" s="66">
        <f>IF(13구역!D19="","",13구역!D19)</f>
        <v/>
      </c>
      <c r="D96" s="66">
        <f>IF(13구역!E19="","",13구역!E19)</f>
        <v/>
      </c>
      <c r="E96" s="66">
        <f>IF(13구역!F19="","",13구역!F19)</f>
        <v/>
      </c>
      <c r="F96" s="66">
        <f>IF(13구역!G19="","",13구역!G19)</f>
        <v/>
      </c>
      <c r="G96" s="66">
        <f>IF(13구역!H19="","",13구역!H19)</f>
        <v/>
      </c>
      <c r="H96" s="66">
        <f>IF(13구역!I19="","",13구역!I19)</f>
        <v/>
      </c>
      <c r="I96" s="66">
        <f>IF(13구역!J19="","",13구역!J19)</f>
        <v/>
      </c>
      <c r="J96" s="66">
        <f>IF(13구역!K19="","",13구역!K19)</f>
        <v/>
      </c>
      <c r="K96" s="66">
        <f>IF(13구역!L19="","",13구역!L19)</f>
        <v/>
      </c>
      <c r="L96" s="66">
        <f>IF(13구역!M19="","",13구역!M19)</f>
        <v/>
      </c>
      <c r="M96" s="66">
        <f>IF(13구역!N19="","",13구역!N19)</f>
        <v/>
      </c>
    </row>
    <row r="97" ht="15" customHeight="1" s="33">
      <c r="A97" s="66">
        <f>IF(13구역!B20="","",13구역!B20)</f>
        <v/>
      </c>
      <c r="B97" s="66">
        <f>IF(13구역!C20="","",13구역!C20)</f>
        <v/>
      </c>
      <c r="C97" s="66">
        <f>IF(13구역!D20="","",13구역!D20)</f>
        <v/>
      </c>
      <c r="D97" s="66">
        <f>IF(13구역!E20="","",13구역!E20)</f>
        <v/>
      </c>
      <c r="E97" s="66">
        <f>IF(13구역!F20="","",13구역!F20)</f>
        <v/>
      </c>
      <c r="F97" s="66">
        <f>IF(13구역!G20="","",13구역!G20)</f>
        <v/>
      </c>
      <c r="G97" s="66">
        <f>IF(13구역!H20="","",13구역!H20)</f>
        <v/>
      </c>
      <c r="H97" s="66">
        <f>IF(13구역!I20="","",13구역!I20)</f>
        <v/>
      </c>
      <c r="I97" s="66">
        <f>IF(13구역!J20="","",13구역!J20)</f>
        <v/>
      </c>
      <c r="J97" s="66">
        <f>IF(13구역!K20="","",13구역!K20)</f>
        <v/>
      </c>
      <c r="K97" s="66">
        <f>IF(13구역!L20="","",13구역!L20)</f>
        <v/>
      </c>
      <c r="L97" s="66">
        <f>IF(13구역!M20="","",13구역!M20)</f>
        <v/>
      </c>
      <c r="M97" s="66">
        <f>IF(13구역!N20="","",13구역!N20)</f>
        <v/>
      </c>
    </row>
    <row r="98" ht="15" customHeight="1" s="33">
      <c r="A98" s="66">
        <f>IF(13구역!B21="","",13구역!B21)</f>
        <v/>
      </c>
      <c r="B98" s="66">
        <f>IF(13구역!C21="","",13구역!C21)</f>
        <v/>
      </c>
      <c r="C98" s="66">
        <f>IF(13구역!D21="","",13구역!D21)</f>
        <v/>
      </c>
      <c r="D98" s="66">
        <f>IF(13구역!E21="","",13구역!E21)</f>
        <v/>
      </c>
      <c r="E98" s="66">
        <f>IF(13구역!F21="","",13구역!F21)</f>
        <v/>
      </c>
      <c r="F98" s="66">
        <f>IF(13구역!G21="","",13구역!G21)</f>
        <v/>
      </c>
      <c r="G98" s="66">
        <f>IF(13구역!H21="","",13구역!H21)</f>
        <v/>
      </c>
      <c r="H98" s="66">
        <f>IF(13구역!I21="","",13구역!I21)</f>
        <v/>
      </c>
      <c r="I98" s="66">
        <f>IF(13구역!J21="","",13구역!J21)</f>
        <v/>
      </c>
      <c r="J98" s="66">
        <f>IF(13구역!K21="","",13구역!K21)</f>
        <v/>
      </c>
      <c r="K98" s="66">
        <f>IF(13구역!L21="","",13구역!L21)</f>
        <v/>
      </c>
      <c r="L98" s="66">
        <f>IF(13구역!M21="","",13구역!M21)</f>
        <v/>
      </c>
      <c r="M98" s="66">
        <f>IF(13구역!N21="","",13구역!N21)</f>
        <v/>
      </c>
    </row>
    <row r="99" ht="15" customHeight="1" s="33">
      <c r="A99" s="66">
        <f>IF(13구역!B22="","",13구역!B22)</f>
        <v/>
      </c>
      <c r="B99" s="66">
        <f>IF(13구역!C22="","",13구역!C22)</f>
        <v/>
      </c>
      <c r="C99" s="66">
        <f>IF(13구역!D22="","",13구역!D22)</f>
        <v/>
      </c>
      <c r="D99" s="66">
        <f>IF(13구역!E22="","",13구역!E22)</f>
        <v/>
      </c>
      <c r="E99" s="66">
        <f>IF(13구역!F22="","",13구역!F22)</f>
        <v/>
      </c>
      <c r="F99" s="66">
        <f>IF(13구역!G22="","",13구역!G22)</f>
        <v/>
      </c>
      <c r="G99" s="66">
        <f>IF(13구역!H22="","",13구역!H22)</f>
        <v/>
      </c>
      <c r="H99" s="66">
        <f>IF(13구역!I22="","",13구역!I22)</f>
        <v/>
      </c>
      <c r="I99" s="66">
        <f>IF(13구역!J22="","",13구역!J22)</f>
        <v/>
      </c>
      <c r="J99" s="66">
        <f>IF(13구역!K22="","",13구역!K22)</f>
        <v/>
      </c>
      <c r="K99" s="66">
        <f>IF(13구역!L22="","",13구역!L22)</f>
        <v/>
      </c>
      <c r="L99" s="66">
        <f>IF(13구역!M22="","",13구역!M22)</f>
        <v/>
      </c>
      <c r="M99" s="66">
        <f>IF(13구역!N22="","",13구역!N22)</f>
        <v/>
      </c>
    </row>
    <row r="100" ht="15" customHeight="1" s="33">
      <c r="A100" s="66">
        <f>IF(13구역!B23="","",13구역!B23)</f>
        <v/>
      </c>
      <c r="B100" s="66">
        <f>IF(13구역!C23="","",13구역!C23)</f>
        <v/>
      </c>
      <c r="C100" s="66">
        <f>IF(13구역!D23="","",13구역!D23)</f>
        <v/>
      </c>
      <c r="D100" s="66">
        <f>IF(13구역!E23="","",13구역!E23)</f>
        <v/>
      </c>
      <c r="E100" s="66">
        <f>IF(13구역!F23="","",13구역!F23)</f>
        <v/>
      </c>
      <c r="F100" s="66">
        <f>IF(13구역!G23="","",13구역!G23)</f>
        <v/>
      </c>
      <c r="G100" s="66">
        <f>IF(13구역!H23="","",13구역!H23)</f>
        <v/>
      </c>
      <c r="H100" s="66">
        <f>IF(13구역!I23="","",13구역!I23)</f>
        <v/>
      </c>
      <c r="I100" s="66">
        <f>IF(13구역!J23="","",13구역!J23)</f>
        <v/>
      </c>
      <c r="J100" s="66">
        <f>IF(13구역!K23="","",13구역!K23)</f>
        <v/>
      </c>
      <c r="K100" s="66">
        <f>IF(13구역!L23="","",13구역!L23)</f>
        <v/>
      </c>
      <c r="L100" s="66">
        <f>IF(13구역!M23="","",13구역!M23)</f>
        <v/>
      </c>
      <c r="M100" s="66">
        <f>IF(13구역!N23="","",13구역!N23)</f>
        <v/>
      </c>
    </row>
    <row r="101" ht="15" customHeight="1" s="33">
      <c r="A101" s="66">
        <f>IF(13구역!B24="","",13구역!B24)</f>
        <v/>
      </c>
      <c r="B101" s="66">
        <f>IF(13구역!C24="","",13구역!C24)</f>
        <v/>
      </c>
      <c r="C101" s="66">
        <f>IF(13구역!D24="","",13구역!D24)</f>
        <v/>
      </c>
      <c r="D101" s="66">
        <f>IF(13구역!E24="","",13구역!E24)</f>
        <v/>
      </c>
      <c r="E101" s="66">
        <f>IF(13구역!F24="","",13구역!F24)</f>
        <v/>
      </c>
      <c r="F101" s="66">
        <f>IF(13구역!G24="","",13구역!G24)</f>
        <v/>
      </c>
      <c r="G101" s="66">
        <f>IF(13구역!H24="","",13구역!H24)</f>
        <v/>
      </c>
      <c r="H101" s="66">
        <f>IF(13구역!I24="","",13구역!I24)</f>
        <v/>
      </c>
      <c r="I101" s="66">
        <f>IF(13구역!J24="","",13구역!J24)</f>
        <v/>
      </c>
      <c r="J101" s="66">
        <f>IF(13구역!K24="","",13구역!K24)</f>
        <v/>
      </c>
      <c r="K101" s="66">
        <f>IF(13구역!L24="","",13구역!L24)</f>
        <v/>
      </c>
      <c r="L101" s="66">
        <f>IF(13구역!M24="","",13구역!M24)</f>
        <v/>
      </c>
      <c r="M101" s="66">
        <f>IF(13구역!N24="","",13구역!N24)</f>
        <v/>
      </c>
    </row>
    <row r="102" ht="15" customHeight="1" s="33">
      <c r="A102" s="66">
        <f>IF(13구역!B25="","",13구역!B25)</f>
        <v/>
      </c>
      <c r="B102" s="66">
        <f>IF(13구역!C25="","",13구역!C25)</f>
        <v/>
      </c>
      <c r="C102" s="66">
        <f>IF(13구역!D25="","",13구역!D25)</f>
        <v/>
      </c>
      <c r="D102" s="66">
        <f>IF(13구역!E25="","",13구역!E25)</f>
        <v/>
      </c>
      <c r="E102" s="66">
        <f>IF(13구역!F25="","",13구역!F25)</f>
        <v/>
      </c>
      <c r="F102" s="66">
        <f>IF(13구역!G25="","",13구역!G25)</f>
        <v/>
      </c>
      <c r="G102" s="66">
        <f>IF(13구역!H25="","",13구역!H25)</f>
        <v/>
      </c>
      <c r="H102" s="66">
        <f>IF(13구역!I25="","",13구역!I25)</f>
        <v/>
      </c>
      <c r="I102" s="66">
        <f>IF(13구역!J25="","",13구역!J25)</f>
        <v/>
      </c>
      <c r="J102" s="66">
        <f>IF(13구역!K25="","",13구역!K25)</f>
        <v/>
      </c>
      <c r="K102" s="66">
        <f>IF(13구역!L25="","",13구역!L25)</f>
        <v/>
      </c>
      <c r="L102" s="66">
        <f>IF(13구역!M25="","",13구역!M25)</f>
        <v/>
      </c>
      <c r="M102" s="66">
        <f>IF(13구역!N25="","",13구역!N25)</f>
        <v/>
      </c>
    </row>
    <row r="103" ht="15" customHeight="1" s="33">
      <c r="A103" s="66">
        <f>IF(13구역!B26="","",13구역!B26)</f>
        <v/>
      </c>
      <c r="B103" s="66">
        <f>IF(13구역!C26="","",13구역!C26)</f>
        <v/>
      </c>
      <c r="C103" s="66">
        <f>IF(13구역!D26="","",13구역!D26)</f>
        <v/>
      </c>
      <c r="D103" s="66">
        <f>IF(13구역!E26="","",13구역!E26)</f>
        <v/>
      </c>
      <c r="E103" s="66">
        <f>IF(13구역!F26="","",13구역!F26)</f>
        <v/>
      </c>
      <c r="F103" s="66">
        <f>IF(13구역!G26="","",13구역!G26)</f>
        <v/>
      </c>
      <c r="G103" s="66">
        <f>IF(13구역!H26="","",13구역!H26)</f>
        <v/>
      </c>
      <c r="H103" s="66">
        <f>IF(13구역!I26="","",13구역!I26)</f>
        <v/>
      </c>
      <c r="I103" s="66">
        <f>IF(13구역!J26="","",13구역!J26)</f>
        <v/>
      </c>
      <c r="J103" s="66">
        <f>IF(13구역!K26="","",13구역!K26)</f>
        <v/>
      </c>
      <c r="K103" s="66">
        <f>IF(13구역!L26="","",13구역!L26)</f>
        <v/>
      </c>
      <c r="L103" s="66">
        <f>IF(13구역!M26="","",13구역!M26)</f>
        <v/>
      </c>
      <c r="M103" s="66">
        <f>IF(13구역!N26="","",13구역!N26)</f>
        <v/>
      </c>
    </row>
    <row r="104" ht="15" customHeight="1" s="33">
      <c r="A104" s="66">
        <f>IF(13구역!B27="","",13구역!B27)</f>
        <v/>
      </c>
      <c r="B104" s="66">
        <f>IF(13구역!C27="","",13구역!C27)</f>
        <v/>
      </c>
      <c r="C104" s="66">
        <f>IF(13구역!D27="","",13구역!D27)</f>
        <v/>
      </c>
      <c r="D104" s="66">
        <f>IF(13구역!E27="","",13구역!E27)</f>
        <v/>
      </c>
      <c r="E104" s="66">
        <f>IF(13구역!F27="","",13구역!F27)</f>
        <v/>
      </c>
      <c r="F104" s="66">
        <f>IF(13구역!G27="","",13구역!G27)</f>
        <v/>
      </c>
      <c r="G104" s="66">
        <f>IF(13구역!H27="","",13구역!H27)</f>
        <v/>
      </c>
      <c r="H104" s="66">
        <f>IF(13구역!I27="","",13구역!I27)</f>
        <v/>
      </c>
      <c r="I104" s="66">
        <f>IF(13구역!J27="","",13구역!J27)</f>
        <v/>
      </c>
      <c r="J104" s="66">
        <f>IF(13구역!K27="","",13구역!K27)</f>
        <v/>
      </c>
      <c r="K104" s="66">
        <f>IF(13구역!L27="","",13구역!L27)</f>
        <v/>
      </c>
      <c r="L104" s="66">
        <f>IF(13구역!M27="","",13구역!M27)</f>
        <v/>
      </c>
      <c r="M104" s="66">
        <f>IF(13구역!N27="","",13구역!N27)</f>
        <v/>
      </c>
    </row>
    <row r="105" ht="15" customHeight="1" s="33">
      <c r="A105" s="66">
        <f>IF(13구역!B28="","",13구역!B28)</f>
        <v/>
      </c>
      <c r="B105" s="66">
        <f>IF(13구역!C28="","",13구역!C28)</f>
        <v/>
      </c>
      <c r="C105" s="66">
        <f>IF(13구역!D28="","",13구역!D28)</f>
        <v/>
      </c>
      <c r="D105" s="66">
        <f>IF(13구역!E28="","",13구역!E28)</f>
        <v/>
      </c>
      <c r="E105" s="66">
        <f>IF(13구역!F28="","",13구역!F28)</f>
        <v/>
      </c>
      <c r="F105" s="66">
        <f>IF(13구역!G28="","",13구역!G28)</f>
        <v/>
      </c>
      <c r="G105" s="66">
        <f>IF(13구역!H28="","",13구역!H28)</f>
        <v/>
      </c>
      <c r="H105" s="66">
        <f>IF(13구역!I28="","",13구역!I28)</f>
        <v/>
      </c>
      <c r="I105" s="66">
        <f>IF(13구역!J28="","",13구역!J28)</f>
        <v/>
      </c>
      <c r="J105" s="66">
        <f>IF(13구역!K28="","",13구역!K28)</f>
        <v/>
      </c>
      <c r="K105" s="66">
        <f>IF(13구역!L28="","",13구역!L28)</f>
        <v/>
      </c>
      <c r="L105" s="66">
        <f>IF(13구역!M28="","",13구역!M28)</f>
        <v/>
      </c>
      <c r="M105" s="66">
        <f>IF(13구역!N28="","",13구역!N28)</f>
        <v/>
      </c>
    </row>
    <row r="106" ht="15" customHeight="1" s="33">
      <c r="A106" s="66">
        <f>IF(13구역!B29="","",13구역!B29)</f>
        <v/>
      </c>
      <c r="B106" s="66">
        <f>IF(13구역!C29="","",13구역!C29)</f>
        <v/>
      </c>
      <c r="C106" s="66">
        <f>IF(13구역!D29="","",13구역!D29)</f>
        <v/>
      </c>
      <c r="D106" s="66">
        <f>IF(13구역!E29="","",13구역!E29)</f>
        <v/>
      </c>
      <c r="E106" s="66">
        <f>IF(13구역!F29="","",13구역!F29)</f>
        <v/>
      </c>
      <c r="F106" s="66">
        <f>IF(13구역!G29="","",13구역!G29)</f>
        <v/>
      </c>
      <c r="G106" s="66">
        <f>IF(13구역!H29="","",13구역!H29)</f>
        <v/>
      </c>
      <c r="H106" s="66">
        <f>IF(13구역!I29="","",13구역!I29)</f>
        <v/>
      </c>
      <c r="I106" s="66">
        <f>IF(13구역!J29="","",13구역!J29)</f>
        <v/>
      </c>
      <c r="J106" s="66">
        <f>IF(13구역!K29="","",13구역!K29)</f>
        <v/>
      </c>
      <c r="K106" s="66">
        <f>IF(13구역!L29="","",13구역!L29)</f>
        <v/>
      </c>
      <c r="L106" s="66">
        <f>IF(13구역!M29="","",13구역!M29)</f>
        <v/>
      </c>
      <c r="M106" s="66">
        <f>IF(13구역!N29="","",13구역!N29)</f>
        <v/>
      </c>
    </row>
    <row r="107" ht="15" customHeight="1" s="33">
      <c r="A107" s="66">
        <f>IF(13구역!B30="","",13구역!B30)</f>
        <v/>
      </c>
      <c r="B107" s="66">
        <f>IF(13구역!C30="","",13구역!C30)</f>
        <v/>
      </c>
      <c r="C107" s="66">
        <f>IF(13구역!D30="","",13구역!D30)</f>
        <v/>
      </c>
      <c r="D107" s="66">
        <f>IF(13구역!E30="","",13구역!E30)</f>
        <v/>
      </c>
      <c r="E107" s="66">
        <f>IF(13구역!F30="","",13구역!F30)</f>
        <v/>
      </c>
      <c r="F107" s="66">
        <f>IF(13구역!G30="","",13구역!G30)</f>
        <v/>
      </c>
      <c r="G107" s="66">
        <f>IF(13구역!H30="","",13구역!H30)</f>
        <v/>
      </c>
      <c r="H107" s="66">
        <f>IF(13구역!I30="","",13구역!I30)</f>
        <v/>
      </c>
      <c r="I107" s="66">
        <f>IF(13구역!J30="","",13구역!J30)</f>
        <v/>
      </c>
      <c r="J107" s="66">
        <f>IF(13구역!K30="","",13구역!K30)</f>
        <v/>
      </c>
      <c r="K107" s="66">
        <f>IF(13구역!L30="","",13구역!L30)</f>
        <v/>
      </c>
      <c r="L107" s="66">
        <f>IF(13구역!M30="","",13구역!M30)</f>
        <v/>
      </c>
      <c r="M107" s="66">
        <f>IF(13구역!N30="","",13구역!N30)</f>
        <v/>
      </c>
    </row>
    <row r="108" ht="15" customHeight="1" s="33">
      <c r="A108" s="66">
        <f>IF(13구역!B31="","",13구역!B31)</f>
        <v/>
      </c>
      <c r="B108" s="66">
        <f>IF(13구역!C31="","",13구역!C31)</f>
        <v/>
      </c>
      <c r="C108" s="66">
        <f>IF(13구역!D31="","",13구역!D31)</f>
        <v/>
      </c>
      <c r="D108" s="66">
        <f>IF(13구역!E31="","",13구역!E31)</f>
        <v/>
      </c>
      <c r="E108" s="66">
        <f>IF(13구역!F31="","",13구역!F31)</f>
        <v/>
      </c>
      <c r="F108" s="66">
        <f>IF(13구역!G31="","",13구역!G31)</f>
        <v/>
      </c>
      <c r="G108" s="66">
        <f>IF(13구역!H31="","",13구역!H31)</f>
        <v/>
      </c>
      <c r="H108" s="66">
        <f>IF(13구역!I31="","",13구역!I31)</f>
        <v/>
      </c>
      <c r="I108" s="66">
        <f>IF(13구역!J31="","",13구역!J31)</f>
        <v/>
      </c>
      <c r="J108" s="66">
        <f>IF(13구역!K31="","",13구역!K31)</f>
        <v/>
      </c>
      <c r="K108" s="66">
        <f>IF(13구역!L31="","",13구역!L31)</f>
        <v/>
      </c>
      <c r="L108" s="66">
        <f>IF(13구역!M31="","",13구역!M31)</f>
        <v/>
      </c>
      <c r="M108" s="66">
        <f>IF(13구역!N31="","",13구역!N31)</f>
        <v/>
      </c>
    </row>
    <row r="109" ht="15" customHeight="1" s="33">
      <c r="A109" s="66">
        <f>IF(13구역!B32="","",13구역!B32)</f>
        <v/>
      </c>
      <c r="B109" s="66">
        <f>IF(13구역!C32="","",13구역!C32)</f>
        <v/>
      </c>
      <c r="C109" s="66">
        <f>IF(13구역!D32="","",13구역!D32)</f>
        <v/>
      </c>
      <c r="D109" s="66">
        <f>IF(13구역!E32="","",13구역!E32)</f>
        <v/>
      </c>
      <c r="E109" s="66">
        <f>IF(13구역!F32="","",13구역!F32)</f>
        <v/>
      </c>
      <c r="F109" s="66">
        <f>IF(13구역!G32="","",13구역!G32)</f>
        <v/>
      </c>
      <c r="G109" s="66">
        <f>IF(13구역!H32="","",13구역!H32)</f>
        <v/>
      </c>
      <c r="H109" s="66">
        <f>IF(13구역!I32="","",13구역!I32)</f>
        <v/>
      </c>
      <c r="I109" s="66">
        <f>IF(13구역!J32="","",13구역!J32)</f>
        <v/>
      </c>
      <c r="J109" s="66">
        <f>IF(13구역!K32="","",13구역!K32)</f>
        <v/>
      </c>
      <c r="K109" s="66">
        <f>IF(13구역!L32="","",13구역!L32)</f>
        <v/>
      </c>
      <c r="L109" s="66">
        <f>IF(13구역!M32="","",13구역!M32)</f>
        <v/>
      </c>
      <c r="M109" s="66">
        <f>IF(13구역!N32="","",13구역!N32)</f>
        <v/>
      </c>
    </row>
    <row r="110" ht="15" customHeight="1" s="33">
      <c r="A110" s="66">
        <f>IF(13구역!B33="","",13구역!B33)</f>
        <v/>
      </c>
      <c r="B110" s="66">
        <f>IF(13구역!C33="","",13구역!C33)</f>
        <v/>
      </c>
      <c r="C110" s="66">
        <f>IF(13구역!D33="","",13구역!D33)</f>
        <v/>
      </c>
      <c r="D110" s="66">
        <f>IF(13구역!E33="","",13구역!E33)</f>
        <v/>
      </c>
      <c r="E110" s="66">
        <f>IF(13구역!F33="","",13구역!F33)</f>
        <v/>
      </c>
      <c r="F110" s="66">
        <f>IF(13구역!G33="","",13구역!G33)</f>
        <v/>
      </c>
      <c r="G110" s="66">
        <f>IF(13구역!H33="","",13구역!H33)</f>
        <v/>
      </c>
      <c r="H110" s="66">
        <f>IF(13구역!I33="","",13구역!I33)</f>
        <v/>
      </c>
      <c r="I110" s="66">
        <f>IF(13구역!J33="","",13구역!J33)</f>
        <v/>
      </c>
      <c r="J110" s="66">
        <f>IF(13구역!K33="","",13구역!K33)</f>
        <v/>
      </c>
      <c r="K110" s="66">
        <f>IF(13구역!L33="","",13구역!L33)</f>
        <v/>
      </c>
      <c r="L110" s="66">
        <f>IF(13구역!M33="","",13구역!M33)</f>
        <v/>
      </c>
      <c r="M110" s="66">
        <f>IF(13구역!N33="","",13구역!N33)</f>
        <v/>
      </c>
    </row>
    <row r="111" ht="15" customHeight="1" s="33">
      <c r="A111" s="66">
        <f>IF(13구역!B34="","",13구역!B34)</f>
        <v/>
      </c>
      <c r="B111" s="66">
        <f>IF(13구역!C34="","",13구역!C34)</f>
        <v/>
      </c>
      <c r="C111" s="66">
        <f>IF(13구역!D34="","",13구역!D34)</f>
        <v/>
      </c>
      <c r="D111" s="66">
        <f>IF(13구역!E34="","",13구역!E34)</f>
        <v/>
      </c>
      <c r="E111" s="66">
        <f>IF(13구역!F34="","",13구역!F34)</f>
        <v/>
      </c>
      <c r="F111" s="66">
        <f>IF(13구역!G34="","",13구역!G34)</f>
        <v/>
      </c>
      <c r="G111" s="66">
        <f>IF(13구역!H34="","",13구역!H34)</f>
        <v/>
      </c>
      <c r="H111" s="66">
        <f>IF(13구역!I34="","",13구역!I34)</f>
        <v/>
      </c>
      <c r="I111" s="66">
        <f>IF(13구역!J34="","",13구역!J34)</f>
        <v/>
      </c>
      <c r="J111" s="66">
        <f>IF(13구역!K34="","",13구역!K34)</f>
        <v/>
      </c>
      <c r="K111" s="66">
        <f>IF(13구역!L34="","",13구역!L34)</f>
        <v/>
      </c>
      <c r="L111" s="66">
        <f>IF(13구역!M34="","",13구역!M34)</f>
        <v/>
      </c>
      <c r="M111" s="66">
        <f>IF(13구역!N34="","",13구역!N34)</f>
        <v/>
      </c>
    </row>
    <row r="112" ht="15" customHeight="1" s="33">
      <c r="A112" s="66">
        <f>IF(13구역!B35="","",13구역!B35)</f>
        <v/>
      </c>
      <c r="B112" s="66">
        <f>IF(13구역!C35="","",13구역!C35)</f>
        <v/>
      </c>
      <c r="C112" s="66">
        <f>IF(13구역!D35="","",13구역!D35)</f>
        <v/>
      </c>
      <c r="D112" s="66">
        <f>IF(13구역!E35="","",13구역!E35)</f>
        <v/>
      </c>
      <c r="E112" s="66">
        <f>IF(13구역!F35="","",13구역!F35)</f>
        <v/>
      </c>
      <c r="F112" s="66">
        <f>IF(13구역!G35="","",13구역!G35)</f>
        <v/>
      </c>
      <c r="G112" s="66">
        <f>IF(13구역!H35="","",13구역!H35)</f>
        <v/>
      </c>
      <c r="H112" s="66">
        <f>IF(13구역!I35="","",13구역!I35)</f>
        <v/>
      </c>
      <c r="I112" s="66">
        <f>IF(13구역!J35="","",13구역!J35)</f>
        <v/>
      </c>
      <c r="J112" s="66">
        <f>IF(13구역!K35="","",13구역!K35)</f>
        <v/>
      </c>
      <c r="K112" s="66">
        <f>IF(13구역!L35="","",13구역!L35)</f>
        <v/>
      </c>
      <c r="L112" s="66">
        <f>IF(13구역!M35="","",13구역!M35)</f>
        <v/>
      </c>
      <c r="M112" s="66">
        <f>IF(13구역!N35="","",13구역!N35)</f>
        <v/>
      </c>
    </row>
    <row r="113" ht="15" customHeight="1" s="33">
      <c r="A113" s="66">
        <f>IF(13구역!B36="","",13구역!B36)</f>
        <v/>
      </c>
      <c r="B113" s="66">
        <f>IF(13구역!C36="","",13구역!C36)</f>
        <v/>
      </c>
      <c r="C113" s="66">
        <f>IF(13구역!D36="","",13구역!D36)</f>
        <v/>
      </c>
      <c r="D113" s="66">
        <f>IF(13구역!E36="","",13구역!E36)</f>
        <v/>
      </c>
      <c r="E113" s="66">
        <f>IF(13구역!F36="","",13구역!F36)</f>
        <v/>
      </c>
      <c r="F113" s="66">
        <f>IF(13구역!G36="","",13구역!G36)</f>
        <v/>
      </c>
      <c r="G113" s="66">
        <f>IF(13구역!H36="","",13구역!H36)</f>
        <v/>
      </c>
      <c r="H113" s="66">
        <f>IF(13구역!I36="","",13구역!I36)</f>
        <v/>
      </c>
      <c r="I113" s="66">
        <f>IF(13구역!J36="","",13구역!J36)</f>
        <v/>
      </c>
      <c r="J113" s="66">
        <f>IF(13구역!K36="","",13구역!K36)</f>
        <v/>
      </c>
      <c r="K113" s="66">
        <f>IF(13구역!L36="","",13구역!L36)</f>
        <v/>
      </c>
      <c r="L113" s="66">
        <f>IF(13구역!M36="","",13구역!M36)</f>
        <v/>
      </c>
      <c r="M113" s="66">
        <f>IF(13구역!N36="","",13구역!N36)</f>
        <v/>
      </c>
    </row>
    <row r="114" ht="15" customHeight="1" s="33">
      <c r="A114" s="66">
        <f>IF(13구역!B37="","",13구역!B37)</f>
        <v/>
      </c>
      <c r="B114" s="66">
        <f>IF(13구역!C37="","",13구역!C37)</f>
        <v/>
      </c>
      <c r="C114" s="66">
        <f>IF(13구역!D37="","",13구역!D37)</f>
        <v/>
      </c>
      <c r="D114" s="66">
        <f>IF(13구역!E37="","",13구역!E37)</f>
        <v/>
      </c>
      <c r="E114" s="66">
        <f>IF(13구역!F37="","",13구역!F37)</f>
        <v/>
      </c>
      <c r="F114" s="66">
        <f>IF(13구역!G37="","",13구역!G37)</f>
        <v/>
      </c>
      <c r="G114" s="66">
        <f>IF(13구역!H37="","",13구역!H37)</f>
        <v/>
      </c>
      <c r="H114" s="66">
        <f>IF(13구역!I37="","",13구역!I37)</f>
        <v/>
      </c>
      <c r="I114" s="66">
        <f>IF(13구역!J37="","",13구역!J37)</f>
        <v/>
      </c>
      <c r="J114" s="66">
        <f>IF(13구역!K37="","",13구역!K37)</f>
        <v/>
      </c>
      <c r="K114" s="66">
        <f>IF(13구역!L37="","",13구역!L37)</f>
        <v/>
      </c>
      <c r="L114" s="66">
        <f>IF(13구역!M37="","",13구역!M37)</f>
        <v/>
      </c>
      <c r="M114" s="66">
        <f>IF(13구역!N37="","",13구역!N37)</f>
        <v/>
      </c>
    </row>
    <row r="115" ht="15" customHeight="1" s="33">
      <c r="A115" s="66">
        <f>IF(13구역!B38="","",13구역!B38)</f>
        <v/>
      </c>
      <c r="B115" s="66">
        <f>IF(13구역!C38="","",13구역!C38)</f>
        <v/>
      </c>
      <c r="C115" s="66">
        <f>IF(13구역!D38="","",13구역!D38)</f>
        <v/>
      </c>
      <c r="D115" s="66">
        <f>IF(13구역!E38="","",13구역!E38)</f>
        <v/>
      </c>
      <c r="E115" s="66">
        <f>IF(13구역!F38="","",13구역!F38)</f>
        <v/>
      </c>
      <c r="F115" s="66">
        <f>IF(13구역!G38="","",13구역!G38)</f>
        <v/>
      </c>
      <c r="G115" s="66">
        <f>IF(13구역!H38="","",13구역!H38)</f>
        <v/>
      </c>
      <c r="H115" s="66">
        <f>IF(13구역!I38="","",13구역!I38)</f>
        <v/>
      </c>
      <c r="I115" s="66">
        <f>IF(13구역!J38="","",13구역!J38)</f>
        <v/>
      </c>
      <c r="J115" s="66">
        <f>IF(13구역!K38="","",13구역!K38)</f>
        <v/>
      </c>
      <c r="K115" s="66">
        <f>IF(13구역!L38="","",13구역!L38)</f>
        <v/>
      </c>
      <c r="L115" s="66">
        <f>IF(13구역!M38="","",13구역!M38)</f>
        <v/>
      </c>
      <c r="M115" s="66">
        <f>IF(13구역!N38="","",13구역!N38)</f>
        <v/>
      </c>
    </row>
    <row r="116" ht="15" customHeight="1" s="33">
      <c r="A116" s="66">
        <f>IF(13구역!B39="","",13구역!B39)</f>
        <v/>
      </c>
      <c r="B116" s="66">
        <f>IF(13구역!C39="","",13구역!C39)</f>
        <v/>
      </c>
      <c r="C116" s="66">
        <f>IF(13구역!D39="","",13구역!D39)</f>
        <v/>
      </c>
      <c r="D116" s="66">
        <f>IF(13구역!E39="","",13구역!E39)</f>
        <v/>
      </c>
      <c r="E116" s="66">
        <f>IF(13구역!F39="","",13구역!F39)</f>
        <v/>
      </c>
      <c r="F116" s="66">
        <f>IF(13구역!G39="","",13구역!G39)</f>
        <v/>
      </c>
      <c r="G116" s="66">
        <f>IF(13구역!H39="","",13구역!H39)</f>
        <v/>
      </c>
      <c r="H116" s="66">
        <f>IF(13구역!I39="","",13구역!I39)</f>
        <v/>
      </c>
      <c r="I116" s="66">
        <f>IF(13구역!J39="","",13구역!J39)</f>
        <v/>
      </c>
      <c r="J116" s="66">
        <f>IF(13구역!K39="","",13구역!K39)</f>
        <v/>
      </c>
      <c r="K116" s="66">
        <f>IF(13구역!L39="","",13구역!L39)</f>
        <v/>
      </c>
      <c r="L116" s="66">
        <f>IF(13구역!M39="","",13구역!M39)</f>
        <v/>
      </c>
      <c r="M116" s="66">
        <f>IF(13구역!N39="","",13구역!N39)</f>
        <v/>
      </c>
    </row>
    <row r="117" ht="15" customHeight="1" s="33">
      <c r="A117" s="66">
        <f>IF(13구역!B40="","",13구역!B40)</f>
        <v/>
      </c>
      <c r="B117" s="66">
        <f>IF(13구역!C40="","",13구역!C40)</f>
        <v/>
      </c>
      <c r="C117" s="66">
        <f>IF(13구역!D40="","",13구역!D40)</f>
        <v/>
      </c>
      <c r="D117" s="66">
        <f>IF(13구역!E40="","",13구역!E40)</f>
        <v/>
      </c>
      <c r="E117" s="66">
        <f>IF(13구역!F40="","",13구역!F40)</f>
        <v/>
      </c>
      <c r="F117" s="66">
        <f>IF(13구역!G40="","",13구역!G40)</f>
        <v/>
      </c>
      <c r="G117" s="66">
        <f>IF(13구역!H40="","",13구역!H40)</f>
        <v/>
      </c>
      <c r="H117" s="66">
        <f>IF(13구역!I40="","",13구역!I40)</f>
        <v/>
      </c>
      <c r="I117" s="66">
        <f>IF(13구역!J40="","",13구역!J40)</f>
        <v/>
      </c>
      <c r="J117" s="66">
        <f>IF(13구역!K40="","",13구역!K40)</f>
        <v/>
      </c>
      <c r="K117" s="66">
        <f>IF(13구역!L40="","",13구역!L40)</f>
        <v/>
      </c>
      <c r="L117" s="66">
        <f>IF(13구역!M40="","",13구역!M40)</f>
        <v/>
      </c>
      <c r="M117" s="66">
        <f>IF(13구역!N40="","",13구역!N40)</f>
        <v/>
      </c>
    </row>
    <row r="118" ht="15" customHeight="1" s="33">
      <c r="A118" s="66">
        <f>IF(13구역!B41="","",13구역!B41)</f>
        <v/>
      </c>
      <c r="B118" s="66">
        <f>IF(13구역!C41="","",13구역!C41)</f>
        <v/>
      </c>
      <c r="C118" s="66">
        <f>IF(13구역!D41="","",13구역!D41)</f>
        <v/>
      </c>
      <c r="D118" s="66">
        <f>IF(13구역!E41="","",13구역!E41)</f>
        <v/>
      </c>
      <c r="E118" s="66">
        <f>IF(13구역!F41="","",13구역!F41)</f>
        <v/>
      </c>
      <c r="F118" s="66">
        <f>IF(13구역!G41="","",13구역!G41)</f>
        <v/>
      </c>
      <c r="G118" s="66">
        <f>IF(13구역!H41="","",13구역!H41)</f>
        <v/>
      </c>
      <c r="H118" s="66">
        <f>IF(13구역!I41="","",13구역!I41)</f>
        <v/>
      </c>
      <c r="I118" s="66">
        <f>IF(13구역!J41="","",13구역!J41)</f>
        <v/>
      </c>
      <c r="J118" s="66">
        <f>IF(13구역!K41="","",13구역!K41)</f>
        <v/>
      </c>
      <c r="K118" s="66">
        <f>IF(13구역!L41="","",13구역!L41)</f>
        <v/>
      </c>
      <c r="L118" s="66">
        <f>IF(13구역!M41="","",13구역!M41)</f>
        <v/>
      </c>
      <c r="M118" s="66">
        <f>IF(13구역!N41="","",13구역!N41)</f>
        <v/>
      </c>
    </row>
    <row r="119" ht="15" customHeight="1" s="33">
      <c r="A119" s="66">
        <f>IF(13구역!B42="","",13구역!B42)</f>
        <v/>
      </c>
      <c r="B119" s="66">
        <f>IF(13구역!C42="","",13구역!C42)</f>
        <v/>
      </c>
      <c r="C119" s="66">
        <f>IF(13구역!D42="","",13구역!D42)</f>
        <v/>
      </c>
      <c r="D119" s="66">
        <f>IF(13구역!E42="","",13구역!E42)</f>
        <v/>
      </c>
      <c r="E119" s="66">
        <f>IF(13구역!F42="","",13구역!F42)</f>
        <v/>
      </c>
      <c r="F119" s="66">
        <f>IF(13구역!G42="","",13구역!G42)</f>
        <v/>
      </c>
      <c r="G119" s="66">
        <f>IF(13구역!H42="","",13구역!H42)</f>
        <v/>
      </c>
      <c r="H119" s="66">
        <f>IF(13구역!I42="","",13구역!I42)</f>
        <v/>
      </c>
      <c r="I119" s="66">
        <f>IF(13구역!J42="","",13구역!J42)</f>
        <v/>
      </c>
      <c r="J119" s="66">
        <f>IF(13구역!K42="","",13구역!K42)</f>
        <v/>
      </c>
      <c r="K119" s="66">
        <f>IF(13구역!L42="","",13구역!L42)</f>
        <v/>
      </c>
      <c r="L119" s="66">
        <f>IF(13구역!M42="","",13구역!M42)</f>
        <v/>
      </c>
      <c r="M119" s="66">
        <f>IF(13구역!N42="","",13구역!N42)</f>
        <v/>
      </c>
    </row>
    <row r="120" ht="15" customHeight="1" s="33">
      <c r="A120" s="66">
        <f>IF(13구역!B43="","",13구역!B43)</f>
        <v/>
      </c>
      <c r="B120" s="66">
        <f>IF(13구역!C43="","",13구역!C43)</f>
        <v/>
      </c>
      <c r="C120" s="66">
        <f>IF(13구역!D43="","",13구역!D43)</f>
        <v/>
      </c>
      <c r="D120" s="66">
        <f>IF(13구역!E43="","",13구역!E43)</f>
        <v/>
      </c>
      <c r="E120" s="66">
        <f>IF(13구역!F43="","",13구역!F43)</f>
        <v/>
      </c>
      <c r="F120" s="66">
        <f>IF(13구역!G43="","",13구역!G43)</f>
        <v/>
      </c>
      <c r="G120" s="66">
        <f>IF(13구역!H43="","",13구역!H43)</f>
        <v/>
      </c>
      <c r="H120" s="66">
        <f>IF(13구역!I43="","",13구역!I43)</f>
        <v/>
      </c>
      <c r="I120" s="66">
        <f>IF(13구역!J43="","",13구역!J43)</f>
        <v/>
      </c>
      <c r="J120" s="66">
        <f>IF(13구역!K43="","",13구역!K43)</f>
        <v/>
      </c>
      <c r="K120" s="66">
        <f>IF(13구역!L43="","",13구역!L43)</f>
        <v/>
      </c>
      <c r="L120" s="66">
        <f>IF(13구역!M43="","",13구역!M43)</f>
        <v/>
      </c>
      <c r="M120" s="66">
        <f>IF(13구역!N43="","",13구역!N43)</f>
        <v/>
      </c>
    </row>
    <row r="121" ht="15" customHeight="1" s="33">
      <c r="A121" s="66">
        <f>IF(14구역!B4="","",14구역!B4)</f>
        <v/>
      </c>
      <c r="B121" s="66">
        <f>IF(14구역!C4="","",14구역!C4)</f>
        <v/>
      </c>
      <c r="C121" s="66">
        <f>IF(14구역!D4="","",14구역!D4)</f>
        <v/>
      </c>
      <c r="D121" s="66">
        <f>IF(14구역!E4="","",14구역!E4)</f>
        <v/>
      </c>
      <c r="E121" s="66">
        <f>IF(14구역!F4="","",14구역!F4)</f>
        <v/>
      </c>
      <c r="F121" s="66">
        <f>IF(14구역!G4="","",14구역!G4)</f>
        <v/>
      </c>
      <c r="G121" s="66">
        <f>IF(14구역!H4="","",14구역!H4)</f>
        <v/>
      </c>
      <c r="H121" s="66">
        <f>IF(14구역!I4="","",14구역!I4)</f>
        <v/>
      </c>
      <c r="I121" s="66">
        <f>IF(14구역!J4="","",14구역!J4)</f>
        <v/>
      </c>
      <c r="J121" s="66">
        <f>IF(14구역!K4="","",14구역!K4)</f>
        <v/>
      </c>
      <c r="K121" s="66">
        <f>IF(14구역!L4="","",14구역!L4)</f>
        <v/>
      </c>
      <c r="L121" s="66">
        <f>IF(14구역!M4="","",14구역!M4)</f>
        <v/>
      </c>
      <c r="M121" s="66">
        <f>IF(14구역!N4="","",14구역!N4)</f>
        <v/>
      </c>
    </row>
    <row r="122" ht="15" customHeight="1" s="33">
      <c r="A122" s="66">
        <f>IF(14구역!B5="","",14구역!B5)</f>
        <v/>
      </c>
      <c r="B122" s="66">
        <f>IF(14구역!C5="","",14구역!C5)</f>
        <v/>
      </c>
      <c r="C122" s="66">
        <f>IF(14구역!D5="","",14구역!D5)</f>
        <v/>
      </c>
      <c r="D122" s="66">
        <f>IF(14구역!E5="","",14구역!E5)</f>
        <v/>
      </c>
      <c r="E122" s="66">
        <f>IF(14구역!F5="","",14구역!F5)</f>
        <v/>
      </c>
      <c r="F122" s="66">
        <f>IF(14구역!G5="","",14구역!G5)</f>
        <v/>
      </c>
      <c r="G122" s="66">
        <f>IF(14구역!H5="","",14구역!H5)</f>
        <v/>
      </c>
      <c r="H122" s="66">
        <f>IF(14구역!I5="","",14구역!I5)</f>
        <v/>
      </c>
      <c r="I122" s="66">
        <f>IF(14구역!J5="","",14구역!J5)</f>
        <v/>
      </c>
      <c r="J122" s="66">
        <f>IF(14구역!K5="","",14구역!K5)</f>
        <v/>
      </c>
      <c r="K122" s="66">
        <f>IF(14구역!L5="","",14구역!L5)</f>
        <v/>
      </c>
      <c r="L122" s="66">
        <f>IF(14구역!M5="","",14구역!M5)</f>
        <v/>
      </c>
      <c r="M122" s="66">
        <f>IF(14구역!N5="","",14구역!N5)</f>
        <v/>
      </c>
    </row>
    <row r="123" ht="15" customHeight="1" s="33">
      <c r="A123" s="66">
        <f>IF(14구역!B6="","",14구역!B6)</f>
        <v/>
      </c>
      <c r="B123" s="66">
        <f>IF(14구역!C6="","",14구역!C6)</f>
        <v/>
      </c>
      <c r="C123" s="66">
        <f>IF(14구역!D6="","",14구역!D6)</f>
        <v/>
      </c>
      <c r="D123" s="66">
        <f>IF(14구역!E6="","",14구역!E6)</f>
        <v/>
      </c>
      <c r="E123" s="66">
        <f>IF(14구역!F6="","",14구역!F6)</f>
        <v/>
      </c>
      <c r="F123" s="66">
        <f>IF(14구역!G6="","",14구역!G6)</f>
        <v/>
      </c>
      <c r="G123" s="66">
        <f>IF(14구역!H6="","",14구역!H6)</f>
        <v/>
      </c>
      <c r="H123" s="66">
        <f>IF(14구역!I6="","",14구역!I6)</f>
        <v/>
      </c>
      <c r="I123" s="66">
        <f>IF(14구역!J6="","",14구역!J6)</f>
        <v/>
      </c>
      <c r="J123" s="66">
        <f>IF(14구역!K6="","",14구역!K6)</f>
        <v/>
      </c>
      <c r="K123" s="66">
        <f>IF(14구역!L6="","",14구역!L6)</f>
        <v/>
      </c>
      <c r="L123" s="66">
        <f>IF(14구역!M6="","",14구역!M6)</f>
        <v/>
      </c>
      <c r="M123" s="66">
        <f>IF(14구역!N6="","",14구역!N6)</f>
        <v/>
      </c>
    </row>
    <row r="124" ht="15" customHeight="1" s="33">
      <c r="A124" s="66">
        <f>IF(14구역!B7="","",14구역!B7)</f>
        <v/>
      </c>
      <c r="B124" s="66">
        <f>IF(14구역!C7="","",14구역!C7)</f>
        <v/>
      </c>
      <c r="C124" s="66">
        <f>IF(14구역!D7="","",14구역!D7)</f>
        <v/>
      </c>
      <c r="D124" s="66">
        <f>IF(14구역!E7="","",14구역!E7)</f>
        <v/>
      </c>
      <c r="E124" s="66">
        <f>IF(14구역!F7="","",14구역!F7)</f>
        <v/>
      </c>
      <c r="F124" s="66">
        <f>IF(14구역!G7="","",14구역!G7)</f>
        <v/>
      </c>
      <c r="G124" s="66">
        <f>IF(14구역!H7="","",14구역!H7)</f>
        <v/>
      </c>
      <c r="H124" s="66">
        <f>IF(14구역!I7="","",14구역!I7)</f>
        <v/>
      </c>
      <c r="I124" s="66">
        <f>IF(14구역!J7="","",14구역!J7)</f>
        <v/>
      </c>
      <c r="J124" s="66">
        <f>IF(14구역!K7="","",14구역!K7)</f>
        <v/>
      </c>
      <c r="K124" s="66">
        <f>IF(14구역!L7="","",14구역!L7)</f>
        <v/>
      </c>
      <c r="L124" s="66">
        <f>IF(14구역!M7="","",14구역!M7)</f>
        <v/>
      </c>
      <c r="M124" s="66">
        <f>IF(14구역!N7="","",14구역!N7)</f>
        <v/>
      </c>
    </row>
    <row r="125" ht="15" customHeight="1" s="33">
      <c r="A125" s="66">
        <f>IF(14구역!B8="","",14구역!B8)</f>
        <v/>
      </c>
      <c r="B125" s="66">
        <f>IF(14구역!C8="","",14구역!C8)</f>
        <v/>
      </c>
      <c r="C125" s="66">
        <f>IF(14구역!D8="","",14구역!D8)</f>
        <v/>
      </c>
      <c r="D125" s="66">
        <f>IF(14구역!E8="","",14구역!E8)</f>
        <v/>
      </c>
      <c r="E125" s="66">
        <f>IF(14구역!F8="","",14구역!F8)</f>
        <v/>
      </c>
      <c r="F125" s="66">
        <f>IF(14구역!G8="","",14구역!G8)</f>
        <v/>
      </c>
      <c r="G125" s="66">
        <f>IF(14구역!H8="","",14구역!H8)</f>
        <v/>
      </c>
      <c r="H125" s="66">
        <f>IF(14구역!I8="","",14구역!I8)</f>
        <v/>
      </c>
      <c r="I125" s="66">
        <f>IF(14구역!J8="","",14구역!J8)</f>
        <v/>
      </c>
      <c r="J125" s="66">
        <f>IF(14구역!K8="","",14구역!K8)</f>
        <v/>
      </c>
      <c r="K125" s="66">
        <f>IF(14구역!L8="","",14구역!L8)</f>
        <v/>
      </c>
      <c r="L125" s="66">
        <f>IF(14구역!M8="","",14구역!M8)</f>
        <v/>
      </c>
      <c r="M125" s="66">
        <f>IF(14구역!N8="","",14구역!N8)</f>
        <v/>
      </c>
    </row>
    <row r="126" ht="15" customHeight="1" s="33">
      <c r="A126" s="66">
        <f>IF(14구역!B9="","",14구역!B9)</f>
        <v/>
      </c>
      <c r="B126" s="66">
        <f>IF(14구역!C9="","",14구역!C9)</f>
        <v/>
      </c>
      <c r="C126" s="66">
        <f>IF(14구역!D9="","",14구역!D9)</f>
        <v/>
      </c>
      <c r="D126" s="66">
        <f>IF(14구역!E9="","",14구역!E9)</f>
        <v/>
      </c>
      <c r="E126" s="66">
        <f>IF(14구역!F9="","",14구역!F9)</f>
        <v/>
      </c>
      <c r="F126" s="66">
        <f>IF(14구역!G9="","",14구역!G9)</f>
        <v/>
      </c>
      <c r="G126" s="66">
        <f>IF(14구역!H9="","",14구역!H9)</f>
        <v/>
      </c>
      <c r="H126" s="66">
        <f>IF(14구역!I9="","",14구역!I9)</f>
        <v/>
      </c>
      <c r="I126" s="66">
        <f>IF(14구역!J9="","",14구역!J9)</f>
        <v/>
      </c>
      <c r="J126" s="66">
        <f>IF(14구역!K9="","",14구역!K9)</f>
        <v/>
      </c>
      <c r="K126" s="66">
        <f>IF(14구역!L9="","",14구역!L9)</f>
        <v/>
      </c>
      <c r="L126" s="66">
        <f>IF(14구역!M9="","",14구역!M9)</f>
        <v/>
      </c>
      <c r="M126" s="66">
        <f>IF(14구역!N9="","",14구역!N9)</f>
        <v/>
      </c>
    </row>
    <row r="127" ht="15" customHeight="1" s="33">
      <c r="A127" s="66">
        <f>IF(14구역!B10="","",14구역!B10)</f>
        <v/>
      </c>
      <c r="B127" s="66">
        <f>IF(14구역!C10="","",14구역!C10)</f>
        <v/>
      </c>
      <c r="C127" s="66">
        <f>IF(14구역!D10="","",14구역!D10)</f>
        <v/>
      </c>
      <c r="D127" s="66">
        <f>IF(14구역!E10="","",14구역!E10)</f>
        <v/>
      </c>
      <c r="E127" s="66">
        <f>IF(14구역!F10="","",14구역!F10)</f>
        <v/>
      </c>
      <c r="F127" s="66">
        <f>IF(14구역!G10="","",14구역!G10)</f>
        <v/>
      </c>
      <c r="G127" s="66">
        <f>IF(14구역!H10="","",14구역!H10)</f>
        <v/>
      </c>
      <c r="H127" s="66">
        <f>IF(14구역!I10="","",14구역!I10)</f>
        <v/>
      </c>
      <c r="I127" s="66">
        <f>IF(14구역!J10="","",14구역!J10)</f>
        <v/>
      </c>
      <c r="J127" s="66">
        <f>IF(14구역!K10="","",14구역!K10)</f>
        <v/>
      </c>
      <c r="K127" s="66">
        <f>IF(14구역!L10="","",14구역!L10)</f>
        <v/>
      </c>
      <c r="L127" s="66">
        <f>IF(14구역!M10="","",14구역!M10)</f>
        <v/>
      </c>
      <c r="M127" s="66">
        <f>IF(14구역!N10="","",14구역!N10)</f>
        <v/>
      </c>
    </row>
    <row r="128" ht="15" customHeight="1" s="33">
      <c r="A128" s="66">
        <f>IF(14구역!B11="","",14구역!B11)</f>
        <v/>
      </c>
      <c r="B128" s="66">
        <f>IF(14구역!C11="","",14구역!C11)</f>
        <v/>
      </c>
      <c r="C128" s="66">
        <f>IF(14구역!D11="","",14구역!D11)</f>
        <v/>
      </c>
      <c r="D128" s="66">
        <f>IF(14구역!E11="","",14구역!E11)</f>
        <v/>
      </c>
      <c r="E128" s="66">
        <f>IF(14구역!F11="","",14구역!F11)</f>
        <v/>
      </c>
      <c r="F128" s="66">
        <f>IF(14구역!G11="","",14구역!G11)</f>
        <v/>
      </c>
      <c r="G128" s="66">
        <f>IF(14구역!H11="","",14구역!H11)</f>
        <v/>
      </c>
      <c r="H128" s="66">
        <f>IF(14구역!I11="","",14구역!I11)</f>
        <v/>
      </c>
      <c r="I128" s="66">
        <f>IF(14구역!J11="","",14구역!J11)</f>
        <v/>
      </c>
      <c r="J128" s="66">
        <f>IF(14구역!K11="","",14구역!K11)</f>
        <v/>
      </c>
      <c r="K128" s="66">
        <f>IF(14구역!L11="","",14구역!L11)</f>
        <v/>
      </c>
      <c r="L128" s="66">
        <f>IF(14구역!M11="","",14구역!M11)</f>
        <v/>
      </c>
      <c r="M128" s="66">
        <f>IF(14구역!N11="","",14구역!N11)</f>
        <v/>
      </c>
    </row>
    <row r="129" ht="15" customHeight="1" s="33">
      <c r="A129" s="66">
        <f>IF(14구역!B12="","",14구역!B12)</f>
        <v/>
      </c>
      <c r="B129" s="66">
        <f>IF(14구역!C12="","",14구역!C12)</f>
        <v/>
      </c>
      <c r="C129" s="66">
        <f>IF(14구역!D12="","",14구역!D12)</f>
        <v/>
      </c>
      <c r="D129" s="66">
        <f>IF(14구역!E12="","",14구역!E12)</f>
        <v/>
      </c>
      <c r="E129" s="66">
        <f>IF(14구역!F12="","",14구역!F12)</f>
        <v/>
      </c>
      <c r="F129" s="66">
        <f>IF(14구역!G12="","",14구역!G12)</f>
        <v/>
      </c>
      <c r="G129" s="66">
        <f>IF(14구역!H12="","",14구역!H12)</f>
        <v/>
      </c>
      <c r="H129" s="66">
        <f>IF(14구역!I12="","",14구역!I12)</f>
        <v/>
      </c>
      <c r="I129" s="66">
        <f>IF(14구역!J12="","",14구역!J12)</f>
        <v/>
      </c>
      <c r="J129" s="66">
        <f>IF(14구역!K12="","",14구역!K12)</f>
        <v/>
      </c>
      <c r="K129" s="66">
        <f>IF(14구역!L12="","",14구역!L12)</f>
        <v/>
      </c>
      <c r="L129" s="66">
        <f>IF(14구역!M12="","",14구역!M12)</f>
        <v/>
      </c>
      <c r="M129" s="66">
        <f>IF(14구역!N12="","",14구역!N12)</f>
        <v/>
      </c>
    </row>
    <row r="130" ht="15" customHeight="1" s="33">
      <c r="A130" s="66">
        <f>IF(14구역!B13="","",14구역!B13)</f>
        <v/>
      </c>
      <c r="B130" s="66">
        <f>IF(14구역!C13="","",14구역!C13)</f>
        <v/>
      </c>
      <c r="C130" s="66">
        <f>IF(14구역!D13="","",14구역!D13)</f>
        <v/>
      </c>
      <c r="D130" s="66">
        <f>IF(14구역!E13="","",14구역!E13)</f>
        <v/>
      </c>
      <c r="E130" s="66">
        <f>IF(14구역!F13="","",14구역!F13)</f>
        <v/>
      </c>
      <c r="F130" s="66">
        <f>IF(14구역!G13="","",14구역!G13)</f>
        <v/>
      </c>
      <c r="G130" s="66">
        <f>IF(14구역!H13="","",14구역!H13)</f>
        <v/>
      </c>
      <c r="H130" s="66">
        <f>IF(14구역!I13="","",14구역!I13)</f>
        <v/>
      </c>
      <c r="I130" s="66">
        <f>IF(14구역!J13="","",14구역!J13)</f>
        <v/>
      </c>
      <c r="J130" s="66">
        <f>IF(14구역!K13="","",14구역!K13)</f>
        <v/>
      </c>
      <c r="K130" s="66">
        <f>IF(14구역!L13="","",14구역!L13)</f>
        <v/>
      </c>
      <c r="L130" s="66">
        <f>IF(14구역!M13="","",14구역!M13)</f>
        <v/>
      </c>
      <c r="M130" s="66">
        <f>IF(14구역!N13="","",14구역!N13)</f>
        <v/>
      </c>
    </row>
    <row r="131" ht="15" customHeight="1" s="33">
      <c r="A131" s="66">
        <f>IF(14구역!B14="","",14구역!B14)</f>
        <v/>
      </c>
      <c r="B131" s="66">
        <f>IF(14구역!C14="","",14구역!C14)</f>
        <v/>
      </c>
      <c r="C131" s="66">
        <f>IF(14구역!D14="","",14구역!D14)</f>
        <v/>
      </c>
      <c r="D131" s="66">
        <f>IF(14구역!E14="","",14구역!E14)</f>
        <v/>
      </c>
      <c r="E131" s="66">
        <f>IF(14구역!F14="","",14구역!F14)</f>
        <v/>
      </c>
      <c r="F131" s="66">
        <f>IF(14구역!G14="","",14구역!G14)</f>
        <v/>
      </c>
      <c r="G131" s="66">
        <f>IF(14구역!H14="","",14구역!H14)</f>
        <v/>
      </c>
      <c r="H131" s="66">
        <f>IF(14구역!I14="","",14구역!I14)</f>
        <v/>
      </c>
      <c r="I131" s="66">
        <f>IF(14구역!J14="","",14구역!J14)</f>
        <v/>
      </c>
      <c r="J131" s="66">
        <f>IF(14구역!K14="","",14구역!K14)</f>
        <v/>
      </c>
      <c r="K131" s="66">
        <f>IF(14구역!L14="","",14구역!L14)</f>
        <v/>
      </c>
      <c r="L131" s="66">
        <f>IF(14구역!M14="","",14구역!M14)</f>
        <v/>
      </c>
      <c r="M131" s="66">
        <f>IF(14구역!N14="","",14구역!N14)</f>
        <v/>
      </c>
    </row>
    <row r="132" ht="15" customHeight="1" s="33">
      <c r="A132" s="66">
        <f>IF(14구역!B15="","",14구역!B15)</f>
        <v/>
      </c>
      <c r="B132" s="66">
        <f>IF(14구역!C15="","",14구역!C15)</f>
        <v/>
      </c>
      <c r="C132" s="66">
        <f>IF(14구역!D15="","",14구역!D15)</f>
        <v/>
      </c>
      <c r="D132" s="66">
        <f>IF(14구역!E15="","",14구역!E15)</f>
        <v/>
      </c>
      <c r="E132" s="66">
        <f>IF(14구역!F15="","",14구역!F15)</f>
        <v/>
      </c>
      <c r="F132" s="66">
        <f>IF(14구역!G15="","",14구역!G15)</f>
        <v/>
      </c>
      <c r="G132" s="66">
        <f>IF(14구역!H15="","",14구역!H15)</f>
        <v/>
      </c>
      <c r="H132" s="66">
        <f>IF(14구역!I15="","",14구역!I15)</f>
        <v/>
      </c>
      <c r="I132" s="66">
        <f>IF(14구역!J15="","",14구역!J15)</f>
        <v/>
      </c>
      <c r="J132" s="66">
        <f>IF(14구역!K15="","",14구역!K15)</f>
        <v/>
      </c>
      <c r="K132" s="66">
        <f>IF(14구역!L15="","",14구역!L15)</f>
        <v/>
      </c>
      <c r="L132" s="66">
        <f>IF(14구역!M15="","",14구역!M15)</f>
        <v/>
      </c>
      <c r="M132" s="66">
        <f>IF(14구역!N15="","",14구역!N15)</f>
        <v/>
      </c>
    </row>
    <row r="133" ht="15" customHeight="1" s="33">
      <c r="A133" s="66">
        <f>IF(14구역!B16="","",14구역!B16)</f>
        <v/>
      </c>
      <c r="B133" s="66">
        <f>IF(14구역!C16="","",14구역!C16)</f>
        <v/>
      </c>
      <c r="C133" s="66">
        <f>IF(14구역!D16="","",14구역!D16)</f>
        <v/>
      </c>
      <c r="D133" s="66">
        <f>IF(14구역!E16="","",14구역!E16)</f>
        <v/>
      </c>
      <c r="E133" s="66">
        <f>IF(14구역!F16="","",14구역!F16)</f>
        <v/>
      </c>
      <c r="F133" s="66">
        <f>IF(14구역!G16="","",14구역!G16)</f>
        <v/>
      </c>
      <c r="G133" s="66">
        <f>IF(14구역!H16="","",14구역!H16)</f>
        <v/>
      </c>
      <c r="H133" s="66">
        <f>IF(14구역!I16="","",14구역!I16)</f>
        <v/>
      </c>
      <c r="I133" s="66">
        <f>IF(14구역!J16="","",14구역!J16)</f>
        <v/>
      </c>
      <c r="J133" s="66">
        <f>IF(14구역!K16="","",14구역!K16)</f>
        <v/>
      </c>
      <c r="K133" s="66">
        <f>IF(14구역!L16="","",14구역!L16)</f>
        <v/>
      </c>
      <c r="L133" s="66">
        <f>IF(14구역!M16="","",14구역!M16)</f>
        <v/>
      </c>
      <c r="M133" s="66">
        <f>IF(14구역!N16="","",14구역!N16)</f>
        <v/>
      </c>
    </row>
    <row r="134" ht="15" customHeight="1" s="33">
      <c r="A134" s="66">
        <f>IF(14구역!B17="","",14구역!B17)</f>
        <v/>
      </c>
      <c r="B134" s="66">
        <f>IF(14구역!C17="","",14구역!C17)</f>
        <v/>
      </c>
      <c r="C134" s="66">
        <f>IF(14구역!D17="","",14구역!D17)</f>
        <v/>
      </c>
      <c r="D134" s="66">
        <f>IF(14구역!E17="","",14구역!E17)</f>
        <v/>
      </c>
      <c r="E134" s="66">
        <f>IF(14구역!F17="","",14구역!F17)</f>
        <v/>
      </c>
      <c r="F134" s="66">
        <f>IF(14구역!G17="","",14구역!G17)</f>
        <v/>
      </c>
      <c r="G134" s="66">
        <f>IF(14구역!H17="","",14구역!H17)</f>
        <v/>
      </c>
      <c r="H134" s="66">
        <f>IF(14구역!I17="","",14구역!I17)</f>
        <v/>
      </c>
      <c r="I134" s="66">
        <f>IF(14구역!J17="","",14구역!J17)</f>
        <v/>
      </c>
      <c r="J134" s="66">
        <f>IF(14구역!K17="","",14구역!K17)</f>
        <v/>
      </c>
      <c r="K134" s="66">
        <f>IF(14구역!L17="","",14구역!L17)</f>
        <v/>
      </c>
      <c r="L134" s="66">
        <f>IF(14구역!M17="","",14구역!M17)</f>
        <v/>
      </c>
      <c r="M134" s="66">
        <f>IF(14구역!N17="","",14구역!N17)</f>
        <v/>
      </c>
    </row>
    <row r="135" ht="15" customHeight="1" s="33">
      <c r="A135" s="66">
        <f>IF(14구역!B18="","",14구역!B18)</f>
        <v/>
      </c>
      <c r="B135" s="66">
        <f>IF(14구역!C18="","",14구역!C18)</f>
        <v/>
      </c>
      <c r="C135" s="66">
        <f>IF(14구역!D18="","",14구역!D18)</f>
        <v/>
      </c>
      <c r="D135" s="66">
        <f>IF(14구역!E18="","",14구역!E18)</f>
        <v/>
      </c>
      <c r="E135" s="66">
        <f>IF(14구역!F18="","",14구역!F18)</f>
        <v/>
      </c>
      <c r="F135" s="66">
        <f>IF(14구역!G18="","",14구역!G18)</f>
        <v/>
      </c>
      <c r="G135" s="66">
        <f>IF(14구역!H18="","",14구역!H18)</f>
        <v/>
      </c>
      <c r="H135" s="66">
        <f>IF(14구역!I18="","",14구역!I18)</f>
        <v/>
      </c>
      <c r="I135" s="66">
        <f>IF(14구역!J18="","",14구역!J18)</f>
        <v/>
      </c>
      <c r="J135" s="66">
        <f>IF(14구역!K18="","",14구역!K18)</f>
        <v/>
      </c>
      <c r="K135" s="66">
        <f>IF(14구역!L18="","",14구역!L18)</f>
        <v/>
      </c>
      <c r="L135" s="66">
        <f>IF(14구역!M18="","",14구역!M18)</f>
        <v/>
      </c>
      <c r="M135" s="66">
        <f>IF(14구역!N18="","",14구역!N18)</f>
        <v/>
      </c>
    </row>
    <row r="136" ht="15" customHeight="1" s="33">
      <c r="A136" s="66">
        <f>IF(14구역!B19="","",14구역!B19)</f>
        <v/>
      </c>
      <c r="B136" s="66">
        <f>IF(14구역!C19="","",14구역!C19)</f>
        <v/>
      </c>
      <c r="C136" s="66">
        <f>IF(14구역!D19="","",14구역!D19)</f>
        <v/>
      </c>
      <c r="D136" s="66">
        <f>IF(14구역!E19="","",14구역!E19)</f>
        <v/>
      </c>
      <c r="E136" s="66">
        <f>IF(14구역!F19="","",14구역!F19)</f>
        <v/>
      </c>
      <c r="F136" s="66">
        <f>IF(14구역!G19="","",14구역!G19)</f>
        <v/>
      </c>
      <c r="G136" s="66">
        <f>IF(14구역!H19="","",14구역!H19)</f>
        <v/>
      </c>
      <c r="H136" s="66">
        <f>IF(14구역!I19="","",14구역!I19)</f>
        <v/>
      </c>
      <c r="I136" s="66">
        <f>IF(14구역!J19="","",14구역!J19)</f>
        <v/>
      </c>
      <c r="J136" s="66">
        <f>IF(14구역!K19="","",14구역!K19)</f>
        <v/>
      </c>
      <c r="K136" s="66">
        <f>IF(14구역!L19="","",14구역!L19)</f>
        <v/>
      </c>
      <c r="L136" s="66">
        <f>IF(14구역!M19="","",14구역!M19)</f>
        <v/>
      </c>
      <c r="M136" s="66">
        <f>IF(14구역!N19="","",14구역!N19)</f>
        <v/>
      </c>
    </row>
    <row r="137" ht="15" customHeight="1" s="33">
      <c r="A137" s="66">
        <f>IF(14구역!B20="","",14구역!B20)</f>
        <v/>
      </c>
      <c r="B137" s="66">
        <f>IF(14구역!C20="","",14구역!C20)</f>
        <v/>
      </c>
      <c r="C137" s="66">
        <f>IF(14구역!D20="","",14구역!D20)</f>
        <v/>
      </c>
      <c r="D137" s="66">
        <f>IF(14구역!E20="","",14구역!E20)</f>
        <v/>
      </c>
      <c r="E137" s="66">
        <f>IF(14구역!F20="","",14구역!F20)</f>
        <v/>
      </c>
      <c r="F137" s="66">
        <f>IF(14구역!G20="","",14구역!G20)</f>
        <v/>
      </c>
      <c r="G137" s="66">
        <f>IF(14구역!H20="","",14구역!H20)</f>
        <v/>
      </c>
      <c r="H137" s="66">
        <f>IF(14구역!I20="","",14구역!I20)</f>
        <v/>
      </c>
      <c r="I137" s="66">
        <f>IF(14구역!J20="","",14구역!J20)</f>
        <v/>
      </c>
      <c r="J137" s="66">
        <f>IF(14구역!K20="","",14구역!K20)</f>
        <v/>
      </c>
      <c r="K137" s="66">
        <f>IF(14구역!L20="","",14구역!L20)</f>
        <v/>
      </c>
      <c r="L137" s="66">
        <f>IF(14구역!M20="","",14구역!M20)</f>
        <v/>
      </c>
      <c r="M137" s="66">
        <f>IF(14구역!N20="","",14구역!N20)</f>
        <v/>
      </c>
    </row>
    <row r="138" ht="15" customHeight="1" s="33">
      <c r="A138" s="66">
        <f>IF(14구역!B21="","",14구역!B21)</f>
        <v/>
      </c>
      <c r="B138" s="66">
        <f>IF(14구역!C21="","",14구역!C21)</f>
        <v/>
      </c>
      <c r="C138" s="66">
        <f>IF(14구역!D21="","",14구역!D21)</f>
        <v/>
      </c>
      <c r="D138" s="66">
        <f>IF(14구역!E21="","",14구역!E21)</f>
        <v/>
      </c>
      <c r="E138" s="66">
        <f>IF(14구역!F21="","",14구역!F21)</f>
        <v/>
      </c>
      <c r="F138" s="66">
        <f>IF(14구역!G21="","",14구역!G21)</f>
        <v/>
      </c>
      <c r="G138" s="66">
        <f>IF(14구역!H21="","",14구역!H21)</f>
        <v/>
      </c>
      <c r="H138" s="66">
        <f>IF(14구역!I21="","",14구역!I21)</f>
        <v/>
      </c>
      <c r="I138" s="66">
        <f>IF(14구역!J21="","",14구역!J21)</f>
        <v/>
      </c>
      <c r="J138" s="66">
        <f>IF(14구역!K21="","",14구역!K21)</f>
        <v/>
      </c>
      <c r="K138" s="66">
        <f>IF(14구역!L21="","",14구역!L21)</f>
        <v/>
      </c>
      <c r="L138" s="66">
        <f>IF(14구역!M21="","",14구역!M21)</f>
        <v/>
      </c>
      <c r="M138" s="66">
        <f>IF(14구역!N21="","",14구역!N21)</f>
        <v/>
      </c>
    </row>
    <row r="139" ht="15" customHeight="1" s="33">
      <c r="A139" s="66">
        <f>IF(14구역!B22="","",14구역!B22)</f>
        <v/>
      </c>
      <c r="B139" s="66">
        <f>IF(14구역!C22="","",14구역!C22)</f>
        <v/>
      </c>
      <c r="C139" s="66">
        <f>IF(14구역!D22="","",14구역!D22)</f>
        <v/>
      </c>
      <c r="D139" s="66">
        <f>IF(14구역!E22="","",14구역!E22)</f>
        <v/>
      </c>
      <c r="E139" s="66">
        <f>IF(14구역!F22="","",14구역!F22)</f>
        <v/>
      </c>
      <c r="F139" s="66">
        <f>IF(14구역!G22="","",14구역!G22)</f>
        <v/>
      </c>
      <c r="G139" s="66">
        <f>IF(14구역!H22="","",14구역!H22)</f>
        <v/>
      </c>
      <c r="H139" s="66">
        <f>IF(14구역!I22="","",14구역!I22)</f>
        <v/>
      </c>
      <c r="I139" s="66">
        <f>IF(14구역!J22="","",14구역!J22)</f>
        <v/>
      </c>
      <c r="J139" s="66">
        <f>IF(14구역!K22="","",14구역!K22)</f>
        <v/>
      </c>
      <c r="K139" s="66">
        <f>IF(14구역!L22="","",14구역!L22)</f>
        <v/>
      </c>
      <c r="L139" s="66">
        <f>IF(14구역!M22="","",14구역!M22)</f>
        <v/>
      </c>
      <c r="M139" s="66">
        <f>IF(14구역!N22="","",14구역!N22)</f>
        <v/>
      </c>
    </row>
    <row r="140" ht="15" customHeight="1" s="33">
      <c r="A140" s="66">
        <f>IF(14구역!B23="","",14구역!B23)</f>
        <v/>
      </c>
      <c r="B140" s="66">
        <f>IF(14구역!C23="","",14구역!C23)</f>
        <v/>
      </c>
      <c r="C140" s="66">
        <f>IF(14구역!D23="","",14구역!D23)</f>
        <v/>
      </c>
      <c r="D140" s="66">
        <f>IF(14구역!E23="","",14구역!E23)</f>
        <v/>
      </c>
      <c r="E140" s="66">
        <f>IF(14구역!F23="","",14구역!F23)</f>
        <v/>
      </c>
      <c r="F140" s="66">
        <f>IF(14구역!G23="","",14구역!G23)</f>
        <v/>
      </c>
      <c r="G140" s="66">
        <f>IF(14구역!H23="","",14구역!H23)</f>
        <v/>
      </c>
      <c r="H140" s="66">
        <f>IF(14구역!I23="","",14구역!I23)</f>
        <v/>
      </c>
      <c r="I140" s="66">
        <f>IF(14구역!J23="","",14구역!J23)</f>
        <v/>
      </c>
      <c r="J140" s="66">
        <f>IF(14구역!K23="","",14구역!K23)</f>
        <v/>
      </c>
      <c r="K140" s="66">
        <f>IF(14구역!L23="","",14구역!L23)</f>
        <v/>
      </c>
      <c r="L140" s="66">
        <f>IF(14구역!M23="","",14구역!M23)</f>
        <v/>
      </c>
      <c r="M140" s="66">
        <f>IF(14구역!N23="","",14구역!N23)</f>
        <v/>
      </c>
    </row>
    <row r="141" ht="15" customHeight="1" s="33">
      <c r="A141" s="66">
        <f>IF(14구역!B24="","",14구역!B24)</f>
        <v/>
      </c>
      <c r="B141" s="66">
        <f>IF(14구역!C24="","",14구역!C24)</f>
        <v/>
      </c>
      <c r="C141" s="66">
        <f>IF(14구역!D24="","",14구역!D24)</f>
        <v/>
      </c>
      <c r="D141" s="66">
        <f>IF(14구역!E24="","",14구역!E24)</f>
        <v/>
      </c>
      <c r="E141" s="66">
        <f>IF(14구역!F24="","",14구역!F24)</f>
        <v/>
      </c>
      <c r="F141" s="66">
        <f>IF(14구역!G24="","",14구역!G24)</f>
        <v/>
      </c>
      <c r="G141" s="66">
        <f>IF(14구역!H24="","",14구역!H24)</f>
        <v/>
      </c>
      <c r="H141" s="66">
        <f>IF(14구역!I24="","",14구역!I24)</f>
        <v/>
      </c>
      <c r="I141" s="66">
        <f>IF(14구역!J24="","",14구역!J24)</f>
        <v/>
      </c>
      <c r="J141" s="66">
        <f>IF(14구역!K24="","",14구역!K24)</f>
        <v/>
      </c>
      <c r="K141" s="66">
        <f>IF(14구역!L24="","",14구역!L24)</f>
        <v/>
      </c>
      <c r="L141" s="66">
        <f>IF(14구역!M24="","",14구역!M24)</f>
        <v/>
      </c>
      <c r="M141" s="66">
        <f>IF(14구역!N24="","",14구역!N24)</f>
        <v/>
      </c>
    </row>
    <row r="142" ht="15" customHeight="1" s="33">
      <c r="A142" s="66">
        <f>IF(14구역!B25="","",14구역!B25)</f>
        <v/>
      </c>
      <c r="B142" s="66">
        <f>IF(14구역!C25="","",14구역!C25)</f>
        <v/>
      </c>
      <c r="C142" s="66">
        <f>IF(14구역!D25="","",14구역!D25)</f>
        <v/>
      </c>
      <c r="D142" s="66">
        <f>IF(14구역!E25="","",14구역!E25)</f>
        <v/>
      </c>
      <c r="E142" s="66">
        <f>IF(14구역!F25="","",14구역!F25)</f>
        <v/>
      </c>
      <c r="F142" s="66">
        <f>IF(14구역!G25="","",14구역!G25)</f>
        <v/>
      </c>
      <c r="G142" s="66">
        <f>IF(14구역!H25="","",14구역!H25)</f>
        <v/>
      </c>
      <c r="H142" s="66">
        <f>IF(14구역!I25="","",14구역!I25)</f>
        <v/>
      </c>
      <c r="I142" s="66">
        <f>IF(14구역!J25="","",14구역!J25)</f>
        <v/>
      </c>
      <c r="J142" s="66">
        <f>IF(14구역!K25="","",14구역!K25)</f>
        <v/>
      </c>
      <c r="K142" s="66">
        <f>IF(14구역!L25="","",14구역!L25)</f>
        <v/>
      </c>
      <c r="L142" s="66">
        <f>IF(14구역!M25="","",14구역!M25)</f>
        <v/>
      </c>
      <c r="M142" s="66">
        <f>IF(14구역!N25="","",14구역!N25)</f>
        <v/>
      </c>
    </row>
    <row r="143" ht="15" customHeight="1" s="33">
      <c r="A143" s="66">
        <f>IF(14구역!B26="","",14구역!B26)</f>
        <v/>
      </c>
      <c r="B143" s="66">
        <f>IF(14구역!C26="","",14구역!C26)</f>
        <v/>
      </c>
      <c r="C143" s="66">
        <f>IF(14구역!D26="","",14구역!D26)</f>
        <v/>
      </c>
      <c r="D143" s="66">
        <f>IF(14구역!E26="","",14구역!E26)</f>
        <v/>
      </c>
      <c r="E143" s="66">
        <f>IF(14구역!F26="","",14구역!F26)</f>
        <v/>
      </c>
      <c r="F143" s="66">
        <f>IF(14구역!G26="","",14구역!G26)</f>
        <v/>
      </c>
      <c r="G143" s="66">
        <f>IF(14구역!H26="","",14구역!H26)</f>
        <v/>
      </c>
      <c r="H143" s="66">
        <f>IF(14구역!I26="","",14구역!I26)</f>
        <v/>
      </c>
      <c r="I143" s="66">
        <f>IF(14구역!J26="","",14구역!J26)</f>
        <v/>
      </c>
      <c r="J143" s="66">
        <f>IF(14구역!K26="","",14구역!K26)</f>
        <v/>
      </c>
      <c r="K143" s="66">
        <f>IF(14구역!L26="","",14구역!L26)</f>
        <v/>
      </c>
      <c r="L143" s="66">
        <f>IF(14구역!M26="","",14구역!M26)</f>
        <v/>
      </c>
      <c r="M143" s="66">
        <f>IF(14구역!N26="","",14구역!N26)</f>
        <v/>
      </c>
    </row>
    <row r="144" ht="15" customHeight="1" s="33">
      <c r="A144" s="66">
        <f>IF(14구역!B27="","",14구역!B27)</f>
        <v/>
      </c>
      <c r="B144" s="66">
        <f>IF(14구역!C27="","",14구역!C27)</f>
        <v/>
      </c>
      <c r="C144" s="66">
        <f>IF(14구역!D27="","",14구역!D27)</f>
        <v/>
      </c>
      <c r="D144" s="66">
        <f>IF(14구역!E27="","",14구역!E27)</f>
        <v/>
      </c>
      <c r="E144" s="66">
        <f>IF(14구역!F27="","",14구역!F27)</f>
        <v/>
      </c>
      <c r="F144" s="66">
        <f>IF(14구역!G27="","",14구역!G27)</f>
        <v/>
      </c>
      <c r="G144" s="66">
        <f>IF(14구역!H27="","",14구역!H27)</f>
        <v/>
      </c>
      <c r="H144" s="66">
        <f>IF(14구역!I27="","",14구역!I27)</f>
        <v/>
      </c>
      <c r="I144" s="66">
        <f>IF(14구역!J27="","",14구역!J27)</f>
        <v/>
      </c>
      <c r="J144" s="66">
        <f>IF(14구역!K27="","",14구역!K27)</f>
        <v/>
      </c>
      <c r="K144" s="66">
        <f>IF(14구역!L27="","",14구역!L27)</f>
        <v/>
      </c>
      <c r="L144" s="66">
        <f>IF(14구역!M27="","",14구역!M27)</f>
        <v/>
      </c>
      <c r="M144" s="66">
        <f>IF(14구역!N27="","",14구역!N27)</f>
        <v/>
      </c>
    </row>
    <row r="145" ht="15" customHeight="1" s="33">
      <c r="A145" s="66">
        <f>IF(14구역!B28="","",14구역!B28)</f>
        <v/>
      </c>
      <c r="B145" s="66">
        <f>IF(14구역!C28="","",14구역!C28)</f>
        <v/>
      </c>
      <c r="C145" s="66">
        <f>IF(14구역!D28="","",14구역!D28)</f>
        <v/>
      </c>
      <c r="D145" s="66">
        <f>IF(14구역!E28="","",14구역!E28)</f>
        <v/>
      </c>
      <c r="E145" s="66">
        <f>IF(14구역!F28="","",14구역!F28)</f>
        <v/>
      </c>
      <c r="F145" s="66">
        <f>IF(14구역!G28="","",14구역!G28)</f>
        <v/>
      </c>
      <c r="G145" s="66">
        <f>IF(14구역!H28="","",14구역!H28)</f>
        <v/>
      </c>
      <c r="H145" s="66">
        <f>IF(14구역!I28="","",14구역!I28)</f>
        <v/>
      </c>
      <c r="I145" s="66">
        <f>IF(14구역!J28="","",14구역!J28)</f>
        <v/>
      </c>
      <c r="J145" s="66">
        <f>IF(14구역!K28="","",14구역!K28)</f>
        <v/>
      </c>
      <c r="K145" s="66">
        <f>IF(14구역!L28="","",14구역!L28)</f>
        <v/>
      </c>
      <c r="L145" s="66">
        <f>IF(14구역!M28="","",14구역!M28)</f>
        <v/>
      </c>
      <c r="M145" s="66">
        <f>IF(14구역!N28="","",14구역!N28)</f>
        <v/>
      </c>
    </row>
    <row r="146" ht="15" customHeight="1" s="33">
      <c r="A146" s="66">
        <f>IF(14구역!B29="","",14구역!B29)</f>
        <v/>
      </c>
      <c r="B146" s="66">
        <f>IF(14구역!C29="","",14구역!C29)</f>
        <v/>
      </c>
      <c r="C146" s="66">
        <f>IF(14구역!D29="","",14구역!D29)</f>
        <v/>
      </c>
      <c r="D146" s="66">
        <f>IF(14구역!E29="","",14구역!E29)</f>
        <v/>
      </c>
      <c r="E146" s="66">
        <f>IF(14구역!F29="","",14구역!F29)</f>
        <v/>
      </c>
      <c r="F146" s="66">
        <f>IF(14구역!G29="","",14구역!G29)</f>
        <v/>
      </c>
      <c r="G146" s="66">
        <f>IF(14구역!H29="","",14구역!H29)</f>
        <v/>
      </c>
      <c r="H146" s="66">
        <f>IF(14구역!I29="","",14구역!I29)</f>
        <v/>
      </c>
      <c r="I146" s="66">
        <f>IF(14구역!J29="","",14구역!J29)</f>
        <v/>
      </c>
      <c r="J146" s="66">
        <f>IF(14구역!K29="","",14구역!K29)</f>
        <v/>
      </c>
      <c r="K146" s="66">
        <f>IF(14구역!L29="","",14구역!L29)</f>
        <v/>
      </c>
      <c r="L146" s="66">
        <f>IF(14구역!M29="","",14구역!M29)</f>
        <v/>
      </c>
      <c r="M146" s="66">
        <f>IF(14구역!N29="","",14구역!N29)</f>
        <v/>
      </c>
    </row>
    <row r="147" ht="15" customHeight="1" s="33">
      <c r="A147" s="66">
        <f>IF(14구역!B30="","",14구역!B30)</f>
        <v/>
      </c>
      <c r="B147" s="66">
        <f>IF(14구역!C30="","",14구역!C30)</f>
        <v/>
      </c>
      <c r="C147" s="66">
        <f>IF(14구역!D30="","",14구역!D30)</f>
        <v/>
      </c>
      <c r="D147" s="66">
        <f>IF(14구역!E30="","",14구역!E30)</f>
        <v/>
      </c>
      <c r="E147" s="66">
        <f>IF(14구역!F30="","",14구역!F30)</f>
        <v/>
      </c>
      <c r="F147" s="66">
        <f>IF(14구역!G30="","",14구역!G30)</f>
        <v/>
      </c>
      <c r="G147" s="66">
        <f>IF(14구역!H30="","",14구역!H30)</f>
        <v/>
      </c>
      <c r="H147" s="66">
        <f>IF(14구역!I30="","",14구역!I30)</f>
        <v/>
      </c>
      <c r="I147" s="66">
        <f>IF(14구역!J30="","",14구역!J30)</f>
        <v/>
      </c>
      <c r="J147" s="66">
        <f>IF(14구역!K30="","",14구역!K30)</f>
        <v/>
      </c>
      <c r="K147" s="66">
        <f>IF(14구역!L30="","",14구역!L30)</f>
        <v/>
      </c>
      <c r="L147" s="66">
        <f>IF(14구역!M30="","",14구역!M30)</f>
        <v/>
      </c>
      <c r="M147" s="66">
        <f>IF(14구역!N30="","",14구역!N30)</f>
        <v/>
      </c>
    </row>
    <row r="148" ht="15" customHeight="1" s="33">
      <c r="A148" s="66">
        <f>IF(14구역!B31="","",14구역!B31)</f>
        <v/>
      </c>
      <c r="B148" s="66">
        <f>IF(14구역!C31="","",14구역!C31)</f>
        <v/>
      </c>
      <c r="C148" s="66">
        <f>IF(14구역!D31="","",14구역!D31)</f>
        <v/>
      </c>
      <c r="D148" s="66">
        <f>IF(14구역!E31="","",14구역!E31)</f>
        <v/>
      </c>
      <c r="E148" s="66">
        <f>IF(14구역!F31="","",14구역!F31)</f>
        <v/>
      </c>
      <c r="F148" s="66">
        <f>IF(14구역!G31="","",14구역!G31)</f>
        <v/>
      </c>
      <c r="G148" s="66">
        <f>IF(14구역!H31="","",14구역!H31)</f>
        <v/>
      </c>
      <c r="H148" s="66">
        <f>IF(14구역!I31="","",14구역!I31)</f>
        <v/>
      </c>
      <c r="I148" s="66">
        <f>IF(14구역!J31="","",14구역!J31)</f>
        <v/>
      </c>
      <c r="J148" s="66">
        <f>IF(14구역!K31="","",14구역!K31)</f>
        <v/>
      </c>
      <c r="K148" s="66">
        <f>IF(14구역!L31="","",14구역!L31)</f>
        <v/>
      </c>
      <c r="L148" s="66">
        <f>IF(14구역!M31="","",14구역!M31)</f>
        <v/>
      </c>
      <c r="M148" s="66">
        <f>IF(14구역!N31="","",14구역!N31)</f>
        <v/>
      </c>
    </row>
    <row r="149" ht="15" customHeight="1" s="33">
      <c r="A149" s="66">
        <f>IF(14구역!B32="","",14구역!B32)</f>
        <v/>
      </c>
      <c r="B149" s="66">
        <f>IF(14구역!C32="","",14구역!C32)</f>
        <v/>
      </c>
      <c r="C149" s="66">
        <f>IF(14구역!D32="","",14구역!D32)</f>
        <v/>
      </c>
      <c r="D149" s="66">
        <f>IF(14구역!E32="","",14구역!E32)</f>
        <v/>
      </c>
      <c r="E149" s="66">
        <f>IF(14구역!F32="","",14구역!F32)</f>
        <v/>
      </c>
      <c r="F149" s="66">
        <f>IF(14구역!G32="","",14구역!G32)</f>
        <v/>
      </c>
      <c r="G149" s="66">
        <f>IF(14구역!H32="","",14구역!H32)</f>
        <v/>
      </c>
      <c r="H149" s="66">
        <f>IF(14구역!I32="","",14구역!I32)</f>
        <v/>
      </c>
      <c r="I149" s="66">
        <f>IF(14구역!J32="","",14구역!J32)</f>
        <v/>
      </c>
      <c r="J149" s="66">
        <f>IF(14구역!K32="","",14구역!K32)</f>
        <v/>
      </c>
      <c r="K149" s="66">
        <f>IF(14구역!L32="","",14구역!L32)</f>
        <v/>
      </c>
      <c r="L149" s="66">
        <f>IF(14구역!M32="","",14구역!M32)</f>
        <v/>
      </c>
      <c r="M149" s="66">
        <f>IF(14구역!N32="","",14구역!N32)</f>
        <v/>
      </c>
    </row>
    <row r="150" ht="15" customHeight="1" s="33">
      <c r="A150" s="66">
        <f>IF(14구역!B33="","",14구역!B33)</f>
        <v/>
      </c>
      <c r="B150" s="66">
        <f>IF(14구역!C33="","",14구역!C33)</f>
        <v/>
      </c>
      <c r="C150" s="66">
        <f>IF(14구역!D33="","",14구역!D33)</f>
        <v/>
      </c>
      <c r="D150" s="66">
        <f>IF(14구역!E33="","",14구역!E33)</f>
        <v/>
      </c>
      <c r="E150" s="66">
        <f>IF(14구역!F33="","",14구역!F33)</f>
        <v/>
      </c>
      <c r="F150" s="66">
        <f>IF(14구역!G33="","",14구역!G33)</f>
        <v/>
      </c>
      <c r="G150" s="66">
        <f>IF(14구역!H33="","",14구역!H33)</f>
        <v/>
      </c>
      <c r="H150" s="66">
        <f>IF(14구역!I33="","",14구역!I33)</f>
        <v/>
      </c>
      <c r="I150" s="66">
        <f>IF(14구역!J33="","",14구역!J33)</f>
        <v/>
      </c>
      <c r="J150" s="66">
        <f>IF(14구역!K33="","",14구역!K33)</f>
        <v/>
      </c>
      <c r="K150" s="66">
        <f>IF(14구역!L33="","",14구역!L33)</f>
        <v/>
      </c>
      <c r="L150" s="66">
        <f>IF(14구역!M33="","",14구역!M33)</f>
        <v/>
      </c>
      <c r="M150" s="66">
        <f>IF(14구역!N33="","",14구역!N33)</f>
        <v/>
      </c>
    </row>
    <row r="151" ht="15" customHeight="1" s="33">
      <c r="A151" s="66">
        <f>IF(14구역!B34="","",14구역!B34)</f>
        <v/>
      </c>
      <c r="B151" s="66">
        <f>IF(14구역!C34="","",14구역!C34)</f>
        <v/>
      </c>
      <c r="C151" s="66">
        <f>IF(14구역!D34="","",14구역!D34)</f>
        <v/>
      </c>
      <c r="D151" s="66">
        <f>IF(14구역!E34="","",14구역!E34)</f>
        <v/>
      </c>
      <c r="E151" s="66">
        <f>IF(14구역!F34="","",14구역!F34)</f>
        <v/>
      </c>
      <c r="F151" s="66">
        <f>IF(14구역!G34="","",14구역!G34)</f>
        <v/>
      </c>
      <c r="G151" s="66">
        <f>IF(14구역!H34="","",14구역!H34)</f>
        <v/>
      </c>
      <c r="H151" s="66">
        <f>IF(14구역!I34="","",14구역!I34)</f>
        <v/>
      </c>
      <c r="I151" s="66">
        <f>IF(14구역!J34="","",14구역!J34)</f>
        <v/>
      </c>
      <c r="J151" s="66">
        <f>IF(14구역!K34="","",14구역!K34)</f>
        <v/>
      </c>
      <c r="K151" s="66">
        <f>IF(14구역!L34="","",14구역!L34)</f>
        <v/>
      </c>
      <c r="L151" s="66">
        <f>IF(14구역!M34="","",14구역!M34)</f>
        <v/>
      </c>
      <c r="M151" s="66">
        <f>IF(14구역!N34="","",14구역!N34)</f>
        <v/>
      </c>
    </row>
    <row r="152" ht="15" customHeight="1" s="33">
      <c r="A152" s="66">
        <f>IF(14구역!B35="","",14구역!B35)</f>
        <v/>
      </c>
      <c r="B152" s="66">
        <f>IF(14구역!C35="","",14구역!C35)</f>
        <v/>
      </c>
      <c r="C152" s="66">
        <f>IF(14구역!D35="","",14구역!D35)</f>
        <v/>
      </c>
      <c r="D152" s="66">
        <f>IF(14구역!E35="","",14구역!E35)</f>
        <v/>
      </c>
      <c r="E152" s="66">
        <f>IF(14구역!F35="","",14구역!F35)</f>
        <v/>
      </c>
      <c r="F152" s="66">
        <f>IF(14구역!G35="","",14구역!G35)</f>
        <v/>
      </c>
      <c r="G152" s="66">
        <f>IF(14구역!H35="","",14구역!H35)</f>
        <v/>
      </c>
      <c r="H152" s="66">
        <f>IF(14구역!I35="","",14구역!I35)</f>
        <v/>
      </c>
      <c r="I152" s="66">
        <f>IF(14구역!J35="","",14구역!J35)</f>
        <v/>
      </c>
      <c r="J152" s="66">
        <f>IF(14구역!K35="","",14구역!K35)</f>
        <v/>
      </c>
      <c r="K152" s="66">
        <f>IF(14구역!L35="","",14구역!L35)</f>
        <v/>
      </c>
      <c r="L152" s="66">
        <f>IF(14구역!M35="","",14구역!M35)</f>
        <v/>
      </c>
      <c r="M152" s="66">
        <f>IF(14구역!N35="","",14구역!N35)</f>
        <v/>
      </c>
    </row>
    <row r="153" ht="15" customHeight="1" s="33">
      <c r="A153" s="66">
        <f>IF(14구역!B36="","",14구역!B36)</f>
        <v/>
      </c>
      <c r="B153" s="66">
        <f>IF(14구역!C36="","",14구역!C36)</f>
        <v/>
      </c>
      <c r="C153" s="66">
        <f>IF(14구역!D36="","",14구역!D36)</f>
        <v/>
      </c>
      <c r="D153" s="66">
        <f>IF(14구역!E36="","",14구역!E36)</f>
        <v/>
      </c>
      <c r="E153" s="66">
        <f>IF(14구역!F36="","",14구역!F36)</f>
        <v/>
      </c>
      <c r="F153" s="66">
        <f>IF(14구역!G36="","",14구역!G36)</f>
        <v/>
      </c>
      <c r="G153" s="66">
        <f>IF(14구역!H36="","",14구역!H36)</f>
        <v/>
      </c>
      <c r="H153" s="66">
        <f>IF(14구역!I36="","",14구역!I36)</f>
        <v/>
      </c>
      <c r="I153" s="66">
        <f>IF(14구역!J36="","",14구역!J36)</f>
        <v/>
      </c>
      <c r="J153" s="66">
        <f>IF(14구역!K36="","",14구역!K36)</f>
        <v/>
      </c>
      <c r="K153" s="66">
        <f>IF(14구역!L36="","",14구역!L36)</f>
        <v/>
      </c>
      <c r="L153" s="66">
        <f>IF(14구역!M36="","",14구역!M36)</f>
        <v/>
      </c>
      <c r="M153" s="66">
        <f>IF(14구역!N36="","",14구역!N36)</f>
        <v/>
      </c>
    </row>
    <row r="154" ht="15" customHeight="1" s="33">
      <c r="A154" s="66">
        <f>IF(14구역!B37="","",14구역!B37)</f>
        <v/>
      </c>
      <c r="B154" s="66">
        <f>IF(14구역!C37="","",14구역!C37)</f>
        <v/>
      </c>
      <c r="C154" s="66">
        <f>IF(14구역!D37="","",14구역!D37)</f>
        <v/>
      </c>
      <c r="D154" s="66">
        <f>IF(14구역!E37="","",14구역!E37)</f>
        <v/>
      </c>
      <c r="E154" s="66">
        <f>IF(14구역!F37="","",14구역!F37)</f>
        <v/>
      </c>
      <c r="F154" s="66">
        <f>IF(14구역!G37="","",14구역!G37)</f>
        <v/>
      </c>
      <c r="G154" s="66">
        <f>IF(14구역!H37="","",14구역!H37)</f>
        <v/>
      </c>
      <c r="H154" s="66">
        <f>IF(14구역!I37="","",14구역!I37)</f>
        <v/>
      </c>
      <c r="I154" s="66">
        <f>IF(14구역!J37="","",14구역!J37)</f>
        <v/>
      </c>
      <c r="J154" s="66">
        <f>IF(14구역!K37="","",14구역!K37)</f>
        <v/>
      </c>
      <c r="K154" s="66">
        <f>IF(14구역!L37="","",14구역!L37)</f>
        <v/>
      </c>
      <c r="L154" s="66">
        <f>IF(14구역!M37="","",14구역!M37)</f>
        <v/>
      </c>
      <c r="M154" s="66">
        <f>IF(14구역!N37="","",14구역!N37)</f>
        <v/>
      </c>
    </row>
    <row r="155" ht="15" customHeight="1" s="33">
      <c r="A155" s="66">
        <f>IF(14구역!B38="","",14구역!B38)</f>
        <v/>
      </c>
      <c r="B155" s="66">
        <f>IF(14구역!C38="","",14구역!C38)</f>
        <v/>
      </c>
      <c r="C155" s="66">
        <f>IF(14구역!D38="","",14구역!D38)</f>
        <v/>
      </c>
      <c r="D155" s="66">
        <f>IF(14구역!E38="","",14구역!E38)</f>
        <v/>
      </c>
      <c r="E155" s="66">
        <f>IF(14구역!F38="","",14구역!F38)</f>
        <v/>
      </c>
      <c r="F155" s="66">
        <f>IF(14구역!G38="","",14구역!G38)</f>
        <v/>
      </c>
      <c r="G155" s="66">
        <f>IF(14구역!H38="","",14구역!H38)</f>
        <v/>
      </c>
      <c r="H155" s="66">
        <f>IF(14구역!I38="","",14구역!I38)</f>
        <v/>
      </c>
      <c r="I155" s="66">
        <f>IF(14구역!J38="","",14구역!J38)</f>
        <v/>
      </c>
      <c r="J155" s="66">
        <f>IF(14구역!K38="","",14구역!K38)</f>
        <v/>
      </c>
      <c r="K155" s="66">
        <f>IF(14구역!L38="","",14구역!L38)</f>
        <v/>
      </c>
      <c r="L155" s="66">
        <f>IF(14구역!M38="","",14구역!M38)</f>
        <v/>
      </c>
      <c r="M155" s="66">
        <f>IF(14구역!N38="","",14구역!N38)</f>
        <v/>
      </c>
    </row>
    <row r="156" ht="15" customHeight="1" s="33">
      <c r="A156" s="66">
        <f>IF(14구역!B39="","",14구역!B39)</f>
        <v/>
      </c>
      <c r="B156" s="66">
        <f>IF(14구역!C39="","",14구역!C39)</f>
        <v/>
      </c>
      <c r="C156" s="66">
        <f>IF(14구역!D39="","",14구역!D39)</f>
        <v/>
      </c>
      <c r="D156" s="66">
        <f>IF(14구역!E39="","",14구역!E39)</f>
        <v/>
      </c>
      <c r="E156" s="66">
        <f>IF(14구역!F39="","",14구역!F39)</f>
        <v/>
      </c>
      <c r="F156" s="66">
        <f>IF(14구역!G39="","",14구역!G39)</f>
        <v/>
      </c>
      <c r="G156" s="66">
        <f>IF(14구역!H39="","",14구역!H39)</f>
        <v/>
      </c>
      <c r="H156" s="66">
        <f>IF(14구역!I39="","",14구역!I39)</f>
        <v/>
      </c>
      <c r="I156" s="66">
        <f>IF(14구역!J39="","",14구역!J39)</f>
        <v/>
      </c>
      <c r="J156" s="66">
        <f>IF(14구역!K39="","",14구역!K39)</f>
        <v/>
      </c>
      <c r="K156" s="66">
        <f>IF(14구역!L39="","",14구역!L39)</f>
        <v/>
      </c>
      <c r="L156" s="66">
        <f>IF(14구역!M39="","",14구역!M39)</f>
        <v/>
      </c>
      <c r="M156" s="66">
        <f>IF(14구역!N39="","",14구역!N39)</f>
        <v/>
      </c>
    </row>
    <row r="157" ht="15" customHeight="1" s="33">
      <c r="A157" s="66">
        <f>IF(14구역!B40="","",14구역!B40)</f>
        <v/>
      </c>
      <c r="B157" s="66">
        <f>IF(14구역!C40="","",14구역!C40)</f>
        <v/>
      </c>
      <c r="C157" s="66">
        <f>IF(14구역!D40="","",14구역!D40)</f>
        <v/>
      </c>
      <c r="D157" s="66">
        <f>IF(14구역!E40="","",14구역!E40)</f>
        <v/>
      </c>
      <c r="E157" s="66">
        <f>IF(14구역!F40="","",14구역!F40)</f>
        <v/>
      </c>
      <c r="F157" s="66">
        <f>IF(14구역!G40="","",14구역!G40)</f>
        <v/>
      </c>
      <c r="G157" s="66">
        <f>IF(14구역!H40="","",14구역!H40)</f>
        <v/>
      </c>
      <c r="H157" s="66">
        <f>IF(14구역!I40="","",14구역!I40)</f>
        <v/>
      </c>
      <c r="I157" s="66">
        <f>IF(14구역!J40="","",14구역!J40)</f>
        <v/>
      </c>
      <c r="J157" s="66">
        <f>IF(14구역!K40="","",14구역!K40)</f>
        <v/>
      </c>
      <c r="K157" s="66">
        <f>IF(14구역!L40="","",14구역!L40)</f>
        <v/>
      </c>
      <c r="L157" s="66">
        <f>IF(14구역!M40="","",14구역!M40)</f>
        <v/>
      </c>
      <c r="M157" s="66">
        <f>IF(14구역!N40="","",14구역!N40)</f>
        <v/>
      </c>
    </row>
    <row r="158" ht="15" customHeight="1" s="33">
      <c r="A158" s="66">
        <f>IF(14구역!B41="","",14구역!B41)</f>
        <v/>
      </c>
      <c r="B158" s="66">
        <f>IF(14구역!C41="","",14구역!C41)</f>
        <v/>
      </c>
      <c r="C158" s="66">
        <f>IF(14구역!D41="","",14구역!D41)</f>
        <v/>
      </c>
      <c r="D158" s="66">
        <f>IF(14구역!E41="","",14구역!E41)</f>
        <v/>
      </c>
      <c r="E158" s="66">
        <f>IF(14구역!F41="","",14구역!F41)</f>
        <v/>
      </c>
      <c r="F158" s="66">
        <f>IF(14구역!G41="","",14구역!G41)</f>
        <v/>
      </c>
      <c r="G158" s="66">
        <f>IF(14구역!H41="","",14구역!H41)</f>
        <v/>
      </c>
      <c r="H158" s="66">
        <f>IF(14구역!I41="","",14구역!I41)</f>
        <v/>
      </c>
      <c r="I158" s="66">
        <f>IF(14구역!J41="","",14구역!J41)</f>
        <v/>
      </c>
      <c r="J158" s="66">
        <f>IF(14구역!K41="","",14구역!K41)</f>
        <v/>
      </c>
      <c r="K158" s="66">
        <f>IF(14구역!L41="","",14구역!L41)</f>
        <v/>
      </c>
      <c r="L158" s="66">
        <f>IF(14구역!M41="","",14구역!M41)</f>
        <v/>
      </c>
      <c r="M158" s="66">
        <f>IF(14구역!N41="","",14구역!N41)</f>
        <v/>
      </c>
    </row>
    <row r="159" ht="15" customHeight="1" s="33">
      <c r="A159" s="66">
        <f>IF(14구역!B42="","",14구역!B42)</f>
        <v/>
      </c>
      <c r="B159" s="66">
        <f>IF(14구역!C42="","",14구역!C42)</f>
        <v/>
      </c>
      <c r="C159" s="66">
        <f>IF(14구역!D42="","",14구역!D42)</f>
        <v/>
      </c>
      <c r="D159" s="66">
        <f>IF(14구역!E42="","",14구역!E42)</f>
        <v/>
      </c>
      <c r="E159" s="66">
        <f>IF(14구역!F42="","",14구역!F42)</f>
        <v/>
      </c>
      <c r="F159" s="66">
        <f>IF(14구역!G42="","",14구역!G42)</f>
        <v/>
      </c>
      <c r="G159" s="66">
        <f>IF(14구역!H42="","",14구역!H42)</f>
        <v/>
      </c>
      <c r="H159" s="66">
        <f>IF(14구역!I42="","",14구역!I42)</f>
        <v/>
      </c>
      <c r="I159" s="66">
        <f>IF(14구역!J42="","",14구역!J42)</f>
        <v/>
      </c>
      <c r="J159" s="66">
        <f>IF(14구역!K42="","",14구역!K42)</f>
        <v/>
      </c>
      <c r="K159" s="66">
        <f>IF(14구역!L42="","",14구역!L42)</f>
        <v/>
      </c>
      <c r="L159" s="66">
        <f>IF(14구역!M42="","",14구역!M42)</f>
        <v/>
      </c>
      <c r="M159" s="66">
        <f>IF(14구역!N42="","",14구역!N42)</f>
        <v/>
      </c>
    </row>
    <row r="160" ht="15" customHeight="1" s="33">
      <c r="A160" s="66">
        <f>IF(14구역!B43="","",14구역!B43)</f>
        <v/>
      </c>
      <c r="B160" s="66">
        <f>IF(14구역!C43="","",14구역!C43)</f>
        <v/>
      </c>
      <c r="C160" s="66">
        <f>IF(14구역!D43="","",14구역!D43)</f>
        <v/>
      </c>
      <c r="D160" s="66">
        <f>IF(14구역!E43="","",14구역!E43)</f>
        <v/>
      </c>
      <c r="E160" s="66">
        <f>IF(14구역!F43="","",14구역!F43)</f>
        <v/>
      </c>
      <c r="F160" s="66">
        <f>IF(14구역!G43="","",14구역!G43)</f>
        <v/>
      </c>
      <c r="G160" s="66">
        <f>IF(14구역!H43="","",14구역!H43)</f>
        <v/>
      </c>
      <c r="H160" s="66">
        <f>IF(14구역!I43="","",14구역!I43)</f>
        <v/>
      </c>
      <c r="I160" s="66">
        <f>IF(14구역!J43="","",14구역!J43)</f>
        <v/>
      </c>
      <c r="J160" s="66">
        <f>IF(14구역!K43="","",14구역!K43)</f>
        <v/>
      </c>
      <c r="K160" s="66">
        <f>IF(14구역!L43="","",14구역!L43)</f>
        <v/>
      </c>
      <c r="L160" s="66">
        <f>IF(14구역!M43="","",14구역!M43)</f>
        <v/>
      </c>
      <c r="M160" s="66">
        <f>IF(14구역!N43="","",14구역!N43)</f>
        <v/>
      </c>
    </row>
    <row r="161" ht="15" customHeight="1" s="33">
      <c r="A161" s="66">
        <f>IF(21구역!B4="","",21구역!B4)</f>
        <v/>
      </c>
      <c r="B161" s="66">
        <f>IF(21구역!C4="","",21구역!C4)</f>
        <v/>
      </c>
      <c r="C161" s="66">
        <f>IF(21구역!D4="","",21구역!D4)</f>
        <v/>
      </c>
      <c r="D161" s="66">
        <f>IF(21구역!E4="","",21구역!E4)</f>
        <v/>
      </c>
      <c r="E161" s="66">
        <f>IF(21구역!F4="","",21구역!F4)</f>
        <v/>
      </c>
      <c r="F161" s="66">
        <f>IF(21구역!G4="","",21구역!G4)</f>
        <v/>
      </c>
      <c r="G161" s="66">
        <f>IF(21구역!H4="","",21구역!H4)</f>
        <v/>
      </c>
      <c r="H161" s="66">
        <f>IF(21구역!I4="","",21구역!I4)</f>
        <v/>
      </c>
      <c r="I161" s="66">
        <f>IF(21구역!J4="","",21구역!J4)</f>
        <v/>
      </c>
      <c r="J161" s="66">
        <f>IF(21구역!K4="","",21구역!K4)</f>
        <v/>
      </c>
      <c r="K161" s="66">
        <f>IF(21구역!L4="","",21구역!L4)</f>
        <v/>
      </c>
      <c r="L161" s="66">
        <f>IF(21구역!M4="","",21구역!M4)</f>
        <v/>
      </c>
      <c r="M161" s="66">
        <f>IF(21구역!N4="","",21구역!N4)</f>
        <v/>
      </c>
    </row>
    <row r="162" ht="15" customHeight="1" s="33">
      <c r="A162" s="66">
        <f>IF(21구역!B5="","",21구역!B5)</f>
        <v/>
      </c>
      <c r="B162" s="66">
        <f>IF(21구역!C5="","",21구역!C5)</f>
        <v/>
      </c>
      <c r="C162" s="66">
        <f>IF(21구역!D5="","",21구역!D5)</f>
        <v/>
      </c>
      <c r="D162" s="66">
        <f>IF(21구역!E5="","",21구역!E5)</f>
        <v/>
      </c>
      <c r="E162" s="66">
        <f>IF(21구역!F5="","",21구역!F5)</f>
        <v/>
      </c>
      <c r="F162" s="66">
        <f>IF(21구역!G5="","",21구역!G5)</f>
        <v/>
      </c>
      <c r="G162" s="66">
        <f>IF(21구역!H5="","",21구역!H5)</f>
        <v/>
      </c>
      <c r="H162" s="66">
        <f>IF(21구역!I5="","",21구역!I5)</f>
        <v/>
      </c>
      <c r="I162" s="66">
        <f>IF(21구역!J5="","",21구역!J5)</f>
        <v/>
      </c>
      <c r="J162" s="66">
        <f>IF(21구역!K5="","",21구역!K5)</f>
        <v/>
      </c>
      <c r="K162" s="66">
        <f>IF(21구역!L5="","",21구역!L5)</f>
        <v/>
      </c>
      <c r="L162" s="66">
        <f>IF(21구역!M5="","",21구역!M5)</f>
        <v/>
      </c>
      <c r="M162" s="66">
        <f>IF(21구역!N5="","",21구역!N5)</f>
        <v/>
      </c>
    </row>
    <row r="163" ht="15" customHeight="1" s="33">
      <c r="A163" s="66">
        <f>IF(21구역!B6="","",21구역!B6)</f>
        <v/>
      </c>
      <c r="B163" s="66">
        <f>IF(21구역!C6="","",21구역!C6)</f>
        <v/>
      </c>
      <c r="C163" s="66">
        <f>IF(21구역!D6="","",21구역!D6)</f>
        <v/>
      </c>
      <c r="D163" s="66">
        <f>IF(21구역!E6="","",21구역!E6)</f>
        <v/>
      </c>
      <c r="E163" s="66">
        <f>IF(21구역!F6="","",21구역!F6)</f>
        <v/>
      </c>
      <c r="F163" s="66">
        <f>IF(21구역!G6="","",21구역!G6)</f>
        <v/>
      </c>
      <c r="G163" s="66">
        <f>IF(21구역!H6="","",21구역!H6)</f>
        <v/>
      </c>
      <c r="H163" s="66">
        <f>IF(21구역!I6="","",21구역!I6)</f>
        <v/>
      </c>
      <c r="I163" s="66">
        <f>IF(21구역!J6="","",21구역!J6)</f>
        <v/>
      </c>
      <c r="J163" s="66">
        <f>IF(21구역!K6="","",21구역!K6)</f>
        <v/>
      </c>
      <c r="K163" s="66">
        <f>IF(21구역!L6="","",21구역!L6)</f>
        <v/>
      </c>
      <c r="L163" s="66">
        <f>IF(21구역!M6="","",21구역!M6)</f>
        <v/>
      </c>
      <c r="M163" s="66">
        <f>IF(21구역!N6="","",21구역!N6)</f>
        <v/>
      </c>
    </row>
    <row r="164" ht="15" customHeight="1" s="33">
      <c r="A164" s="66">
        <f>IF(21구역!B7="","",21구역!B7)</f>
        <v/>
      </c>
      <c r="B164" s="66">
        <f>IF(21구역!C7="","",21구역!C7)</f>
        <v/>
      </c>
      <c r="C164" s="66">
        <f>IF(21구역!D7="","",21구역!D7)</f>
        <v/>
      </c>
      <c r="D164" s="66">
        <f>IF(21구역!E7="","",21구역!E7)</f>
        <v/>
      </c>
      <c r="E164" s="66">
        <f>IF(21구역!F7="","",21구역!F7)</f>
        <v/>
      </c>
      <c r="F164" s="66">
        <f>IF(21구역!G7="","",21구역!G7)</f>
        <v/>
      </c>
      <c r="G164" s="66">
        <f>IF(21구역!H7="","",21구역!H7)</f>
        <v/>
      </c>
      <c r="H164" s="66">
        <f>IF(21구역!I7="","",21구역!I7)</f>
        <v/>
      </c>
      <c r="I164" s="66">
        <f>IF(21구역!J7="","",21구역!J7)</f>
        <v/>
      </c>
      <c r="J164" s="66">
        <f>IF(21구역!K7="","",21구역!K7)</f>
        <v/>
      </c>
      <c r="K164" s="66">
        <f>IF(21구역!L7="","",21구역!L7)</f>
        <v/>
      </c>
      <c r="L164" s="66">
        <f>IF(21구역!M7="","",21구역!M7)</f>
        <v/>
      </c>
      <c r="M164" s="66">
        <f>IF(21구역!N7="","",21구역!N7)</f>
        <v/>
      </c>
    </row>
    <row r="165" ht="15" customHeight="1" s="33">
      <c r="A165" s="66">
        <f>IF(21구역!B8="","",21구역!B8)</f>
        <v/>
      </c>
      <c r="B165" s="66">
        <f>IF(21구역!C8="","",21구역!C8)</f>
        <v/>
      </c>
      <c r="C165" s="66">
        <f>IF(21구역!D8="","",21구역!D8)</f>
        <v/>
      </c>
      <c r="D165" s="66">
        <f>IF(21구역!E8="","",21구역!E8)</f>
        <v/>
      </c>
      <c r="E165" s="66">
        <f>IF(21구역!F8="","",21구역!F8)</f>
        <v/>
      </c>
      <c r="F165" s="66">
        <f>IF(21구역!G8="","",21구역!G8)</f>
        <v/>
      </c>
      <c r="G165" s="66">
        <f>IF(21구역!H8="","",21구역!H8)</f>
        <v/>
      </c>
      <c r="H165" s="66">
        <f>IF(21구역!I8="","",21구역!I8)</f>
        <v/>
      </c>
      <c r="I165" s="66">
        <f>IF(21구역!J8="","",21구역!J8)</f>
        <v/>
      </c>
      <c r="J165" s="66">
        <f>IF(21구역!K8="","",21구역!K8)</f>
        <v/>
      </c>
      <c r="K165" s="66">
        <f>IF(21구역!L8="","",21구역!L8)</f>
        <v/>
      </c>
      <c r="L165" s="66">
        <f>IF(21구역!M8="","",21구역!M8)</f>
        <v/>
      </c>
      <c r="M165" s="66">
        <f>IF(21구역!N8="","",21구역!N8)</f>
        <v/>
      </c>
    </row>
    <row r="166" ht="15" customHeight="1" s="33">
      <c r="A166" s="66">
        <f>IF(21구역!B9="","",21구역!B9)</f>
        <v/>
      </c>
      <c r="B166" s="66">
        <f>IF(21구역!C9="","",21구역!C9)</f>
        <v/>
      </c>
      <c r="C166" s="66">
        <f>IF(21구역!D9="","",21구역!D9)</f>
        <v/>
      </c>
      <c r="D166" s="66">
        <f>IF(21구역!E9="","",21구역!E9)</f>
        <v/>
      </c>
      <c r="E166" s="66">
        <f>IF(21구역!F9="","",21구역!F9)</f>
        <v/>
      </c>
      <c r="F166" s="66">
        <f>IF(21구역!G9="","",21구역!G9)</f>
        <v/>
      </c>
      <c r="G166" s="66">
        <f>IF(21구역!H9="","",21구역!H9)</f>
        <v/>
      </c>
      <c r="H166" s="66">
        <f>IF(21구역!I9="","",21구역!I9)</f>
        <v/>
      </c>
      <c r="I166" s="66">
        <f>IF(21구역!J9="","",21구역!J9)</f>
        <v/>
      </c>
      <c r="J166" s="66">
        <f>IF(21구역!K9="","",21구역!K9)</f>
        <v/>
      </c>
      <c r="K166" s="66">
        <f>IF(21구역!L9="","",21구역!L9)</f>
        <v/>
      </c>
      <c r="L166" s="66">
        <f>IF(21구역!M9="","",21구역!M9)</f>
        <v/>
      </c>
      <c r="M166" s="66">
        <f>IF(21구역!N9="","",21구역!N9)</f>
        <v/>
      </c>
    </row>
    <row r="167" ht="15" customHeight="1" s="33">
      <c r="A167" s="66">
        <f>IF(21구역!B10="","",21구역!B10)</f>
        <v/>
      </c>
      <c r="B167" s="66">
        <f>IF(21구역!C10="","",21구역!C10)</f>
        <v/>
      </c>
      <c r="C167" s="66">
        <f>IF(21구역!D10="","",21구역!D10)</f>
        <v/>
      </c>
      <c r="D167" s="66">
        <f>IF(21구역!E10="","",21구역!E10)</f>
        <v/>
      </c>
      <c r="E167" s="66">
        <f>IF(21구역!F10="","",21구역!F10)</f>
        <v/>
      </c>
      <c r="F167" s="66">
        <f>IF(21구역!G10="","",21구역!G10)</f>
        <v/>
      </c>
      <c r="G167" s="66">
        <f>IF(21구역!H10="","",21구역!H10)</f>
        <v/>
      </c>
      <c r="H167" s="66">
        <f>IF(21구역!I10="","",21구역!I10)</f>
        <v/>
      </c>
      <c r="I167" s="66">
        <f>IF(21구역!J10="","",21구역!J10)</f>
        <v/>
      </c>
      <c r="J167" s="66">
        <f>IF(21구역!K10="","",21구역!K10)</f>
        <v/>
      </c>
      <c r="K167" s="66">
        <f>IF(21구역!L10="","",21구역!L10)</f>
        <v/>
      </c>
      <c r="L167" s="66">
        <f>IF(21구역!M10="","",21구역!M10)</f>
        <v/>
      </c>
      <c r="M167" s="66">
        <f>IF(21구역!N10="","",21구역!N10)</f>
        <v/>
      </c>
    </row>
    <row r="168" ht="15" customHeight="1" s="33">
      <c r="A168" s="66">
        <f>IF(21구역!B11="","",21구역!B11)</f>
        <v/>
      </c>
      <c r="B168" s="66">
        <f>IF(21구역!C11="","",21구역!C11)</f>
        <v/>
      </c>
      <c r="C168" s="66">
        <f>IF(21구역!D11="","",21구역!D11)</f>
        <v/>
      </c>
      <c r="D168" s="66">
        <f>IF(21구역!E11="","",21구역!E11)</f>
        <v/>
      </c>
      <c r="E168" s="66">
        <f>IF(21구역!F11="","",21구역!F11)</f>
        <v/>
      </c>
      <c r="F168" s="66">
        <f>IF(21구역!G11="","",21구역!G11)</f>
        <v/>
      </c>
      <c r="G168" s="66">
        <f>IF(21구역!H11="","",21구역!H11)</f>
        <v/>
      </c>
      <c r="H168" s="66">
        <f>IF(21구역!I11="","",21구역!I11)</f>
        <v/>
      </c>
      <c r="I168" s="66">
        <f>IF(21구역!J11="","",21구역!J11)</f>
        <v/>
      </c>
      <c r="J168" s="66">
        <f>IF(21구역!K11="","",21구역!K11)</f>
        <v/>
      </c>
      <c r="K168" s="66">
        <f>IF(21구역!L11="","",21구역!L11)</f>
        <v/>
      </c>
      <c r="L168" s="66">
        <f>IF(21구역!M11="","",21구역!M11)</f>
        <v/>
      </c>
      <c r="M168" s="66">
        <f>IF(21구역!N11="","",21구역!N11)</f>
        <v/>
      </c>
    </row>
    <row r="169" ht="15" customHeight="1" s="33">
      <c r="A169" s="66">
        <f>IF(21구역!B12="","",21구역!B12)</f>
        <v/>
      </c>
      <c r="B169" s="66">
        <f>IF(21구역!C12="","",21구역!C12)</f>
        <v/>
      </c>
      <c r="C169" s="66">
        <f>IF(21구역!D12="","",21구역!D12)</f>
        <v/>
      </c>
      <c r="D169" s="66">
        <f>IF(21구역!E12="","",21구역!E12)</f>
        <v/>
      </c>
      <c r="E169" s="66">
        <f>IF(21구역!F12="","",21구역!F12)</f>
        <v/>
      </c>
      <c r="F169" s="66">
        <f>IF(21구역!G12="","",21구역!G12)</f>
        <v/>
      </c>
      <c r="G169" s="66">
        <f>IF(21구역!H12="","",21구역!H12)</f>
        <v/>
      </c>
      <c r="H169" s="66">
        <f>IF(21구역!I12="","",21구역!I12)</f>
        <v/>
      </c>
      <c r="I169" s="66">
        <f>IF(21구역!J12="","",21구역!J12)</f>
        <v/>
      </c>
      <c r="J169" s="66">
        <f>IF(21구역!K12="","",21구역!K12)</f>
        <v/>
      </c>
      <c r="K169" s="66">
        <f>IF(21구역!L12="","",21구역!L12)</f>
        <v/>
      </c>
      <c r="L169" s="66">
        <f>IF(21구역!M12="","",21구역!M12)</f>
        <v/>
      </c>
      <c r="M169" s="66">
        <f>IF(21구역!N12="","",21구역!N12)</f>
        <v/>
      </c>
    </row>
    <row r="170" ht="15" customHeight="1" s="33">
      <c r="A170" s="66">
        <f>IF(21구역!B13="","",21구역!B13)</f>
        <v/>
      </c>
      <c r="B170" s="66">
        <f>IF(21구역!C13="","",21구역!C13)</f>
        <v/>
      </c>
      <c r="C170" s="66">
        <f>IF(21구역!D13="","",21구역!D13)</f>
        <v/>
      </c>
      <c r="D170" s="66">
        <f>IF(21구역!E13="","",21구역!E13)</f>
        <v/>
      </c>
      <c r="E170" s="66">
        <f>IF(21구역!F13="","",21구역!F13)</f>
        <v/>
      </c>
      <c r="F170" s="66">
        <f>IF(21구역!G13="","",21구역!G13)</f>
        <v/>
      </c>
      <c r="G170" s="66">
        <f>IF(21구역!H13="","",21구역!H13)</f>
        <v/>
      </c>
      <c r="H170" s="66">
        <f>IF(21구역!I13="","",21구역!I13)</f>
        <v/>
      </c>
      <c r="I170" s="66">
        <f>IF(21구역!J13="","",21구역!J13)</f>
        <v/>
      </c>
      <c r="J170" s="66">
        <f>IF(21구역!K13="","",21구역!K13)</f>
        <v/>
      </c>
      <c r="K170" s="66">
        <f>IF(21구역!L13="","",21구역!L13)</f>
        <v/>
      </c>
      <c r="L170" s="66">
        <f>IF(21구역!M13="","",21구역!M13)</f>
        <v/>
      </c>
      <c r="M170" s="66">
        <f>IF(21구역!N13="","",21구역!N13)</f>
        <v/>
      </c>
    </row>
    <row r="171" ht="15" customHeight="1" s="33">
      <c r="A171" s="66">
        <f>IF(21구역!B14="","",21구역!B14)</f>
        <v/>
      </c>
      <c r="B171" s="66">
        <f>IF(21구역!C14="","",21구역!C14)</f>
        <v/>
      </c>
      <c r="C171" s="66">
        <f>IF(21구역!D14="","",21구역!D14)</f>
        <v/>
      </c>
      <c r="D171" s="66">
        <f>IF(21구역!E14="","",21구역!E14)</f>
        <v/>
      </c>
      <c r="E171" s="66">
        <f>IF(21구역!F14="","",21구역!F14)</f>
        <v/>
      </c>
      <c r="F171" s="66">
        <f>IF(21구역!G14="","",21구역!G14)</f>
        <v/>
      </c>
      <c r="G171" s="66">
        <f>IF(21구역!H14="","",21구역!H14)</f>
        <v/>
      </c>
      <c r="H171" s="66">
        <f>IF(21구역!I14="","",21구역!I14)</f>
        <v/>
      </c>
      <c r="I171" s="66">
        <f>IF(21구역!J14="","",21구역!J14)</f>
        <v/>
      </c>
      <c r="J171" s="66">
        <f>IF(21구역!K14="","",21구역!K14)</f>
        <v/>
      </c>
      <c r="K171" s="66">
        <f>IF(21구역!L14="","",21구역!L14)</f>
        <v/>
      </c>
      <c r="L171" s="66">
        <f>IF(21구역!M14="","",21구역!M14)</f>
        <v/>
      </c>
      <c r="M171" s="66">
        <f>IF(21구역!N14="","",21구역!N14)</f>
        <v/>
      </c>
    </row>
    <row r="172" ht="15" customHeight="1" s="33">
      <c r="A172" s="66">
        <f>IF(21구역!B15="","",21구역!B15)</f>
        <v/>
      </c>
      <c r="B172" s="66">
        <f>IF(21구역!C15="","",21구역!C15)</f>
        <v/>
      </c>
      <c r="C172" s="66">
        <f>IF(21구역!D15="","",21구역!D15)</f>
        <v/>
      </c>
      <c r="D172" s="66">
        <f>IF(21구역!E15="","",21구역!E15)</f>
        <v/>
      </c>
      <c r="E172" s="66">
        <f>IF(21구역!F15="","",21구역!F15)</f>
        <v/>
      </c>
      <c r="F172" s="66">
        <f>IF(21구역!G15="","",21구역!G15)</f>
        <v/>
      </c>
      <c r="G172" s="66">
        <f>IF(21구역!H15="","",21구역!H15)</f>
        <v/>
      </c>
      <c r="H172" s="66">
        <f>IF(21구역!I15="","",21구역!I15)</f>
        <v/>
      </c>
      <c r="I172" s="66">
        <f>IF(21구역!J15="","",21구역!J15)</f>
        <v/>
      </c>
      <c r="J172" s="66">
        <f>IF(21구역!K15="","",21구역!K15)</f>
        <v/>
      </c>
      <c r="K172" s="66">
        <f>IF(21구역!L15="","",21구역!L15)</f>
        <v/>
      </c>
      <c r="L172" s="66">
        <f>IF(21구역!M15="","",21구역!M15)</f>
        <v/>
      </c>
      <c r="M172" s="66">
        <f>IF(21구역!N15="","",21구역!N15)</f>
        <v/>
      </c>
    </row>
    <row r="173" ht="15" customHeight="1" s="33">
      <c r="A173" s="66">
        <f>IF(21구역!B16="","",21구역!B16)</f>
        <v/>
      </c>
      <c r="B173" s="66">
        <f>IF(21구역!C16="","",21구역!C16)</f>
        <v/>
      </c>
      <c r="C173" s="66">
        <f>IF(21구역!D16="","",21구역!D16)</f>
        <v/>
      </c>
      <c r="D173" s="66">
        <f>IF(21구역!E16="","",21구역!E16)</f>
        <v/>
      </c>
      <c r="E173" s="66">
        <f>IF(21구역!F16="","",21구역!F16)</f>
        <v/>
      </c>
      <c r="F173" s="66">
        <f>IF(21구역!G16="","",21구역!G16)</f>
        <v/>
      </c>
      <c r="G173" s="66">
        <f>IF(21구역!H16="","",21구역!H16)</f>
        <v/>
      </c>
      <c r="H173" s="66">
        <f>IF(21구역!I16="","",21구역!I16)</f>
        <v/>
      </c>
      <c r="I173" s="66">
        <f>IF(21구역!J16="","",21구역!J16)</f>
        <v/>
      </c>
      <c r="J173" s="66">
        <f>IF(21구역!K16="","",21구역!K16)</f>
        <v/>
      </c>
      <c r="K173" s="66">
        <f>IF(21구역!L16="","",21구역!L16)</f>
        <v/>
      </c>
      <c r="L173" s="66">
        <f>IF(21구역!M16="","",21구역!M16)</f>
        <v/>
      </c>
      <c r="M173" s="66">
        <f>IF(21구역!N16="","",21구역!N16)</f>
        <v/>
      </c>
    </row>
    <row r="174" ht="15" customHeight="1" s="33">
      <c r="A174" s="66">
        <f>IF(21구역!B17="","",21구역!B17)</f>
        <v/>
      </c>
      <c r="B174" s="66">
        <f>IF(21구역!C17="","",21구역!C17)</f>
        <v/>
      </c>
      <c r="C174" s="66">
        <f>IF(21구역!D17="","",21구역!D17)</f>
        <v/>
      </c>
      <c r="D174" s="66">
        <f>IF(21구역!E17="","",21구역!E17)</f>
        <v/>
      </c>
      <c r="E174" s="66">
        <f>IF(21구역!F17="","",21구역!F17)</f>
        <v/>
      </c>
      <c r="F174" s="66">
        <f>IF(21구역!G17="","",21구역!G17)</f>
        <v/>
      </c>
      <c r="G174" s="66">
        <f>IF(21구역!H17="","",21구역!H17)</f>
        <v/>
      </c>
      <c r="H174" s="66">
        <f>IF(21구역!I17="","",21구역!I17)</f>
        <v/>
      </c>
      <c r="I174" s="66">
        <f>IF(21구역!J17="","",21구역!J17)</f>
        <v/>
      </c>
      <c r="J174" s="66">
        <f>IF(21구역!K17="","",21구역!K17)</f>
        <v/>
      </c>
      <c r="K174" s="66">
        <f>IF(21구역!L17="","",21구역!L17)</f>
        <v/>
      </c>
      <c r="L174" s="66">
        <f>IF(21구역!M17="","",21구역!M17)</f>
        <v/>
      </c>
      <c r="M174" s="66">
        <f>IF(21구역!N17="","",21구역!N17)</f>
        <v/>
      </c>
    </row>
    <row r="175" ht="15" customHeight="1" s="33">
      <c r="A175" s="66">
        <f>IF(21구역!B18="","",21구역!B18)</f>
        <v/>
      </c>
      <c r="B175" s="66">
        <f>IF(21구역!C18="","",21구역!C18)</f>
        <v/>
      </c>
      <c r="C175" s="66">
        <f>IF(21구역!D18="","",21구역!D18)</f>
        <v/>
      </c>
      <c r="D175" s="66">
        <f>IF(21구역!E18="","",21구역!E18)</f>
        <v/>
      </c>
      <c r="E175" s="66">
        <f>IF(21구역!F18="","",21구역!F18)</f>
        <v/>
      </c>
      <c r="F175" s="66">
        <f>IF(21구역!G18="","",21구역!G18)</f>
        <v/>
      </c>
      <c r="G175" s="66">
        <f>IF(21구역!H18="","",21구역!H18)</f>
        <v/>
      </c>
      <c r="H175" s="66">
        <f>IF(21구역!I18="","",21구역!I18)</f>
        <v/>
      </c>
      <c r="I175" s="66">
        <f>IF(21구역!J18="","",21구역!J18)</f>
        <v/>
      </c>
      <c r="J175" s="66">
        <f>IF(21구역!K18="","",21구역!K18)</f>
        <v/>
      </c>
      <c r="K175" s="66">
        <f>IF(21구역!L18="","",21구역!L18)</f>
        <v/>
      </c>
      <c r="L175" s="66">
        <f>IF(21구역!M18="","",21구역!M18)</f>
        <v/>
      </c>
      <c r="M175" s="66">
        <f>IF(21구역!N18="","",21구역!N18)</f>
        <v/>
      </c>
    </row>
    <row r="176" ht="15" customHeight="1" s="33">
      <c r="A176" s="66">
        <f>IF(21구역!B19="","",21구역!B19)</f>
        <v/>
      </c>
      <c r="B176" s="66">
        <f>IF(21구역!C19="","",21구역!C19)</f>
        <v/>
      </c>
      <c r="C176" s="66">
        <f>IF(21구역!D19="","",21구역!D19)</f>
        <v/>
      </c>
      <c r="D176" s="66">
        <f>IF(21구역!E19="","",21구역!E19)</f>
        <v/>
      </c>
      <c r="E176" s="66">
        <f>IF(21구역!F19="","",21구역!F19)</f>
        <v/>
      </c>
      <c r="F176" s="66">
        <f>IF(21구역!G19="","",21구역!G19)</f>
        <v/>
      </c>
      <c r="G176" s="66">
        <f>IF(21구역!H19="","",21구역!H19)</f>
        <v/>
      </c>
      <c r="H176" s="66">
        <f>IF(21구역!I19="","",21구역!I19)</f>
        <v/>
      </c>
      <c r="I176" s="66">
        <f>IF(21구역!J19="","",21구역!J19)</f>
        <v/>
      </c>
      <c r="J176" s="66">
        <f>IF(21구역!K19="","",21구역!K19)</f>
        <v/>
      </c>
      <c r="K176" s="66">
        <f>IF(21구역!L19="","",21구역!L19)</f>
        <v/>
      </c>
      <c r="L176" s="66">
        <f>IF(21구역!M19="","",21구역!M19)</f>
        <v/>
      </c>
      <c r="M176" s="66">
        <f>IF(21구역!N19="","",21구역!N19)</f>
        <v/>
      </c>
    </row>
    <row r="177" ht="15" customHeight="1" s="33">
      <c r="A177" s="66">
        <f>IF(21구역!B20="","",21구역!B20)</f>
        <v/>
      </c>
      <c r="B177" s="66">
        <f>IF(21구역!C20="","",21구역!C20)</f>
        <v/>
      </c>
      <c r="C177" s="66">
        <f>IF(21구역!D20="","",21구역!D20)</f>
        <v/>
      </c>
      <c r="D177" s="66">
        <f>IF(21구역!E20="","",21구역!E20)</f>
        <v/>
      </c>
      <c r="E177" s="66">
        <f>IF(21구역!F20="","",21구역!F20)</f>
        <v/>
      </c>
      <c r="F177" s="66">
        <f>IF(21구역!G20="","",21구역!G20)</f>
        <v/>
      </c>
      <c r="G177" s="66">
        <f>IF(21구역!H20="","",21구역!H20)</f>
        <v/>
      </c>
      <c r="H177" s="66">
        <f>IF(21구역!I20="","",21구역!I20)</f>
        <v/>
      </c>
      <c r="I177" s="66">
        <f>IF(21구역!J20="","",21구역!J20)</f>
        <v/>
      </c>
      <c r="J177" s="66">
        <f>IF(21구역!K20="","",21구역!K20)</f>
        <v/>
      </c>
      <c r="K177" s="66">
        <f>IF(21구역!L20="","",21구역!L20)</f>
        <v/>
      </c>
      <c r="L177" s="66">
        <f>IF(21구역!M20="","",21구역!M20)</f>
        <v/>
      </c>
      <c r="M177" s="66">
        <f>IF(21구역!N20="","",21구역!N20)</f>
        <v/>
      </c>
    </row>
    <row r="178" ht="15" customHeight="1" s="33">
      <c r="A178" s="66">
        <f>IF(21구역!B21="","",21구역!B21)</f>
        <v/>
      </c>
      <c r="B178" s="66">
        <f>IF(21구역!C21="","",21구역!C21)</f>
        <v/>
      </c>
      <c r="C178" s="66">
        <f>IF(21구역!D21="","",21구역!D21)</f>
        <v/>
      </c>
      <c r="D178" s="66">
        <f>IF(21구역!E21="","",21구역!E21)</f>
        <v/>
      </c>
      <c r="E178" s="66">
        <f>IF(21구역!F21="","",21구역!F21)</f>
        <v/>
      </c>
      <c r="F178" s="66">
        <f>IF(21구역!G21="","",21구역!G21)</f>
        <v/>
      </c>
      <c r="G178" s="66">
        <f>IF(21구역!H21="","",21구역!H21)</f>
        <v/>
      </c>
      <c r="H178" s="66">
        <f>IF(21구역!I21="","",21구역!I21)</f>
        <v/>
      </c>
      <c r="I178" s="66">
        <f>IF(21구역!J21="","",21구역!J21)</f>
        <v/>
      </c>
      <c r="J178" s="66">
        <f>IF(21구역!K21="","",21구역!K21)</f>
        <v/>
      </c>
      <c r="K178" s="66">
        <f>IF(21구역!L21="","",21구역!L21)</f>
        <v/>
      </c>
      <c r="L178" s="66">
        <f>IF(21구역!M21="","",21구역!M21)</f>
        <v/>
      </c>
      <c r="M178" s="66">
        <f>IF(21구역!N21="","",21구역!N21)</f>
        <v/>
      </c>
    </row>
    <row r="179" ht="15" customHeight="1" s="33">
      <c r="A179" s="66">
        <f>IF(21구역!B22="","",21구역!B22)</f>
        <v/>
      </c>
      <c r="B179" s="66">
        <f>IF(21구역!C22="","",21구역!C22)</f>
        <v/>
      </c>
      <c r="C179" s="66">
        <f>IF(21구역!D22="","",21구역!D22)</f>
        <v/>
      </c>
      <c r="D179" s="66">
        <f>IF(21구역!E22="","",21구역!E22)</f>
        <v/>
      </c>
      <c r="E179" s="66">
        <f>IF(21구역!F22="","",21구역!F22)</f>
        <v/>
      </c>
      <c r="F179" s="66">
        <f>IF(21구역!G22="","",21구역!G22)</f>
        <v/>
      </c>
      <c r="G179" s="66">
        <f>IF(21구역!H22="","",21구역!H22)</f>
        <v/>
      </c>
      <c r="H179" s="66">
        <f>IF(21구역!I22="","",21구역!I22)</f>
        <v/>
      </c>
      <c r="I179" s="66">
        <f>IF(21구역!J22="","",21구역!J22)</f>
        <v/>
      </c>
      <c r="J179" s="66">
        <f>IF(21구역!K22="","",21구역!K22)</f>
        <v/>
      </c>
      <c r="K179" s="66">
        <f>IF(21구역!L22="","",21구역!L22)</f>
        <v/>
      </c>
      <c r="L179" s="66">
        <f>IF(21구역!M22="","",21구역!M22)</f>
        <v/>
      </c>
      <c r="M179" s="66">
        <f>IF(21구역!N22="","",21구역!N22)</f>
        <v/>
      </c>
    </row>
    <row r="180" ht="15" customHeight="1" s="33">
      <c r="A180" s="66">
        <f>IF(21구역!B23="","",21구역!B23)</f>
        <v/>
      </c>
      <c r="B180" s="66">
        <f>IF(21구역!C23="","",21구역!C23)</f>
        <v/>
      </c>
      <c r="C180" s="66">
        <f>IF(21구역!D23="","",21구역!D23)</f>
        <v/>
      </c>
      <c r="D180" s="66">
        <f>IF(21구역!E23="","",21구역!E23)</f>
        <v/>
      </c>
      <c r="E180" s="66">
        <f>IF(21구역!F23="","",21구역!F23)</f>
        <v/>
      </c>
      <c r="F180" s="66">
        <f>IF(21구역!G23="","",21구역!G23)</f>
        <v/>
      </c>
      <c r="G180" s="66">
        <f>IF(21구역!H23="","",21구역!H23)</f>
        <v/>
      </c>
      <c r="H180" s="66">
        <f>IF(21구역!I23="","",21구역!I23)</f>
        <v/>
      </c>
      <c r="I180" s="66">
        <f>IF(21구역!J23="","",21구역!J23)</f>
        <v/>
      </c>
      <c r="J180" s="66">
        <f>IF(21구역!K23="","",21구역!K23)</f>
        <v/>
      </c>
      <c r="K180" s="66">
        <f>IF(21구역!L23="","",21구역!L23)</f>
        <v/>
      </c>
      <c r="L180" s="66">
        <f>IF(21구역!M23="","",21구역!M23)</f>
        <v/>
      </c>
      <c r="M180" s="66">
        <f>IF(21구역!N23="","",21구역!N23)</f>
        <v/>
      </c>
    </row>
    <row r="181" ht="15" customHeight="1" s="33">
      <c r="A181" s="66">
        <f>IF(21구역!B24="","",21구역!B24)</f>
        <v/>
      </c>
      <c r="B181" s="66">
        <f>IF(21구역!C24="","",21구역!C24)</f>
        <v/>
      </c>
      <c r="C181" s="66">
        <f>IF(21구역!D24="","",21구역!D24)</f>
        <v/>
      </c>
      <c r="D181" s="66">
        <f>IF(21구역!E24="","",21구역!E24)</f>
        <v/>
      </c>
      <c r="E181" s="66">
        <f>IF(21구역!F24="","",21구역!F24)</f>
        <v/>
      </c>
      <c r="F181" s="66">
        <f>IF(21구역!G24="","",21구역!G24)</f>
        <v/>
      </c>
      <c r="G181" s="66">
        <f>IF(21구역!H24="","",21구역!H24)</f>
        <v/>
      </c>
      <c r="H181" s="66">
        <f>IF(21구역!I24="","",21구역!I24)</f>
        <v/>
      </c>
      <c r="I181" s="66">
        <f>IF(21구역!J24="","",21구역!J24)</f>
        <v/>
      </c>
      <c r="J181" s="66">
        <f>IF(21구역!K24="","",21구역!K24)</f>
        <v/>
      </c>
      <c r="K181" s="66">
        <f>IF(21구역!L24="","",21구역!L24)</f>
        <v/>
      </c>
      <c r="L181" s="66">
        <f>IF(21구역!M24="","",21구역!M24)</f>
        <v/>
      </c>
      <c r="M181" s="66">
        <f>IF(21구역!N24="","",21구역!N24)</f>
        <v/>
      </c>
    </row>
    <row r="182" ht="15" customHeight="1" s="33">
      <c r="A182" s="66">
        <f>IF(21구역!B25="","",21구역!B25)</f>
        <v/>
      </c>
      <c r="B182" s="66">
        <f>IF(21구역!C25="","",21구역!C25)</f>
        <v/>
      </c>
      <c r="C182" s="66">
        <f>IF(21구역!D25="","",21구역!D25)</f>
        <v/>
      </c>
      <c r="D182" s="66">
        <f>IF(21구역!E25="","",21구역!E25)</f>
        <v/>
      </c>
      <c r="E182" s="66">
        <f>IF(21구역!F25="","",21구역!F25)</f>
        <v/>
      </c>
      <c r="F182" s="66">
        <f>IF(21구역!G25="","",21구역!G25)</f>
        <v/>
      </c>
      <c r="G182" s="66">
        <f>IF(21구역!H25="","",21구역!H25)</f>
        <v/>
      </c>
      <c r="H182" s="66">
        <f>IF(21구역!I25="","",21구역!I25)</f>
        <v/>
      </c>
      <c r="I182" s="66">
        <f>IF(21구역!J25="","",21구역!J25)</f>
        <v/>
      </c>
      <c r="J182" s="66">
        <f>IF(21구역!K25="","",21구역!K25)</f>
        <v/>
      </c>
      <c r="K182" s="66">
        <f>IF(21구역!L25="","",21구역!L25)</f>
        <v/>
      </c>
      <c r="L182" s="66">
        <f>IF(21구역!M25="","",21구역!M25)</f>
        <v/>
      </c>
      <c r="M182" s="66">
        <f>IF(21구역!N25="","",21구역!N25)</f>
        <v/>
      </c>
    </row>
    <row r="183" ht="15" customHeight="1" s="33">
      <c r="A183" s="66">
        <f>IF(21구역!B26="","",21구역!B26)</f>
        <v/>
      </c>
      <c r="B183" s="66">
        <f>IF(21구역!C26="","",21구역!C26)</f>
        <v/>
      </c>
      <c r="C183" s="66">
        <f>IF(21구역!D26="","",21구역!D26)</f>
        <v/>
      </c>
      <c r="D183" s="66">
        <f>IF(21구역!E26="","",21구역!E26)</f>
        <v/>
      </c>
      <c r="E183" s="66">
        <f>IF(21구역!F26="","",21구역!F26)</f>
        <v/>
      </c>
      <c r="F183" s="66">
        <f>IF(21구역!G26="","",21구역!G26)</f>
        <v/>
      </c>
      <c r="G183" s="66">
        <f>IF(21구역!H26="","",21구역!H26)</f>
        <v/>
      </c>
      <c r="H183" s="66">
        <f>IF(21구역!I26="","",21구역!I26)</f>
        <v/>
      </c>
      <c r="I183" s="66">
        <f>IF(21구역!J26="","",21구역!J26)</f>
        <v/>
      </c>
      <c r="J183" s="66">
        <f>IF(21구역!K26="","",21구역!K26)</f>
        <v/>
      </c>
      <c r="K183" s="66">
        <f>IF(21구역!L26="","",21구역!L26)</f>
        <v/>
      </c>
      <c r="L183" s="66">
        <f>IF(21구역!M26="","",21구역!M26)</f>
        <v/>
      </c>
      <c r="M183" s="66">
        <f>IF(21구역!N26="","",21구역!N26)</f>
        <v/>
      </c>
    </row>
    <row r="184" ht="15" customHeight="1" s="33">
      <c r="A184" s="66">
        <f>IF(21구역!B27="","",21구역!B27)</f>
        <v/>
      </c>
      <c r="B184" s="66">
        <f>IF(21구역!C27="","",21구역!C27)</f>
        <v/>
      </c>
      <c r="C184" s="66">
        <f>IF(21구역!D27="","",21구역!D27)</f>
        <v/>
      </c>
      <c r="D184" s="66">
        <f>IF(21구역!E27="","",21구역!E27)</f>
        <v/>
      </c>
      <c r="E184" s="66">
        <f>IF(21구역!F27="","",21구역!F27)</f>
        <v/>
      </c>
      <c r="F184" s="66">
        <f>IF(21구역!G27="","",21구역!G27)</f>
        <v/>
      </c>
      <c r="G184" s="66">
        <f>IF(21구역!H27="","",21구역!H27)</f>
        <v/>
      </c>
      <c r="H184" s="66">
        <f>IF(21구역!I27="","",21구역!I27)</f>
        <v/>
      </c>
      <c r="I184" s="66">
        <f>IF(21구역!J27="","",21구역!J27)</f>
        <v/>
      </c>
      <c r="J184" s="66">
        <f>IF(21구역!K27="","",21구역!K27)</f>
        <v/>
      </c>
      <c r="K184" s="66">
        <f>IF(21구역!L27="","",21구역!L27)</f>
        <v/>
      </c>
      <c r="L184" s="66">
        <f>IF(21구역!M27="","",21구역!M27)</f>
        <v/>
      </c>
      <c r="M184" s="66">
        <f>IF(21구역!N27="","",21구역!N27)</f>
        <v/>
      </c>
    </row>
    <row r="185" ht="15" customHeight="1" s="33">
      <c r="A185" s="66">
        <f>IF(21구역!B28="","",21구역!B28)</f>
        <v/>
      </c>
      <c r="B185" s="66">
        <f>IF(21구역!C28="","",21구역!C28)</f>
        <v/>
      </c>
      <c r="C185" s="66">
        <f>IF(21구역!D28="","",21구역!D28)</f>
        <v/>
      </c>
      <c r="D185" s="66">
        <f>IF(21구역!E28="","",21구역!E28)</f>
        <v/>
      </c>
      <c r="E185" s="66">
        <f>IF(21구역!F28="","",21구역!F28)</f>
        <v/>
      </c>
      <c r="F185" s="66">
        <f>IF(21구역!G28="","",21구역!G28)</f>
        <v/>
      </c>
      <c r="G185" s="66">
        <f>IF(21구역!H28="","",21구역!H28)</f>
        <v/>
      </c>
      <c r="H185" s="66">
        <f>IF(21구역!I28="","",21구역!I28)</f>
        <v/>
      </c>
      <c r="I185" s="66">
        <f>IF(21구역!J28="","",21구역!J28)</f>
        <v/>
      </c>
      <c r="J185" s="66">
        <f>IF(21구역!K28="","",21구역!K28)</f>
        <v/>
      </c>
      <c r="K185" s="66">
        <f>IF(21구역!L28="","",21구역!L28)</f>
        <v/>
      </c>
      <c r="L185" s="66">
        <f>IF(21구역!M28="","",21구역!M28)</f>
        <v/>
      </c>
      <c r="M185" s="66">
        <f>IF(21구역!N28="","",21구역!N28)</f>
        <v/>
      </c>
    </row>
    <row r="186" ht="15" customHeight="1" s="33">
      <c r="A186" s="66">
        <f>IF(21구역!B29="","",21구역!B29)</f>
        <v/>
      </c>
      <c r="B186" s="66">
        <f>IF(21구역!C29="","",21구역!C29)</f>
        <v/>
      </c>
      <c r="C186" s="66">
        <f>IF(21구역!D29="","",21구역!D29)</f>
        <v/>
      </c>
      <c r="D186" s="66">
        <f>IF(21구역!E29="","",21구역!E29)</f>
        <v/>
      </c>
      <c r="E186" s="66">
        <f>IF(21구역!F29="","",21구역!F29)</f>
        <v/>
      </c>
      <c r="F186" s="66">
        <f>IF(21구역!G29="","",21구역!G29)</f>
        <v/>
      </c>
      <c r="G186" s="66">
        <f>IF(21구역!H29="","",21구역!H29)</f>
        <v/>
      </c>
      <c r="H186" s="66">
        <f>IF(21구역!I29="","",21구역!I29)</f>
        <v/>
      </c>
      <c r="I186" s="66">
        <f>IF(21구역!J29="","",21구역!J29)</f>
        <v/>
      </c>
      <c r="J186" s="66">
        <f>IF(21구역!K29="","",21구역!K29)</f>
        <v/>
      </c>
      <c r="K186" s="66">
        <f>IF(21구역!L29="","",21구역!L29)</f>
        <v/>
      </c>
      <c r="L186" s="66">
        <f>IF(21구역!M29="","",21구역!M29)</f>
        <v/>
      </c>
      <c r="M186" s="66">
        <f>IF(21구역!N29="","",21구역!N29)</f>
        <v/>
      </c>
    </row>
    <row r="187" ht="15" customHeight="1" s="33">
      <c r="A187" s="66">
        <f>IF(21구역!B30="","",21구역!B30)</f>
        <v/>
      </c>
      <c r="B187" s="66">
        <f>IF(21구역!C30="","",21구역!C30)</f>
        <v/>
      </c>
      <c r="C187" s="66">
        <f>IF(21구역!D30="","",21구역!D30)</f>
        <v/>
      </c>
      <c r="D187" s="66">
        <f>IF(21구역!E30="","",21구역!E30)</f>
        <v/>
      </c>
      <c r="E187" s="66">
        <f>IF(21구역!F30="","",21구역!F30)</f>
        <v/>
      </c>
      <c r="F187" s="66">
        <f>IF(21구역!G30="","",21구역!G30)</f>
        <v/>
      </c>
      <c r="G187" s="66">
        <f>IF(21구역!H30="","",21구역!H30)</f>
        <v/>
      </c>
      <c r="H187" s="66">
        <f>IF(21구역!I30="","",21구역!I30)</f>
        <v/>
      </c>
      <c r="I187" s="66">
        <f>IF(21구역!J30="","",21구역!J30)</f>
        <v/>
      </c>
      <c r="J187" s="66">
        <f>IF(21구역!K30="","",21구역!K30)</f>
        <v/>
      </c>
      <c r="K187" s="66">
        <f>IF(21구역!L30="","",21구역!L30)</f>
        <v/>
      </c>
      <c r="L187" s="66">
        <f>IF(21구역!M30="","",21구역!M30)</f>
        <v/>
      </c>
      <c r="M187" s="66">
        <f>IF(21구역!N30="","",21구역!N30)</f>
        <v/>
      </c>
    </row>
    <row r="188" ht="15" customHeight="1" s="33">
      <c r="A188" s="66">
        <f>IF(21구역!B31="","",21구역!B31)</f>
        <v/>
      </c>
      <c r="B188" s="66">
        <f>IF(21구역!C31="","",21구역!C31)</f>
        <v/>
      </c>
      <c r="C188" s="66">
        <f>IF(21구역!D31="","",21구역!D31)</f>
        <v/>
      </c>
      <c r="D188" s="66">
        <f>IF(21구역!E31="","",21구역!E31)</f>
        <v/>
      </c>
      <c r="E188" s="66">
        <f>IF(21구역!F31="","",21구역!F31)</f>
        <v/>
      </c>
      <c r="F188" s="66">
        <f>IF(21구역!G31="","",21구역!G31)</f>
        <v/>
      </c>
      <c r="G188" s="66">
        <f>IF(21구역!H31="","",21구역!H31)</f>
        <v/>
      </c>
      <c r="H188" s="66">
        <f>IF(21구역!I31="","",21구역!I31)</f>
        <v/>
      </c>
      <c r="I188" s="66">
        <f>IF(21구역!J31="","",21구역!J31)</f>
        <v/>
      </c>
      <c r="J188" s="66">
        <f>IF(21구역!K31="","",21구역!K31)</f>
        <v/>
      </c>
      <c r="K188" s="66">
        <f>IF(21구역!L31="","",21구역!L31)</f>
        <v/>
      </c>
      <c r="L188" s="66">
        <f>IF(21구역!M31="","",21구역!M31)</f>
        <v/>
      </c>
      <c r="M188" s="66">
        <f>IF(21구역!N31="","",21구역!N31)</f>
        <v/>
      </c>
    </row>
    <row r="189" ht="15" customHeight="1" s="33">
      <c r="A189" s="66">
        <f>IF(21구역!B32="","",21구역!B32)</f>
        <v/>
      </c>
      <c r="B189" s="66">
        <f>IF(21구역!C32="","",21구역!C32)</f>
        <v/>
      </c>
      <c r="C189" s="66">
        <f>IF(21구역!D32="","",21구역!D32)</f>
        <v/>
      </c>
      <c r="D189" s="66">
        <f>IF(21구역!E32="","",21구역!E32)</f>
        <v/>
      </c>
      <c r="E189" s="66">
        <f>IF(21구역!F32="","",21구역!F32)</f>
        <v/>
      </c>
      <c r="F189" s="66">
        <f>IF(21구역!G32="","",21구역!G32)</f>
        <v/>
      </c>
      <c r="G189" s="66">
        <f>IF(21구역!H32="","",21구역!H32)</f>
        <v/>
      </c>
      <c r="H189" s="66">
        <f>IF(21구역!I32="","",21구역!I32)</f>
        <v/>
      </c>
      <c r="I189" s="66">
        <f>IF(21구역!J32="","",21구역!J32)</f>
        <v/>
      </c>
      <c r="J189" s="66">
        <f>IF(21구역!K32="","",21구역!K32)</f>
        <v/>
      </c>
      <c r="K189" s="66">
        <f>IF(21구역!L32="","",21구역!L32)</f>
        <v/>
      </c>
      <c r="L189" s="66">
        <f>IF(21구역!M32="","",21구역!M32)</f>
        <v/>
      </c>
      <c r="M189" s="66">
        <f>IF(21구역!N32="","",21구역!N32)</f>
        <v/>
      </c>
    </row>
    <row r="190" ht="15" customHeight="1" s="33">
      <c r="A190" s="66">
        <f>IF(21구역!B33="","",21구역!B33)</f>
        <v/>
      </c>
      <c r="B190" s="66">
        <f>IF(21구역!C33="","",21구역!C33)</f>
        <v/>
      </c>
      <c r="C190" s="66">
        <f>IF(21구역!D33="","",21구역!D33)</f>
        <v/>
      </c>
      <c r="D190" s="66">
        <f>IF(21구역!E33="","",21구역!E33)</f>
        <v/>
      </c>
      <c r="E190" s="66">
        <f>IF(21구역!F33="","",21구역!F33)</f>
        <v/>
      </c>
      <c r="F190" s="66">
        <f>IF(21구역!G33="","",21구역!G33)</f>
        <v/>
      </c>
      <c r="G190" s="66">
        <f>IF(21구역!H33="","",21구역!H33)</f>
        <v/>
      </c>
      <c r="H190" s="66">
        <f>IF(21구역!I33="","",21구역!I33)</f>
        <v/>
      </c>
      <c r="I190" s="66">
        <f>IF(21구역!J33="","",21구역!J33)</f>
        <v/>
      </c>
      <c r="J190" s="66">
        <f>IF(21구역!K33="","",21구역!K33)</f>
        <v/>
      </c>
      <c r="K190" s="66">
        <f>IF(21구역!L33="","",21구역!L33)</f>
        <v/>
      </c>
      <c r="L190" s="66">
        <f>IF(21구역!M33="","",21구역!M33)</f>
        <v/>
      </c>
      <c r="M190" s="66">
        <f>IF(21구역!N33="","",21구역!N33)</f>
        <v/>
      </c>
    </row>
    <row r="191" ht="15" customHeight="1" s="33">
      <c r="A191" s="66">
        <f>IF(21구역!B34="","",21구역!B34)</f>
        <v/>
      </c>
      <c r="B191" s="66">
        <f>IF(21구역!C34="","",21구역!C34)</f>
        <v/>
      </c>
      <c r="C191" s="66">
        <f>IF(21구역!D34="","",21구역!D34)</f>
        <v/>
      </c>
      <c r="D191" s="66">
        <f>IF(21구역!E34="","",21구역!E34)</f>
        <v/>
      </c>
      <c r="E191" s="66">
        <f>IF(21구역!F34="","",21구역!F34)</f>
        <v/>
      </c>
      <c r="F191" s="66">
        <f>IF(21구역!G34="","",21구역!G34)</f>
        <v/>
      </c>
      <c r="G191" s="66">
        <f>IF(21구역!H34="","",21구역!H34)</f>
        <v/>
      </c>
      <c r="H191" s="66">
        <f>IF(21구역!I34="","",21구역!I34)</f>
        <v/>
      </c>
      <c r="I191" s="66">
        <f>IF(21구역!J34="","",21구역!J34)</f>
        <v/>
      </c>
      <c r="J191" s="66">
        <f>IF(21구역!K34="","",21구역!K34)</f>
        <v/>
      </c>
      <c r="K191" s="66">
        <f>IF(21구역!L34="","",21구역!L34)</f>
        <v/>
      </c>
      <c r="L191" s="66">
        <f>IF(21구역!M34="","",21구역!M34)</f>
        <v/>
      </c>
      <c r="M191" s="66">
        <f>IF(21구역!N34="","",21구역!N34)</f>
        <v/>
      </c>
    </row>
    <row r="192" ht="15" customHeight="1" s="33">
      <c r="A192" s="66">
        <f>IF(21구역!B35="","",21구역!B35)</f>
        <v/>
      </c>
      <c r="B192" s="66">
        <f>IF(21구역!C35="","",21구역!C35)</f>
        <v/>
      </c>
      <c r="C192" s="66">
        <f>IF(21구역!D35="","",21구역!D35)</f>
        <v/>
      </c>
      <c r="D192" s="66">
        <f>IF(21구역!E35="","",21구역!E35)</f>
        <v/>
      </c>
      <c r="E192" s="66">
        <f>IF(21구역!F35="","",21구역!F35)</f>
        <v/>
      </c>
      <c r="F192" s="66">
        <f>IF(21구역!G35="","",21구역!G35)</f>
        <v/>
      </c>
      <c r="G192" s="66">
        <f>IF(21구역!H35="","",21구역!H35)</f>
        <v/>
      </c>
      <c r="H192" s="66">
        <f>IF(21구역!I35="","",21구역!I35)</f>
        <v/>
      </c>
      <c r="I192" s="66">
        <f>IF(21구역!J35="","",21구역!J35)</f>
        <v/>
      </c>
      <c r="J192" s="66">
        <f>IF(21구역!K35="","",21구역!K35)</f>
        <v/>
      </c>
      <c r="K192" s="66">
        <f>IF(21구역!L35="","",21구역!L35)</f>
        <v/>
      </c>
      <c r="L192" s="66">
        <f>IF(21구역!M35="","",21구역!M35)</f>
        <v/>
      </c>
      <c r="M192" s="66">
        <f>IF(21구역!N35="","",21구역!N35)</f>
        <v/>
      </c>
    </row>
    <row r="193" ht="15" customHeight="1" s="33">
      <c r="A193" s="66">
        <f>IF(21구역!B36="","",21구역!B36)</f>
        <v/>
      </c>
      <c r="B193" s="66">
        <f>IF(21구역!C36="","",21구역!C36)</f>
        <v/>
      </c>
      <c r="C193" s="66">
        <f>IF(21구역!D36="","",21구역!D36)</f>
        <v/>
      </c>
      <c r="D193" s="66">
        <f>IF(21구역!E36="","",21구역!E36)</f>
        <v/>
      </c>
      <c r="E193" s="66">
        <f>IF(21구역!F36="","",21구역!F36)</f>
        <v/>
      </c>
      <c r="F193" s="66">
        <f>IF(21구역!G36="","",21구역!G36)</f>
        <v/>
      </c>
      <c r="G193" s="66">
        <f>IF(21구역!H36="","",21구역!H36)</f>
        <v/>
      </c>
      <c r="H193" s="66">
        <f>IF(21구역!I36="","",21구역!I36)</f>
        <v/>
      </c>
      <c r="I193" s="66">
        <f>IF(21구역!J36="","",21구역!J36)</f>
        <v/>
      </c>
      <c r="J193" s="66">
        <f>IF(21구역!K36="","",21구역!K36)</f>
        <v/>
      </c>
      <c r="K193" s="66">
        <f>IF(21구역!L36="","",21구역!L36)</f>
        <v/>
      </c>
      <c r="L193" s="66">
        <f>IF(21구역!M36="","",21구역!M36)</f>
        <v/>
      </c>
      <c r="M193" s="66">
        <f>IF(21구역!N36="","",21구역!N36)</f>
        <v/>
      </c>
    </row>
    <row r="194" ht="15" customHeight="1" s="33">
      <c r="A194" s="66">
        <f>IF(21구역!B37="","",21구역!B37)</f>
        <v/>
      </c>
      <c r="B194" s="66">
        <f>IF(21구역!C37="","",21구역!C37)</f>
        <v/>
      </c>
      <c r="C194" s="66">
        <f>IF(21구역!D37="","",21구역!D37)</f>
        <v/>
      </c>
      <c r="D194" s="66">
        <f>IF(21구역!E37="","",21구역!E37)</f>
        <v/>
      </c>
      <c r="E194" s="66">
        <f>IF(21구역!F37="","",21구역!F37)</f>
        <v/>
      </c>
      <c r="F194" s="66">
        <f>IF(21구역!G37="","",21구역!G37)</f>
        <v/>
      </c>
      <c r="G194" s="66">
        <f>IF(21구역!H37="","",21구역!H37)</f>
        <v/>
      </c>
      <c r="H194" s="66">
        <f>IF(21구역!I37="","",21구역!I37)</f>
        <v/>
      </c>
      <c r="I194" s="66">
        <f>IF(21구역!J37="","",21구역!J37)</f>
        <v/>
      </c>
      <c r="J194" s="66">
        <f>IF(21구역!K37="","",21구역!K37)</f>
        <v/>
      </c>
      <c r="K194" s="66">
        <f>IF(21구역!L37="","",21구역!L37)</f>
        <v/>
      </c>
      <c r="L194" s="66">
        <f>IF(21구역!M37="","",21구역!M37)</f>
        <v/>
      </c>
      <c r="M194" s="66">
        <f>IF(21구역!N37="","",21구역!N37)</f>
        <v/>
      </c>
    </row>
    <row r="195" ht="15" customHeight="1" s="33">
      <c r="A195" s="66">
        <f>IF(21구역!B38="","",21구역!B38)</f>
        <v/>
      </c>
      <c r="B195" s="66">
        <f>IF(21구역!C38="","",21구역!C38)</f>
        <v/>
      </c>
      <c r="C195" s="66">
        <f>IF(21구역!D38="","",21구역!D38)</f>
        <v/>
      </c>
      <c r="D195" s="66">
        <f>IF(21구역!E38="","",21구역!E38)</f>
        <v/>
      </c>
      <c r="E195" s="66">
        <f>IF(21구역!F38="","",21구역!F38)</f>
        <v/>
      </c>
      <c r="F195" s="66">
        <f>IF(21구역!G38="","",21구역!G38)</f>
        <v/>
      </c>
      <c r="G195" s="66">
        <f>IF(21구역!H38="","",21구역!H38)</f>
        <v/>
      </c>
      <c r="H195" s="66">
        <f>IF(21구역!I38="","",21구역!I38)</f>
        <v/>
      </c>
      <c r="I195" s="66">
        <f>IF(21구역!J38="","",21구역!J38)</f>
        <v/>
      </c>
      <c r="J195" s="66">
        <f>IF(21구역!K38="","",21구역!K38)</f>
        <v/>
      </c>
      <c r="K195" s="66">
        <f>IF(21구역!L38="","",21구역!L38)</f>
        <v/>
      </c>
      <c r="L195" s="66">
        <f>IF(21구역!M38="","",21구역!M38)</f>
        <v/>
      </c>
      <c r="M195" s="66">
        <f>IF(21구역!N38="","",21구역!N38)</f>
        <v/>
      </c>
    </row>
    <row r="196" ht="15" customHeight="1" s="33">
      <c r="A196" s="66">
        <f>IF(21구역!B39="","",21구역!B39)</f>
        <v/>
      </c>
      <c r="B196" s="66">
        <f>IF(21구역!C39="","",21구역!C39)</f>
        <v/>
      </c>
      <c r="C196" s="66">
        <f>IF(21구역!D39="","",21구역!D39)</f>
        <v/>
      </c>
      <c r="D196" s="66">
        <f>IF(21구역!E39="","",21구역!E39)</f>
        <v/>
      </c>
      <c r="E196" s="66">
        <f>IF(21구역!F39="","",21구역!F39)</f>
        <v/>
      </c>
      <c r="F196" s="66">
        <f>IF(21구역!G39="","",21구역!G39)</f>
        <v/>
      </c>
      <c r="G196" s="66">
        <f>IF(21구역!H39="","",21구역!H39)</f>
        <v/>
      </c>
      <c r="H196" s="66">
        <f>IF(21구역!I39="","",21구역!I39)</f>
        <v/>
      </c>
      <c r="I196" s="66">
        <f>IF(21구역!J39="","",21구역!J39)</f>
        <v/>
      </c>
      <c r="J196" s="66">
        <f>IF(21구역!K39="","",21구역!K39)</f>
        <v/>
      </c>
      <c r="K196" s="66">
        <f>IF(21구역!L39="","",21구역!L39)</f>
        <v/>
      </c>
      <c r="L196" s="66">
        <f>IF(21구역!M39="","",21구역!M39)</f>
        <v/>
      </c>
      <c r="M196" s="66">
        <f>IF(21구역!N39="","",21구역!N39)</f>
        <v/>
      </c>
    </row>
    <row r="197" ht="15" customHeight="1" s="33">
      <c r="A197" s="66">
        <f>IF(21구역!B40="","",21구역!B40)</f>
        <v/>
      </c>
      <c r="B197" s="66">
        <f>IF(21구역!C40="","",21구역!C40)</f>
        <v/>
      </c>
      <c r="C197" s="66">
        <f>IF(21구역!D40="","",21구역!D40)</f>
        <v/>
      </c>
      <c r="D197" s="66">
        <f>IF(21구역!E40="","",21구역!E40)</f>
        <v/>
      </c>
      <c r="E197" s="66">
        <f>IF(21구역!F40="","",21구역!F40)</f>
        <v/>
      </c>
      <c r="F197" s="66">
        <f>IF(21구역!G40="","",21구역!G40)</f>
        <v/>
      </c>
      <c r="G197" s="66">
        <f>IF(21구역!H40="","",21구역!H40)</f>
        <v/>
      </c>
      <c r="H197" s="66">
        <f>IF(21구역!I40="","",21구역!I40)</f>
        <v/>
      </c>
      <c r="I197" s="66">
        <f>IF(21구역!J40="","",21구역!J40)</f>
        <v/>
      </c>
      <c r="J197" s="66">
        <f>IF(21구역!K40="","",21구역!K40)</f>
        <v/>
      </c>
      <c r="K197" s="66">
        <f>IF(21구역!L40="","",21구역!L40)</f>
        <v/>
      </c>
      <c r="L197" s="66">
        <f>IF(21구역!M40="","",21구역!M40)</f>
        <v/>
      </c>
      <c r="M197" s="66">
        <f>IF(21구역!N40="","",21구역!N40)</f>
        <v/>
      </c>
    </row>
    <row r="198" ht="15" customHeight="1" s="33">
      <c r="A198" s="66">
        <f>IF(21구역!B41="","",21구역!B41)</f>
        <v/>
      </c>
      <c r="B198" s="66">
        <f>IF(21구역!C41="","",21구역!C41)</f>
        <v/>
      </c>
      <c r="C198" s="66">
        <f>IF(21구역!D41="","",21구역!D41)</f>
        <v/>
      </c>
      <c r="D198" s="66">
        <f>IF(21구역!E41="","",21구역!E41)</f>
        <v/>
      </c>
      <c r="E198" s="66">
        <f>IF(21구역!F41="","",21구역!F41)</f>
        <v/>
      </c>
      <c r="F198" s="66">
        <f>IF(21구역!G41="","",21구역!G41)</f>
        <v/>
      </c>
      <c r="G198" s="66">
        <f>IF(21구역!H41="","",21구역!H41)</f>
        <v/>
      </c>
      <c r="H198" s="66">
        <f>IF(21구역!I41="","",21구역!I41)</f>
        <v/>
      </c>
      <c r="I198" s="66">
        <f>IF(21구역!J41="","",21구역!J41)</f>
        <v/>
      </c>
      <c r="J198" s="66">
        <f>IF(21구역!K41="","",21구역!K41)</f>
        <v/>
      </c>
      <c r="K198" s="66">
        <f>IF(21구역!L41="","",21구역!L41)</f>
        <v/>
      </c>
      <c r="L198" s="66">
        <f>IF(21구역!M41="","",21구역!M41)</f>
        <v/>
      </c>
      <c r="M198" s="66">
        <f>IF(21구역!N41="","",21구역!N41)</f>
        <v/>
      </c>
    </row>
    <row r="199" ht="15" customHeight="1" s="33">
      <c r="A199" s="66">
        <f>IF(21구역!B42="","",21구역!B42)</f>
        <v/>
      </c>
      <c r="B199" s="66">
        <f>IF(21구역!C42="","",21구역!C42)</f>
        <v/>
      </c>
      <c r="C199" s="66">
        <f>IF(21구역!D42="","",21구역!D42)</f>
        <v/>
      </c>
      <c r="D199" s="66">
        <f>IF(21구역!E42="","",21구역!E42)</f>
        <v/>
      </c>
      <c r="E199" s="66">
        <f>IF(21구역!F42="","",21구역!F42)</f>
        <v/>
      </c>
      <c r="F199" s="66">
        <f>IF(21구역!G42="","",21구역!G42)</f>
        <v/>
      </c>
      <c r="G199" s="66">
        <f>IF(21구역!H42="","",21구역!H42)</f>
        <v/>
      </c>
      <c r="H199" s="66">
        <f>IF(21구역!I42="","",21구역!I42)</f>
        <v/>
      </c>
      <c r="I199" s="66">
        <f>IF(21구역!J42="","",21구역!J42)</f>
        <v/>
      </c>
      <c r="J199" s="66">
        <f>IF(21구역!K42="","",21구역!K42)</f>
        <v/>
      </c>
      <c r="K199" s="66">
        <f>IF(21구역!L42="","",21구역!L42)</f>
        <v/>
      </c>
      <c r="L199" s="66">
        <f>IF(21구역!M42="","",21구역!M42)</f>
        <v/>
      </c>
      <c r="M199" s="66">
        <f>IF(21구역!N42="","",21구역!N42)</f>
        <v/>
      </c>
    </row>
    <row r="200" ht="15" customHeight="1" s="33">
      <c r="A200" s="66">
        <f>IF(21구역!B43="","",21구역!B43)</f>
        <v/>
      </c>
      <c r="B200" s="66">
        <f>IF(21구역!C43="","",21구역!C43)</f>
        <v/>
      </c>
      <c r="C200" s="66">
        <f>IF(21구역!D43="","",21구역!D43)</f>
        <v/>
      </c>
      <c r="D200" s="66">
        <f>IF(21구역!E43="","",21구역!E43)</f>
        <v/>
      </c>
      <c r="E200" s="66">
        <f>IF(21구역!F43="","",21구역!F43)</f>
        <v/>
      </c>
      <c r="F200" s="66">
        <f>IF(21구역!G43="","",21구역!G43)</f>
        <v/>
      </c>
      <c r="G200" s="66">
        <f>IF(21구역!H43="","",21구역!H43)</f>
        <v/>
      </c>
      <c r="H200" s="66">
        <f>IF(21구역!I43="","",21구역!I43)</f>
        <v/>
      </c>
      <c r="I200" s="66">
        <f>IF(21구역!J43="","",21구역!J43)</f>
        <v/>
      </c>
      <c r="J200" s="66">
        <f>IF(21구역!K43="","",21구역!K43)</f>
        <v/>
      </c>
      <c r="K200" s="66">
        <f>IF(21구역!L43="","",21구역!L43)</f>
        <v/>
      </c>
      <c r="L200" s="66">
        <f>IF(21구역!M43="","",21구역!M43)</f>
        <v/>
      </c>
      <c r="M200" s="66">
        <f>IF(21구역!N43="","",21구역!N43)</f>
        <v/>
      </c>
    </row>
    <row r="201" ht="15" customHeight="1" s="33">
      <c r="A201" s="66">
        <f>IF(22구역!B4="","",22구역!B4)</f>
        <v/>
      </c>
      <c r="B201" s="66">
        <f>IF(22구역!C4="","",22구역!C4)</f>
        <v/>
      </c>
      <c r="C201" s="66">
        <f>IF(22구역!D4="","",22구역!D4)</f>
        <v/>
      </c>
      <c r="D201" s="66">
        <f>IF(22구역!E4="","",22구역!E4)</f>
        <v/>
      </c>
      <c r="E201" s="66">
        <f>IF(22구역!F4="","",22구역!F4)</f>
        <v/>
      </c>
      <c r="F201" s="66">
        <f>IF(22구역!G4="","",22구역!G4)</f>
        <v/>
      </c>
      <c r="G201" s="66">
        <f>IF(22구역!H4="","",22구역!H4)</f>
        <v/>
      </c>
      <c r="H201" s="66">
        <f>IF(22구역!I4="","",22구역!I4)</f>
        <v/>
      </c>
      <c r="I201" s="66">
        <f>IF(22구역!J4="","",22구역!J4)</f>
        <v/>
      </c>
      <c r="J201" s="66">
        <f>IF(22구역!K4="","",22구역!K4)</f>
        <v/>
      </c>
      <c r="K201" s="66">
        <f>IF(22구역!L4="","",22구역!L4)</f>
        <v/>
      </c>
      <c r="L201" s="66">
        <f>IF(22구역!M4="","",22구역!M4)</f>
        <v/>
      </c>
      <c r="M201" s="66">
        <f>IF(22구역!N4="","",22구역!N4)</f>
        <v/>
      </c>
    </row>
    <row r="202" ht="15" customHeight="1" s="33">
      <c r="A202" s="66">
        <f>IF(22구역!B5="","",22구역!B5)</f>
        <v/>
      </c>
      <c r="B202" s="66">
        <f>IF(22구역!C5="","",22구역!C5)</f>
        <v/>
      </c>
      <c r="C202" s="66">
        <f>IF(22구역!D5="","",22구역!D5)</f>
        <v/>
      </c>
      <c r="D202" s="66">
        <f>IF(22구역!E5="","",22구역!E5)</f>
        <v/>
      </c>
      <c r="E202" s="66">
        <f>IF(22구역!F5="","",22구역!F5)</f>
        <v/>
      </c>
      <c r="F202" s="66">
        <f>IF(22구역!G5="","",22구역!G5)</f>
        <v/>
      </c>
      <c r="G202" s="66">
        <f>IF(22구역!H5="","",22구역!H5)</f>
        <v/>
      </c>
      <c r="H202" s="66">
        <f>IF(22구역!I5="","",22구역!I5)</f>
        <v/>
      </c>
      <c r="I202" s="66">
        <f>IF(22구역!J5="","",22구역!J5)</f>
        <v/>
      </c>
      <c r="J202" s="66">
        <f>IF(22구역!K5="","",22구역!K5)</f>
        <v/>
      </c>
      <c r="K202" s="66">
        <f>IF(22구역!L5="","",22구역!L5)</f>
        <v/>
      </c>
      <c r="L202" s="66">
        <f>IF(22구역!M5="","",22구역!M5)</f>
        <v/>
      </c>
      <c r="M202" s="66">
        <f>IF(22구역!N5="","",22구역!N5)</f>
        <v/>
      </c>
    </row>
    <row r="203" ht="15" customHeight="1" s="33">
      <c r="A203" s="66">
        <f>IF(22구역!B6="","",22구역!B6)</f>
        <v/>
      </c>
      <c r="B203" s="66">
        <f>IF(22구역!C6="","",22구역!C6)</f>
        <v/>
      </c>
      <c r="C203" s="66">
        <f>IF(22구역!D6="","",22구역!D6)</f>
        <v/>
      </c>
      <c r="D203" s="66">
        <f>IF(22구역!E6="","",22구역!E6)</f>
        <v/>
      </c>
      <c r="E203" s="66">
        <f>IF(22구역!F6="","",22구역!F6)</f>
        <v/>
      </c>
      <c r="F203" s="66">
        <f>IF(22구역!G6="","",22구역!G6)</f>
        <v/>
      </c>
      <c r="G203" s="66">
        <f>IF(22구역!H6="","",22구역!H6)</f>
        <v/>
      </c>
      <c r="H203" s="66">
        <f>IF(22구역!I6="","",22구역!I6)</f>
        <v/>
      </c>
      <c r="I203" s="66">
        <f>IF(22구역!J6="","",22구역!J6)</f>
        <v/>
      </c>
      <c r="J203" s="66">
        <f>IF(22구역!K6="","",22구역!K6)</f>
        <v/>
      </c>
      <c r="K203" s="66">
        <f>IF(22구역!L6="","",22구역!L6)</f>
        <v/>
      </c>
      <c r="L203" s="66">
        <f>IF(22구역!M6="","",22구역!M6)</f>
        <v/>
      </c>
      <c r="M203" s="66">
        <f>IF(22구역!N6="","",22구역!N6)</f>
        <v/>
      </c>
    </row>
    <row r="204" ht="15" customHeight="1" s="33">
      <c r="A204" s="66">
        <f>IF(22구역!B7="","",22구역!B7)</f>
        <v/>
      </c>
      <c r="B204" s="66">
        <f>IF(22구역!C7="","",22구역!C7)</f>
        <v/>
      </c>
      <c r="C204" s="66">
        <f>IF(22구역!D7="","",22구역!D7)</f>
        <v/>
      </c>
      <c r="D204" s="66">
        <f>IF(22구역!E7="","",22구역!E7)</f>
        <v/>
      </c>
      <c r="E204" s="66">
        <f>IF(22구역!F7="","",22구역!F7)</f>
        <v/>
      </c>
      <c r="F204" s="66">
        <f>IF(22구역!G7="","",22구역!G7)</f>
        <v/>
      </c>
      <c r="G204" s="66">
        <f>IF(22구역!H7="","",22구역!H7)</f>
        <v/>
      </c>
      <c r="H204" s="66">
        <f>IF(22구역!I7="","",22구역!I7)</f>
        <v/>
      </c>
      <c r="I204" s="66">
        <f>IF(22구역!J7="","",22구역!J7)</f>
        <v/>
      </c>
      <c r="J204" s="66">
        <f>IF(22구역!K7="","",22구역!K7)</f>
        <v/>
      </c>
      <c r="K204" s="66">
        <f>IF(22구역!L7="","",22구역!L7)</f>
        <v/>
      </c>
      <c r="L204" s="66">
        <f>IF(22구역!M7="","",22구역!M7)</f>
        <v/>
      </c>
      <c r="M204" s="66">
        <f>IF(22구역!N7="","",22구역!N7)</f>
        <v/>
      </c>
    </row>
    <row r="205" ht="15" customHeight="1" s="33">
      <c r="A205" s="66">
        <f>IF(22구역!B8="","",22구역!B8)</f>
        <v/>
      </c>
      <c r="B205" s="66">
        <f>IF(22구역!C8="","",22구역!C8)</f>
        <v/>
      </c>
      <c r="C205" s="66">
        <f>IF(22구역!D8="","",22구역!D8)</f>
        <v/>
      </c>
      <c r="D205" s="66">
        <f>IF(22구역!E8="","",22구역!E8)</f>
        <v/>
      </c>
      <c r="E205" s="66">
        <f>IF(22구역!F8="","",22구역!F8)</f>
        <v/>
      </c>
      <c r="F205" s="66">
        <f>IF(22구역!G8="","",22구역!G8)</f>
        <v/>
      </c>
      <c r="G205" s="66">
        <f>IF(22구역!H8="","",22구역!H8)</f>
        <v/>
      </c>
      <c r="H205" s="66">
        <f>IF(22구역!I8="","",22구역!I8)</f>
        <v/>
      </c>
      <c r="I205" s="66">
        <f>IF(22구역!J8="","",22구역!J8)</f>
        <v/>
      </c>
      <c r="J205" s="66">
        <f>IF(22구역!K8="","",22구역!K8)</f>
        <v/>
      </c>
      <c r="K205" s="66">
        <f>IF(22구역!L8="","",22구역!L8)</f>
        <v/>
      </c>
      <c r="L205" s="66">
        <f>IF(22구역!M8="","",22구역!M8)</f>
        <v/>
      </c>
      <c r="M205" s="66">
        <f>IF(22구역!N8="","",22구역!N8)</f>
        <v/>
      </c>
    </row>
    <row r="206" ht="15" customHeight="1" s="33">
      <c r="A206" s="66">
        <f>IF(22구역!B9="","",22구역!B9)</f>
        <v/>
      </c>
      <c r="B206" s="66">
        <f>IF(22구역!C9="","",22구역!C9)</f>
        <v/>
      </c>
      <c r="C206" s="66">
        <f>IF(22구역!D9="","",22구역!D9)</f>
        <v/>
      </c>
      <c r="D206" s="66">
        <f>IF(22구역!E9="","",22구역!E9)</f>
        <v/>
      </c>
      <c r="E206" s="66">
        <f>IF(22구역!F9="","",22구역!F9)</f>
        <v/>
      </c>
      <c r="F206" s="66">
        <f>IF(22구역!G9="","",22구역!G9)</f>
        <v/>
      </c>
      <c r="G206" s="66">
        <f>IF(22구역!H9="","",22구역!H9)</f>
        <v/>
      </c>
      <c r="H206" s="66">
        <f>IF(22구역!I9="","",22구역!I9)</f>
        <v/>
      </c>
      <c r="I206" s="66">
        <f>IF(22구역!J9="","",22구역!J9)</f>
        <v/>
      </c>
      <c r="J206" s="66">
        <f>IF(22구역!K9="","",22구역!K9)</f>
        <v/>
      </c>
      <c r="K206" s="66">
        <f>IF(22구역!L9="","",22구역!L9)</f>
        <v/>
      </c>
      <c r="L206" s="66">
        <f>IF(22구역!M9="","",22구역!M9)</f>
        <v/>
      </c>
      <c r="M206" s="66">
        <f>IF(22구역!N9="","",22구역!N9)</f>
        <v/>
      </c>
    </row>
    <row r="207" ht="15" customHeight="1" s="33">
      <c r="A207" s="66">
        <f>IF(22구역!B10="","",22구역!B10)</f>
        <v/>
      </c>
      <c r="B207" s="66">
        <f>IF(22구역!C10="","",22구역!C10)</f>
        <v/>
      </c>
      <c r="C207" s="66">
        <f>IF(22구역!D10="","",22구역!D10)</f>
        <v/>
      </c>
      <c r="D207" s="66">
        <f>IF(22구역!E10="","",22구역!E10)</f>
        <v/>
      </c>
      <c r="E207" s="66">
        <f>IF(22구역!F10="","",22구역!F10)</f>
        <v/>
      </c>
      <c r="F207" s="66">
        <f>IF(22구역!G10="","",22구역!G10)</f>
        <v/>
      </c>
      <c r="G207" s="66">
        <f>IF(22구역!H10="","",22구역!H10)</f>
        <v/>
      </c>
      <c r="H207" s="66">
        <f>IF(22구역!I10="","",22구역!I10)</f>
        <v/>
      </c>
      <c r="I207" s="66">
        <f>IF(22구역!J10="","",22구역!J10)</f>
        <v/>
      </c>
      <c r="J207" s="66">
        <f>IF(22구역!K10="","",22구역!K10)</f>
        <v/>
      </c>
      <c r="K207" s="66">
        <f>IF(22구역!L10="","",22구역!L10)</f>
        <v/>
      </c>
      <c r="L207" s="66">
        <f>IF(22구역!M10="","",22구역!M10)</f>
        <v/>
      </c>
      <c r="M207" s="66">
        <f>IF(22구역!N10="","",22구역!N10)</f>
        <v/>
      </c>
    </row>
    <row r="208" ht="15" customHeight="1" s="33">
      <c r="A208" s="66">
        <f>IF(22구역!B11="","",22구역!B11)</f>
        <v/>
      </c>
      <c r="B208" s="66">
        <f>IF(22구역!C11="","",22구역!C11)</f>
        <v/>
      </c>
      <c r="C208" s="66">
        <f>IF(22구역!D11="","",22구역!D11)</f>
        <v/>
      </c>
      <c r="D208" s="66">
        <f>IF(22구역!E11="","",22구역!E11)</f>
        <v/>
      </c>
      <c r="E208" s="66">
        <f>IF(22구역!F11="","",22구역!F11)</f>
        <v/>
      </c>
      <c r="F208" s="66">
        <f>IF(22구역!G11="","",22구역!G11)</f>
        <v/>
      </c>
      <c r="G208" s="66">
        <f>IF(22구역!H11="","",22구역!H11)</f>
        <v/>
      </c>
      <c r="H208" s="66">
        <f>IF(22구역!I11="","",22구역!I11)</f>
        <v/>
      </c>
      <c r="I208" s="66">
        <f>IF(22구역!J11="","",22구역!J11)</f>
        <v/>
      </c>
      <c r="J208" s="66">
        <f>IF(22구역!K11="","",22구역!K11)</f>
        <v/>
      </c>
      <c r="K208" s="66">
        <f>IF(22구역!L11="","",22구역!L11)</f>
        <v/>
      </c>
      <c r="L208" s="66">
        <f>IF(22구역!M11="","",22구역!M11)</f>
        <v/>
      </c>
      <c r="M208" s="66">
        <f>IF(22구역!N11="","",22구역!N11)</f>
        <v/>
      </c>
    </row>
    <row r="209" ht="15" customHeight="1" s="33">
      <c r="A209" s="66">
        <f>IF(22구역!B12="","",22구역!B12)</f>
        <v/>
      </c>
      <c r="B209" s="66">
        <f>IF(22구역!C12="","",22구역!C12)</f>
        <v/>
      </c>
      <c r="C209" s="66">
        <f>IF(22구역!D12="","",22구역!D12)</f>
        <v/>
      </c>
      <c r="D209" s="66">
        <f>IF(22구역!E12="","",22구역!E12)</f>
        <v/>
      </c>
      <c r="E209" s="66">
        <f>IF(22구역!F12="","",22구역!F12)</f>
        <v/>
      </c>
      <c r="F209" s="66">
        <f>IF(22구역!G12="","",22구역!G12)</f>
        <v/>
      </c>
      <c r="G209" s="66">
        <f>IF(22구역!H12="","",22구역!H12)</f>
        <v/>
      </c>
      <c r="H209" s="66">
        <f>IF(22구역!I12="","",22구역!I12)</f>
        <v/>
      </c>
      <c r="I209" s="66">
        <f>IF(22구역!J12="","",22구역!J12)</f>
        <v/>
      </c>
      <c r="J209" s="66">
        <f>IF(22구역!K12="","",22구역!K12)</f>
        <v/>
      </c>
      <c r="K209" s="66">
        <f>IF(22구역!L12="","",22구역!L12)</f>
        <v/>
      </c>
      <c r="L209" s="66">
        <f>IF(22구역!M12="","",22구역!M12)</f>
        <v/>
      </c>
      <c r="M209" s="66">
        <f>IF(22구역!N12="","",22구역!N12)</f>
        <v/>
      </c>
    </row>
    <row r="210" ht="15" customHeight="1" s="33">
      <c r="A210" s="66">
        <f>IF(22구역!B13="","",22구역!B13)</f>
        <v/>
      </c>
      <c r="B210" s="66">
        <f>IF(22구역!C13="","",22구역!C13)</f>
        <v/>
      </c>
      <c r="C210" s="66">
        <f>IF(22구역!D13="","",22구역!D13)</f>
        <v/>
      </c>
      <c r="D210" s="66">
        <f>IF(22구역!E13="","",22구역!E13)</f>
        <v/>
      </c>
      <c r="E210" s="66">
        <f>IF(22구역!F13="","",22구역!F13)</f>
        <v/>
      </c>
      <c r="F210" s="66">
        <f>IF(22구역!G13="","",22구역!G13)</f>
        <v/>
      </c>
      <c r="G210" s="66">
        <f>IF(22구역!H13="","",22구역!H13)</f>
        <v/>
      </c>
      <c r="H210" s="66">
        <f>IF(22구역!I13="","",22구역!I13)</f>
        <v/>
      </c>
      <c r="I210" s="66">
        <f>IF(22구역!J13="","",22구역!J13)</f>
        <v/>
      </c>
      <c r="J210" s="66">
        <f>IF(22구역!K13="","",22구역!K13)</f>
        <v/>
      </c>
      <c r="K210" s="66">
        <f>IF(22구역!L13="","",22구역!L13)</f>
        <v/>
      </c>
      <c r="L210" s="66">
        <f>IF(22구역!M13="","",22구역!M13)</f>
        <v/>
      </c>
      <c r="M210" s="66">
        <f>IF(22구역!N13="","",22구역!N13)</f>
        <v/>
      </c>
    </row>
    <row r="211" ht="15" customHeight="1" s="33">
      <c r="A211" s="66">
        <f>IF(22구역!B14="","",22구역!B14)</f>
        <v/>
      </c>
      <c r="B211" s="66">
        <f>IF(22구역!C14="","",22구역!C14)</f>
        <v/>
      </c>
      <c r="C211" s="66">
        <f>IF(22구역!D14="","",22구역!D14)</f>
        <v/>
      </c>
      <c r="D211" s="66">
        <f>IF(22구역!E14="","",22구역!E14)</f>
        <v/>
      </c>
      <c r="E211" s="66">
        <f>IF(22구역!F14="","",22구역!F14)</f>
        <v/>
      </c>
      <c r="F211" s="66">
        <f>IF(22구역!G14="","",22구역!G14)</f>
        <v/>
      </c>
      <c r="G211" s="66">
        <f>IF(22구역!H14="","",22구역!H14)</f>
        <v/>
      </c>
      <c r="H211" s="66">
        <f>IF(22구역!I14="","",22구역!I14)</f>
        <v/>
      </c>
      <c r="I211" s="66">
        <f>IF(22구역!J14="","",22구역!J14)</f>
        <v/>
      </c>
      <c r="J211" s="66">
        <f>IF(22구역!K14="","",22구역!K14)</f>
        <v/>
      </c>
      <c r="K211" s="66">
        <f>IF(22구역!L14="","",22구역!L14)</f>
        <v/>
      </c>
      <c r="L211" s="66">
        <f>IF(22구역!M14="","",22구역!M14)</f>
        <v/>
      </c>
      <c r="M211" s="66">
        <f>IF(22구역!N14="","",22구역!N14)</f>
        <v/>
      </c>
    </row>
    <row r="212" ht="15" customHeight="1" s="33">
      <c r="A212" s="66">
        <f>IF(22구역!B15="","",22구역!B15)</f>
        <v/>
      </c>
      <c r="B212" s="66">
        <f>IF(22구역!C15="","",22구역!C15)</f>
        <v/>
      </c>
      <c r="C212" s="66">
        <f>IF(22구역!D15="","",22구역!D15)</f>
        <v/>
      </c>
      <c r="D212" s="66">
        <f>IF(22구역!E15="","",22구역!E15)</f>
        <v/>
      </c>
      <c r="E212" s="66">
        <f>IF(22구역!F15="","",22구역!F15)</f>
        <v/>
      </c>
      <c r="F212" s="66">
        <f>IF(22구역!G15="","",22구역!G15)</f>
        <v/>
      </c>
      <c r="G212" s="66">
        <f>IF(22구역!H15="","",22구역!H15)</f>
        <v/>
      </c>
      <c r="H212" s="66">
        <f>IF(22구역!I15="","",22구역!I15)</f>
        <v/>
      </c>
      <c r="I212" s="66">
        <f>IF(22구역!J15="","",22구역!J15)</f>
        <v/>
      </c>
      <c r="J212" s="66">
        <f>IF(22구역!K15="","",22구역!K15)</f>
        <v/>
      </c>
      <c r="K212" s="66">
        <f>IF(22구역!L15="","",22구역!L15)</f>
        <v/>
      </c>
      <c r="L212" s="66">
        <f>IF(22구역!M15="","",22구역!M15)</f>
        <v/>
      </c>
      <c r="M212" s="66">
        <f>IF(22구역!N15="","",22구역!N15)</f>
        <v/>
      </c>
    </row>
    <row r="213" ht="15" customHeight="1" s="33">
      <c r="A213" s="66">
        <f>IF(22구역!B16="","",22구역!B16)</f>
        <v/>
      </c>
      <c r="B213" s="66">
        <f>IF(22구역!C16="","",22구역!C16)</f>
        <v/>
      </c>
      <c r="C213" s="66">
        <f>IF(22구역!D16="","",22구역!D16)</f>
        <v/>
      </c>
      <c r="D213" s="66">
        <f>IF(22구역!E16="","",22구역!E16)</f>
        <v/>
      </c>
      <c r="E213" s="66">
        <f>IF(22구역!F16="","",22구역!F16)</f>
        <v/>
      </c>
      <c r="F213" s="66">
        <f>IF(22구역!G16="","",22구역!G16)</f>
        <v/>
      </c>
      <c r="G213" s="66">
        <f>IF(22구역!H16="","",22구역!H16)</f>
        <v/>
      </c>
      <c r="H213" s="66">
        <f>IF(22구역!I16="","",22구역!I16)</f>
        <v/>
      </c>
      <c r="I213" s="66">
        <f>IF(22구역!J16="","",22구역!J16)</f>
        <v/>
      </c>
      <c r="J213" s="66">
        <f>IF(22구역!K16="","",22구역!K16)</f>
        <v/>
      </c>
      <c r="K213" s="66">
        <f>IF(22구역!L16="","",22구역!L16)</f>
        <v/>
      </c>
      <c r="L213" s="66">
        <f>IF(22구역!M16="","",22구역!M16)</f>
        <v/>
      </c>
      <c r="M213" s="66">
        <f>IF(22구역!N16="","",22구역!N16)</f>
        <v/>
      </c>
    </row>
    <row r="214" ht="15" customHeight="1" s="33">
      <c r="A214" s="66">
        <f>IF(22구역!B17="","",22구역!B17)</f>
        <v/>
      </c>
      <c r="B214" s="66">
        <f>IF(22구역!C17="","",22구역!C17)</f>
        <v/>
      </c>
      <c r="C214" s="66">
        <f>IF(22구역!D17="","",22구역!D17)</f>
        <v/>
      </c>
      <c r="D214" s="66">
        <f>IF(22구역!E17="","",22구역!E17)</f>
        <v/>
      </c>
      <c r="E214" s="66">
        <f>IF(22구역!F17="","",22구역!F17)</f>
        <v/>
      </c>
      <c r="F214" s="66">
        <f>IF(22구역!G17="","",22구역!G17)</f>
        <v/>
      </c>
      <c r="G214" s="66">
        <f>IF(22구역!H17="","",22구역!H17)</f>
        <v/>
      </c>
      <c r="H214" s="66">
        <f>IF(22구역!I17="","",22구역!I17)</f>
        <v/>
      </c>
      <c r="I214" s="66">
        <f>IF(22구역!J17="","",22구역!J17)</f>
        <v/>
      </c>
      <c r="J214" s="66">
        <f>IF(22구역!K17="","",22구역!K17)</f>
        <v/>
      </c>
      <c r="K214" s="66">
        <f>IF(22구역!L17="","",22구역!L17)</f>
        <v/>
      </c>
      <c r="L214" s="66">
        <f>IF(22구역!M17="","",22구역!M17)</f>
        <v/>
      </c>
      <c r="M214" s="66">
        <f>IF(22구역!N17="","",22구역!N17)</f>
        <v/>
      </c>
    </row>
    <row r="215" ht="15" customHeight="1" s="33">
      <c r="A215" s="66">
        <f>IF(22구역!B18="","",22구역!B18)</f>
        <v/>
      </c>
      <c r="B215" s="66">
        <f>IF(22구역!C18="","",22구역!C18)</f>
        <v/>
      </c>
      <c r="C215" s="66">
        <f>IF(22구역!D18="","",22구역!D18)</f>
        <v/>
      </c>
      <c r="D215" s="66">
        <f>IF(22구역!E18="","",22구역!E18)</f>
        <v/>
      </c>
      <c r="E215" s="66">
        <f>IF(22구역!F18="","",22구역!F18)</f>
        <v/>
      </c>
      <c r="F215" s="66">
        <f>IF(22구역!G18="","",22구역!G18)</f>
        <v/>
      </c>
      <c r="G215" s="66">
        <f>IF(22구역!H18="","",22구역!H18)</f>
        <v/>
      </c>
      <c r="H215" s="66">
        <f>IF(22구역!I18="","",22구역!I18)</f>
        <v/>
      </c>
      <c r="I215" s="66">
        <f>IF(22구역!J18="","",22구역!J18)</f>
        <v/>
      </c>
      <c r="J215" s="66">
        <f>IF(22구역!K18="","",22구역!K18)</f>
        <v/>
      </c>
      <c r="K215" s="66">
        <f>IF(22구역!L18="","",22구역!L18)</f>
        <v/>
      </c>
      <c r="L215" s="66">
        <f>IF(22구역!M18="","",22구역!M18)</f>
        <v/>
      </c>
      <c r="M215" s="66">
        <f>IF(22구역!N18="","",22구역!N18)</f>
        <v/>
      </c>
    </row>
    <row r="216" ht="15" customHeight="1" s="33">
      <c r="A216" s="66">
        <f>IF(22구역!B19="","",22구역!B19)</f>
        <v/>
      </c>
      <c r="B216" s="66">
        <f>IF(22구역!C19="","",22구역!C19)</f>
        <v/>
      </c>
      <c r="C216" s="66">
        <f>IF(22구역!D19="","",22구역!D19)</f>
        <v/>
      </c>
      <c r="D216" s="66">
        <f>IF(22구역!E19="","",22구역!E19)</f>
        <v/>
      </c>
      <c r="E216" s="66">
        <f>IF(22구역!F19="","",22구역!F19)</f>
        <v/>
      </c>
      <c r="F216" s="66">
        <f>IF(22구역!G19="","",22구역!G19)</f>
        <v/>
      </c>
      <c r="G216" s="66">
        <f>IF(22구역!H19="","",22구역!H19)</f>
        <v/>
      </c>
      <c r="H216" s="66">
        <f>IF(22구역!I19="","",22구역!I19)</f>
        <v/>
      </c>
      <c r="I216" s="66">
        <f>IF(22구역!J19="","",22구역!J19)</f>
        <v/>
      </c>
      <c r="J216" s="66">
        <f>IF(22구역!K19="","",22구역!K19)</f>
        <v/>
      </c>
      <c r="K216" s="66">
        <f>IF(22구역!L19="","",22구역!L19)</f>
        <v/>
      </c>
      <c r="L216" s="66">
        <f>IF(22구역!M19="","",22구역!M19)</f>
        <v/>
      </c>
      <c r="M216" s="66">
        <f>IF(22구역!N19="","",22구역!N19)</f>
        <v/>
      </c>
    </row>
    <row r="217" ht="15" customHeight="1" s="33">
      <c r="A217" s="66">
        <f>IF(22구역!B20="","",22구역!B20)</f>
        <v/>
      </c>
      <c r="B217" s="66">
        <f>IF(22구역!C20="","",22구역!C20)</f>
        <v/>
      </c>
      <c r="C217" s="66">
        <f>IF(22구역!D20="","",22구역!D20)</f>
        <v/>
      </c>
      <c r="D217" s="66">
        <f>IF(22구역!E20="","",22구역!E20)</f>
        <v/>
      </c>
      <c r="E217" s="66">
        <f>IF(22구역!F20="","",22구역!F20)</f>
        <v/>
      </c>
      <c r="F217" s="66">
        <f>IF(22구역!G20="","",22구역!G20)</f>
        <v/>
      </c>
      <c r="G217" s="66">
        <f>IF(22구역!H20="","",22구역!H20)</f>
        <v/>
      </c>
      <c r="H217" s="66">
        <f>IF(22구역!I20="","",22구역!I20)</f>
        <v/>
      </c>
      <c r="I217" s="66">
        <f>IF(22구역!J20="","",22구역!J20)</f>
        <v/>
      </c>
      <c r="J217" s="66">
        <f>IF(22구역!K20="","",22구역!K20)</f>
        <v/>
      </c>
      <c r="K217" s="66">
        <f>IF(22구역!L20="","",22구역!L20)</f>
        <v/>
      </c>
      <c r="L217" s="66">
        <f>IF(22구역!M20="","",22구역!M20)</f>
        <v/>
      </c>
      <c r="M217" s="66">
        <f>IF(22구역!N20="","",22구역!N20)</f>
        <v/>
      </c>
    </row>
    <row r="218" ht="15" customHeight="1" s="33">
      <c r="A218" s="66">
        <f>IF(22구역!B21="","",22구역!B21)</f>
        <v/>
      </c>
      <c r="B218" s="66">
        <f>IF(22구역!C21="","",22구역!C21)</f>
        <v/>
      </c>
      <c r="C218" s="66">
        <f>IF(22구역!D21="","",22구역!D21)</f>
        <v/>
      </c>
      <c r="D218" s="66">
        <f>IF(22구역!E21="","",22구역!E21)</f>
        <v/>
      </c>
      <c r="E218" s="66">
        <f>IF(22구역!F21="","",22구역!F21)</f>
        <v/>
      </c>
      <c r="F218" s="66">
        <f>IF(22구역!G21="","",22구역!G21)</f>
        <v/>
      </c>
      <c r="G218" s="66">
        <f>IF(22구역!H21="","",22구역!H21)</f>
        <v/>
      </c>
      <c r="H218" s="66">
        <f>IF(22구역!I21="","",22구역!I21)</f>
        <v/>
      </c>
      <c r="I218" s="66">
        <f>IF(22구역!J21="","",22구역!J21)</f>
        <v/>
      </c>
      <c r="J218" s="66">
        <f>IF(22구역!K21="","",22구역!K21)</f>
        <v/>
      </c>
      <c r="K218" s="66">
        <f>IF(22구역!L21="","",22구역!L21)</f>
        <v/>
      </c>
      <c r="L218" s="66">
        <f>IF(22구역!M21="","",22구역!M21)</f>
        <v/>
      </c>
      <c r="M218" s="66">
        <f>IF(22구역!N21="","",22구역!N21)</f>
        <v/>
      </c>
    </row>
    <row r="219" ht="15" customHeight="1" s="33">
      <c r="A219" s="66">
        <f>IF(22구역!B22="","",22구역!B22)</f>
        <v/>
      </c>
      <c r="B219" s="66">
        <f>IF(22구역!C22="","",22구역!C22)</f>
        <v/>
      </c>
      <c r="C219" s="66">
        <f>IF(22구역!D22="","",22구역!D22)</f>
        <v/>
      </c>
      <c r="D219" s="66">
        <f>IF(22구역!E22="","",22구역!E22)</f>
        <v/>
      </c>
      <c r="E219" s="66">
        <f>IF(22구역!F22="","",22구역!F22)</f>
        <v/>
      </c>
      <c r="F219" s="66">
        <f>IF(22구역!G22="","",22구역!G22)</f>
        <v/>
      </c>
      <c r="G219" s="66">
        <f>IF(22구역!H22="","",22구역!H22)</f>
        <v/>
      </c>
      <c r="H219" s="66">
        <f>IF(22구역!I22="","",22구역!I22)</f>
        <v/>
      </c>
      <c r="I219" s="66">
        <f>IF(22구역!J22="","",22구역!J22)</f>
        <v/>
      </c>
      <c r="J219" s="66">
        <f>IF(22구역!K22="","",22구역!K22)</f>
        <v/>
      </c>
      <c r="K219" s="66">
        <f>IF(22구역!L22="","",22구역!L22)</f>
        <v/>
      </c>
      <c r="L219" s="66">
        <f>IF(22구역!M22="","",22구역!M22)</f>
        <v/>
      </c>
      <c r="M219" s="66">
        <f>IF(22구역!N22="","",22구역!N22)</f>
        <v/>
      </c>
    </row>
    <row r="220" ht="15" customHeight="1" s="33">
      <c r="A220" s="66">
        <f>IF(22구역!B23="","",22구역!B23)</f>
        <v/>
      </c>
      <c r="B220" s="66">
        <f>IF(22구역!C23="","",22구역!C23)</f>
        <v/>
      </c>
      <c r="C220" s="66">
        <f>IF(22구역!D23="","",22구역!D23)</f>
        <v/>
      </c>
      <c r="D220" s="66">
        <f>IF(22구역!E23="","",22구역!E23)</f>
        <v/>
      </c>
      <c r="E220" s="66">
        <f>IF(22구역!F23="","",22구역!F23)</f>
        <v/>
      </c>
      <c r="F220" s="66">
        <f>IF(22구역!G23="","",22구역!G23)</f>
        <v/>
      </c>
      <c r="G220" s="66">
        <f>IF(22구역!H23="","",22구역!H23)</f>
        <v/>
      </c>
      <c r="H220" s="66">
        <f>IF(22구역!I23="","",22구역!I23)</f>
        <v/>
      </c>
      <c r="I220" s="66">
        <f>IF(22구역!J23="","",22구역!J23)</f>
        <v/>
      </c>
      <c r="J220" s="66">
        <f>IF(22구역!K23="","",22구역!K23)</f>
        <v/>
      </c>
      <c r="K220" s="66">
        <f>IF(22구역!L23="","",22구역!L23)</f>
        <v/>
      </c>
      <c r="L220" s="66">
        <f>IF(22구역!M23="","",22구역!M23)</f>
        <v/>
      </c>
      <c r="M220" s="66">
        <f>IF(22구역!N23="","",22구역!N23)</f>
        <v/>
      </c>
    </row>
    <row r="221" ht="15" customHeight="1" s="33">
      <c r="A221" s="66">
        <f>IF(22구역!B24="","",22구역!B24)</f>
        <v/>
      </c>
      <c r="B221" s="66">
        <f>IF(22구역!C24="","",22구역!C24)</f>
        <v/>
      </c>
      <c r="C221" s="66">
        <f>IF(22구역!D24="","",22구역!D24)</f>
        <v/>
      </c>
      <c r="D221" s="66">
        <f>IF(22구역!E24="","",22구역!E24)</f>
        <v/>
      </c>
      <c r="E221" s="66">
        <f>IF(22구역!F24="","",22구역!F24)</f>
        <v/>
      </c>
      <c r="F221" s="66">
        <f>IF(22구역!G24="","",22구역!G24)</f>
        <v/>
      </c>
      <c r="G221" s="66">
        <f>IF(22구역!H24="","",22구역!H24)</f>
        <v/>
      </c>
      <c r="H221" s="66">
        <f>IF(22구역!I24="","",22구역!I24)</f>
        <v/>
      </c>
      <c r="I221" s="66">
        <f>IF(22구역!J24="","",22구역!J24)</f>
        <v/>
      </c>
      <c r="J221" s="66">
        <f>IF(22구역!K24="","",22구역!K24)</f>
        <v/>
      </c>
      <c r="K221" s="66">
        <f>IF(22구역!L24="","",22구역!L24)</f>
        <v/>
      </c>
      <c r="L221" s="66">
        <f>IF(22구역!M24="","",22구역!M24)</f>
        <v/>
      </c>
      <c r="M221" s="66">
        <f>IF(22구역!N24="","",22구역!N24)</f>
        <v/>
      </c>
    </row>
    <row r="222" ht="15" customHeight="1" s="33">
      <c r="A222" s="66">
        <f>IF(22구역!B25="","",22구역!B25)</f>
        <v/>
      </c>
      <c r="B222" s="66">
        <f>IF(22구역!C25="","",22구역!C25)</f>
        <v/>
      </c>
      <c r="C222" s="66">
        <f>IF(22구역!D25="","",22구역!D25)</f>
        <v/>
      </c>
      <c r="D222" s="66">
        <f>IF(22구역!E25="","",22구역!E25)</f>
        <v/>
      </c>
      <c r="E222" s="66">
        <f>IF(22구역!F25="","",22구역!F25)</f>
        <v/>
      </c>
      <c r="F222" s="66">
        <f>IF(22구역!G25="","",22구역!G25)</f>
        <v/>
      </c>
      <c r="G222" s="66">
        <f>IF(22구역!H25="","",22구역!H25)</f>
        <v/>
      </c>
      <c r="H222" s="66">
        <f>IF(22구역!I25="","",22구역!I25)</f>
        <v/>
      </c>
      <c r="I222" s="66">
        <f>IF(22구역!J25="","",22구역!J25)</f>
        <v/>
      </c>
      <c r="J222" s="66">
        <f>IF(22구역!K25="","",22구역!K25)</f>
        <v/>
      </c>
      <c r="K222" s="66">
        <f>IF(22구역!L25="","",22구역!L25)</f>
        <v/>
      </c>
      <c r="L222" s="66">
        <f>IF(22구역!M25="","",22구역!M25)</f>
        <v/>
      </c>
      <c r="M222" s="66">
        <f>IF(22구역!N25="","",22구역!N25)</f>
        <v/>
      </c>
    </row>
    <row r="223" ht="15" customHeight="1" s="33">
      <c r="A223" s="66">
        <f>IF(22구역!B26="","",22구역!B26)</f>
        <v/>
      </c>
      <c r="B223" s="66">
        <f>IF(22구역!C26="","",22구역!C26)</f>
        <v/>
      </c>
      <c r="C223" s="66">
        <f>IF(22구역!D26="","",22구역!D26)</f>
        <v/>
      </c>
      <c r="D223" s="66">
        <f>IF(22구역!E26="","",22구역!E26)</f>
        <v/>
      </c>
      <c r="E223" s="66">
        <f>IF(22구역!F26="","",22구역!F26)</f>
        <v/>
      </c>
      <c r="F223" s="66">
        <f>IF(22구역!G26="","",22구역!G26)</f>
        <v/>
      </c>
      <c r="G223" s="66">
        <f>IF(22구역!H26="","",22구역!H26)</f>
        <v/>
      </c>
      <c r="H223" s="66">
        <f>IF(22구역!I26="","",22구역!I26)</f>
        <v/>
      </c>
      <c r="I223" s="66">
        <f>IF(22구역!J26="","",22구역!J26)</f>
        <v/>
      </c>
      <c r="J223" s="66">
        <f>IF(22구역!K26="","",22구역!K26)</f>
        <v/>
      </c>
      <c r="K223" s="66">
        <f>IF(22구역!L26="","",22구역!L26)</f>
        <v/>
      </c>
      <c r="L223" s="66">
        <f>IF(22구역!M26="","",22구역!M26)</f>
        <v/>
      </c>
      <c r="M223" s="66">
        <f>IF(22구역!N26="","",22구역!N26)</f>
        <v/>
      </c>
    </row>
    <row r="224" ht="15" customHeight="1" s="33">
      <c r="A224" s="66">
        <f>IF(22구역!B27="","",22구역!B27)</f>
        <v/>
      </c>
      <c r="B224" s="66">
        <f>IF(22구역!C27="","",22구역!C27)</f>
        <v/>
      </c>
      <c r="C224" s="66">
        <f>IF(22구역!D27="","",22구역!D27)</f>
        <v/>
      </c>
      <c r="D224" s="66">
        <f>IF(22구역!E27="","",22구역!E27)</f>
        <v/>
      </c>
      <c r="E224" s="66">
        <f>IF(22구역!F27="","",22구역!F27)</f>
        <v/>
      </c>
      <c r="F224" s="66">
        <f>IF(22구역!G27="","",22구역!G27)</f>
        <v/>
      </c>
      <c r="G224" s="66">
        <f>IF(22구역!H27="","",22구역!H27)</f>
        <v/>
      </c>
      <c r="H224" s="66">
        <f>IF(22구역!I27="","",22구역!I27)</f>
        <v/>
      </c>
      <c r="I224" s="66">
        <f>IF(22구역!J27="","",22구역!J27)</f>
        <v/>
      </c>
      <c r="J224" s="66">
        <f>IF(22구역!K27="","",22구역!K27)</f>
        <v/>
      </c>
      <c r="K224" s="66">
        <f>IF(22구역!L27="","",22구역!L27)</f>
        <v/>
      </c>
      <c r="L224" s="66">
        <f>IF(22구역!M27="","",22구역!M27)</f>
        <v/>
      </c>
      <c r="M224" s="66">
        <f>IF(22구역!N27="","",22구역!N27)</f>
        <v/>
      </c>
    </row>
    <row r="225" ht="15" customHeight="1" s="33">
      <c r="A225" s="66">
        <f>IF(22구역!B28="","",22구역!B28)</f>
        <v/>
      </c>
      <c r="B225" s="66">
        <f>IF(22구역!C28="","",22구역!C28)</f>
        <v/>
      </c>
      <c r="C225" s="66">
        <f>IF(22구역!D28="","",22구역!D28)</f>
        <v/>
      </c>
      <c r="D225" s="66">
        <f>IF(22구역!E28="","",22구역!E28)</f>
        <v/>
      </c>
      <c r="E225" s="66">
        <f>IF(22구역!F28="","",22구역!F28)</f>
        <v/>
      </c>
      <c r="F225" s="66">
        <f>IF(22구역!G28="","",22구역!G28)</f>
        <v/>
      </c>
      <c r="G225" s="66">
        <f>IF(22구역!H28="","",22구역!H28)</f>
        <v/>
      </c>
      <c r="H225" s="66">
        <f>IF(22구역!I28="","",22구역!I28)</f>
        <v/>
      </c>
      <c r="I225" s="66">
        <f>IF(22구역!J28="","",22구역!J28)</f>
        <v/>
      </c>
      <c r="J225" s="66">
        <f>IF(22구역!K28="","",22구역!K28)</f>
        <v/>
      </c>
      <c r="K225" s="66">
        <f>IF(22구역!L28="","",22구역!L28)</f>
        <v/>
      </c>
      <c r="L225" s="66">
        <f>IF(22구역!M28="","",22구역!M28)</f>
        <v/>
      </c>
      <c r="M225" s="66">
        <f>IF(22구역!N28="","",22구역!N28)</f>
        <v/>
      </c>
    </row>
    <row r="226" ht="15" customHeight="1" s="33">
      <c r="A226" s="66">
        <f>IF(22구역!B29="","",22구역!B29)</f>
        <v/>
      </c>
      <c r="B226" s="66">
        <f>IF(22구역!C29="","",22구역!C29)</f>
        <v/>
      </c>
      <c r="C226" s="66">
        <f>IF(22구역!D29="","",22구역!D29)</f>
        <v/>
      </c>
      <c r="D226" s="66">
        <f>IF(22구역!E29="","",22구역!E29)</f>
        <v/>
      </c>
      <c r="E226" s="66">
        <f>IF(22구역!F29="","",22구역!F29)</f>
        <v/>
      </c>
      <c r="F226" s="66">
        <f>IF(22구역!G29="","",22구역!G29)</f>
        <v/>
      </c>
      <c r="G226" s="66">
        <f>IF(22구역!H29="","",22구역!H29)</f>
        <v/>
      </c>
      <c r="H226" s="66">
        <f>IF(22구역!I29="","",22구역!I29)</f>
        <v/>
      </c>
      <c r="I226" s="66">
        <f>IF(22구역!J29="","",22구역!J29)</f>
        <v/>
      </c>
      <c r="J226" s="66">
        <f>IF(22구역!K29="","",22구역!K29)</f>
        <v/>
      </c>
      <c r="K226" s="66">
        <f>IF(22구역!L29="","",22구역!L29)</f>
        <v/>
      </c>
      <c r="L226" s="66">
        <f>IF(22구역!M29="","",22구역!M29)</f>
        <v/>
      </c>
      <c r="M226" s="66">
        <f>IF(22구역!N29="","",22구역!N29)</f>
        <v/>
      </c>
    </row>
    <row r="227" ht="15" customHeight="1" s="33">
      <c r="A227" s="66">
        <f>IF(22구역!B30="","",22구역!B30)</f>
        <v/>
      </c>
      <c r="B227" s="66">
        <f>IF(22구역!C30="","",22구역!C30)</f>
        <v/>
      </c>
      <c r="C227" s="66">
        <f>IF(22구역!D30="","",22구역!D30)</f>
        <v/>
      </c>
      <c r="D227" s="66">
        <f>IF(22구역!E30="","",22구역!E30)</f>
        <v/>
      </c>
      <c r="E227" s="66">
        <f>IF(22구역!F30="","",22구역!F30)</f>
        <v/>
      </c>
      <c r="F227" s="66">
        <f>IF(22구역!G30="","",22구역!G30)</f>
        <v/>
      </c>
      <c r="G227" s="66">
        <f>IF(22구역!H30="","",22구역!H30)</f>
        <v/>
      </c>
      <c r="H227" s="66">
        <f>IF(22구역!I30="","",22구역!I30)</f>
        <v/>
      </c>
      <c r="I227" s="66">
        <f>IF(22구역!J30="","",22구역!J30)</f>
        <v/>
      </c>
      <c r="J227" s="66">
        <f>IF(22구역!K30="","",22구역!K30)</f>
        <v/>
      </c>
      <c r="K227" s="66">
        <f>IF(22구역!L30="","",22구역!L30)</f>
        <v/>
      </c>
      <c r="L227" s="66">
        <f>IF(22구역!M30="","",22구역!M30)</f>
        <v/>
      </c>
      <c r="M227" s="66">
        <f>IF(22구역!N30="","",22구역!N30)</f>
        <v/>
      </c>
    </row>
    <row r="228" ht="15" customHeight="1" s="33">
      <c r="A228" s="66">
        <f>IF(22구역!B31="","",22구역!B31)</f>
        <v/>
      </c>
      <c r="B228" s="66">
        <f>IF(22구역!C31="","",22구역!C31)</f>
        <v/>
      </c>
      <c r="C228" s="66">
        <f>IF(22구역!D31="","",22구역!D31)</f>
        <v/>
      </c>
      <c r="D228" s="66">
        <f>IF(22구역!E31="","",22구역!E31)</f>
        <v/>
      </c>
      <c r="E228" s="66">
        <f>IF(22구역!F31="","",22구역!F31)</f>
        <v/>
      </c>
      <c r="F228" s="66">
        <f>IF(22구역!G31="","",22구역!G31)</f>
        <v/>
      </c>
      <c r="G228" s="66">
        <f>IF(22구역!H31="","",22구역!H31)</f>
        <v/>
      </c>
      <c r="H228" s="66">
        <f>IF(22구역!I31="","",22구역!I31)</f>
        <v/>
      </c>
      <c r="I228" s="66">
        <f>IF(22구역!J31="","",22구역!J31)</f>
        <v/>
      </c>
      <c r="J228" s="66">
        <f>IF(22구역!K31="","",22구역!K31)</f>
        <v/>
      </c>
      <c r="K228" s="66">
        <f>IF(22구역!L31="","",22구역!L31)</f>
        <v/>
      </c>
      <c r="L228" s="66">
        <f>IF(22구역!M31="","",22구역!M31)</f>
        <v/>
      </c>
      <c r="M228" s="66">
        <f>IF(22구역!N31="","",22구역!N31)</f>
        <v/>
      </c>
    </row>
    <row r="229" ht="15" customHeight="1" s="33">
      <c r="A229" s="66">
        <f>IF(22구역!B32="","",22구역!B32)</f>
        <v/>
      </c>
      <c r="B229" s="66">
        <f>IF(22구역!C32="","",22구역!C32)</f>
        <v/>
      </c>
      <c r="C229" s="66">
        <f>IF(22구역!D32="","",22구역!D32)</f>
        <v/>
      </c>
      <c r="D229" s="66">
        <f>IF(22구역!E32="","",22구역!E32)</f>
        <v/>
      </c>
      <c r="E229" s="66">
        <f>IF(22구역!F32="","",22구역!F32)</f>
        <v/>
      </c>
      <c r="F229" s="66">
        <f>IF(22구역!G32="","",22구역!G32)</f>
        <v/>
      </c>
      <c r="G229" s="66">
        <f>IF(22구역!H32="","",22구역!H32)</f>
        <v/>
      </c>
      <c r="H229" s="66">
        <f>IF(22구역!I32="","",22구역!I32)</f>
        <v/>
      </c>
      <c r="I229" s="66">
        <f>IF(22구역!J32="","",22구역!J32)</f>
        <v/>
      </c>
      <c r="J229" s="66">
        <f>IF(22구역!K32="","",22구역!K32)</f>
        <v/>
      </c>
      <c r="K229" s="66">
        <f>IF(22구역!L32="","",22구역!L32)</f>
        <v/>
      </c>
      <c r="L229" s="66">
        <f>IF(22구역!M32="","",22구역!M32)</f>
        <v/>
      </c>
      <c r="M229" s="66">
        <f>IF(22구역!N32="","",22구역!N32)</f>
        <v/>
      </c>
    </row>
    <row r="230" ht="15" customHeight="1" s="33">
      <c r="A230" s="66">
        <f>IF(22구역!B33="","",22구역!B33)</f>
        <v/>
      </c>
      <c r="B230" s="66">
        <f>IF(22구역!C33="","",22구역!C33)</f>
        <v/>
      </c>
      <c r="C230" s="66">
        <f>IF(22구역!D33="","",22구역!D33)</f>
        <v/>
      </c>
      <c r="D230" s="66">
        <f>IF(22구역!E33="","",22구역!E33)</f>
        <v/>
      </c>
      <c r="E230" s="66">
        <f>IF(22구역!F33="","",22구역!F33)</f>
        <v/>
      </c>
      <c r="F230" s="66">
        <f>IF(22구역!G33="","",22구역!G33)</f>
        <v/>
      </c>
      <c r="G230" s="66">
        <f>IF(22구역!H33="","",22구역!H33)</f>
        <v/>
      </c>
      <c r="H230" s="66">
        <f>IF(22구역!I33="","",22구역!I33)</f>
        <v/>
      </c>
      <c r="I230" s="66">
        <f>IF(22구역!J33="","",22구역!J33)</f>
        <v/>
      </c>
      <c r="J230" s="66">
        <f>IF(22구역!K33="","",22구역!K33)</f>
        <v/>
      </c>
      <c r="K230" s="66">
        <f>IF(22구역!L33="","",22구역!L33)</f>
        <v/>
      </c>
      <c r="L230" s="66">
        <f>IF(22구역!M33="","",22구역!M33)</f>
        <v/>
      </c>
      <c r="M230" s="66">
        <f>IF(22구역!N33="","",22구역!N33)</f>
        <v/>
      </c>
    </row>
    <row r="231" ht="15" customHeight="1" s="33">
      <c r="A231" s="66">
        <f>IF(22구역!B34="","",22구역!B34)</f>
        <v/>
      </c>
      <c r="B231" s="66">
        <f>IF(22구역!C34="","",22구역!C34)</f>
        <v/>
      </c>
      <c r="C231" s="66">
        <f>IF(22구역!D34="","",22구역!D34)</f>
        <v/>
      </c>
      <c r="D231" s="66">
        <f>IF(22구역!E34="","",22구역!E34)</f>
        <v/>
      </c>
      <c r="E231" s="66">
        <f>IF(22구역!F34="","",22구역!F34)</f>
        <v/>
      </c>
      <c r="F231" s="66">
        <f>IF(22구역!G34="","",22구역!G34)</f>
        <v/>
      </c>
      <c r="G231" s="66">
        <f>IF(22구역!H34="","",22구역!H34)</f>
        <v/>
      </c>
      <c r="H231" s="66">
        <f>IF(22구역!I34="","",22구역!I34)</f>
        <v/>
      </c>
      <c r="I231" s="66">
        <f>IF(22구역!J34="","",22구역!J34)</f>
        <v/>
      </c>
      <c r="J231" s="66">
        <f>IF(22구역!K34="","",22구역!K34)</f>
        <v/>
      </c>
      <c r="K231" s="66">
        <f>IF(22구역!L34="","",22구역!L34)</f>
        <v/>
      </c>
      <c r="L231" s="66">
        <f>IF(22구역!M34="","",22구역!M34)</f>
        <v/>
      </c>
      <c r="M231" s="66">
        <f>IF(22구역!N34="","",22구역!N34)</f>
        <v/>
      </c>
    </row>
    <row r="232" ht="15" customHeight="1" s="33">
      <c r="A232" s="66">
        <f>IF(22구역!B35="","",22구역!B35)</f>
        <v/>
      </c>
      <c r="B232" s="66">
        <f>IF(22구역!C35="","",22구역!C35)</f>
        <v/>
      </c>
      <c r="C232" s="66">
        <f>IF(22구역!D35="","",22구역!D35)</f>
        <v/>
      </c>
      <c r="D232" s="66">
        <f>IF(22구역!E35="","",22구역!E35)</f>
        <v/>
      </c>
      <c r="E232" s="66">
        <f>IF(22구역!F35="","",22구역!F35)</f>
        <v/>
      </c>
      <c r="F232" s="66">
        <f>IF(22구역!G35="","",22구역!G35)</f>
        <v/>
      </c>
      <c r="G232" s="66">
        <f>IF(22구역!H35="","",22구역!H35)</f>
        <v/>
      </c>
      <c r="H232" s="66">
        <f>IF(22구역!I35="","",22구역!I35)</f>
        <v/>
      </c>
      <c r="I232" s="66">
        <f>IF(22구역!J35="","",22구역!J35)</f>
        <v/>
      </c>
      <c r="J232" s="66">
        <f>IF(22구역!K35="","",22구역!K35)</f>
        <v/>
      </c>
      <c r="K232" s="66">
        <f>IF(22구역!L35="","",22구역!L35)</f>
        <v/>
      </c>
      <c r="L232" s="66">
        <f>IF(22구역!M35="","",22구역!M35)</f>
        <v/>
      </c>
      <c r="M232" s="66">
        <f>IF(22구역!N35="","",22구역!N35)</f>
        <v/>
      </c>
    </row>
    <row r="233" ht="15" customHeight="1" s="33">
      <c r="A233" s="66">
        <f>IF(22구역!B36="","",22구역!B36)</f>
        <v/>
      </c>
      <c r="B233" s="66">
        <f>IF(22구역!C36="","",22구역!C36)</f>
        <v/>
      </c>
      <c r="C233" s="66">
        <f>IF(22구역!D36="","",22구역!D36)</f>
        <v/>
      </c>
      <c r="D233" s="66">
        <f>IF(22구역!E36="","",22구역!E36)</f>
        <v/>
      </c>
      <c r="E233" s="66">
        <f>IF(22구역!F36="","",22구역!F36)</f>
        <v/>
      </c>
      <c r="F233" s="66">
        <f>IF(22구역!G36="","",22구역!G36)</f>
        <v/>
      </c>
      <c r="G233" s="66">
        <f>IF(22구역!H36="","",22구역!H36)</f>
        <v/>
      </c>
      <c r="H233" s="66">
        <f>IF(22구역!I36="","",22구역!I36)</f>
        <v/>
      </c>
      <c r="I233" s="66">
        <f>IF(22구역!J36="","",22구역!J36)</f>
        <v/>
      </c>
      <c r="J233" s="66">
        <f>IF(22구역!K36="","",22구역!K36)</f>
        <v/>
      </c>
      <c r="K233" s="66">
        <f>IF(22구역!L36="","",22구역!L36)</f>
        <v/>
      </c>
      <c r="L233" s="66">
        <f>IF(22구역!M36="","",22구역!M36)</f>
        <v/>
      </c>
      <c r="M233" s="66">
        <f>IF(22구역!N36="","",22구역!N36)</f>
        <v/>
      </c>
    </row>
    <row r="234" ht="15" customHeight="1" s="33">
      <c r="A234" s="66">
        <f>IF(22구역!B37="","",22구역!B37)</f>
        <v/>
      </c>
      <c r="B234" s="66">
        <f>IF(22구역!C37="","",22구역!C37)</f>
        <v/>
      </c>
      <c r="C234" s="66">
        <f>IF(22구역!D37="","",22구역!D37)</f>
        <v/>
      </c>
      <c r="D234" s="66">
        <f>IF(22구역!E37="","",22구역!E37)</f>
        <v/>
      </c>
      <c r="E234" s="66">
        <f>IF(22구역!F37="","",22구역!F37)</f>
        <v/>
      </c>
      <c r="F234" s="66">
        <f>IF(22구역!G37="","",22구역!G37)</f>
        <v/>
      </c>
      <c r="G234" s="66">
        <f>IF(22구역!H37="","",22구역!H37)</f>
        <v/>
      </c>
      <c r="H234" s="66">
        <f>IF(22구역!I37="","",22구역!I37)</f>
        <v/>
      </c>
      <c r="I234" s="66">
        <f>IF(22구역!J37="","",22구역!J37)</f>
        <v/>
      </c>
      <c r="J234" s="66">
        <f>IF(22구역!K37="","",22구역!K37)</f>
        <v/>
      </c>
      <c r="K234" s="66">
        <f>IF(22구역!L37="","",22구역!L37)</f>
        <v/>
      </c>
      <c r="L234" s="66">
        <f>IF(22구역!M37="","",22구역!M37)</f>
        <v/>
      </c>
      <c r="M234" s="66">
        <f>IF(22구역!N37="","",22구역!N37)</f>
        <v/>
      </c>
    </row>
    <row r="235" ht="15" customHeight="1" s="33">
      <c r="A235" s="66">
        <f>IF(22구역!B38="","",22구역!B38)</f>
        <v/>
      </c>
      <c r="B235" s="66">
        <f>IF(22구역!C38="","",22구역!C38)</f>
        <v/>
      </c>
      <c r="C235" s="66">
        <f>IF(22구역!D38="","",22구역!D38)</f>
        <v/>
      </c>
      <c r="D235" s="66">
        <f>IF(22구역!E38="","",22구역!E38)</f>
        <v/>
      </c>
      <c r="E235" s="66">
        <f>IF(22구역!F38="","",22구역!F38)</f>
        <v/>
      </c>
      <c r="F235" s="66">
        <f>IF(22구역!G38="","",22구역!G38)</f>
        <v/>
      </c>
      <c r="G235" s="66">
        <f>IF(22구역!H38="","",22구역!H38)</f>
        <v/>
      </c>
      <c r="H235" s="66">
        <f>IF(22구역!I38="","",22구역!I38)</f>
        <v/>
      </c>
      <c r="I235" s="66">
        <f>IF(22구역!J38="","",22구역!J38)</f>
        <v/>
      </c>
      <c r="J235" s="66">
        <f>IF(22구역!K38="","",22구역!K38)</f>
        <v/>
      </c>
      <c r="K235" s="66">
        <f>IF(22구역!L38="","",22구역!L38)</f>
        <v/>
      </c>
      <c r="L235" s="66">
        <f>IF(22구역!M38="","",22구역!M38)</f>
        <v/>
      </c>
      <c r="M235" s="66">
        <f>IF(22구역!N38="","",22구역!N38)</f>
        <v/>
      </c>
    </row>
    <row r="236" ht="15" customHeight="1" s="33">
      <c r="A236" s="66">
        <f>IF(22구역!B39="","",22구역!B39)</f>
        <v/>
      </c>
      <c r="B236" s="66">
        <f>IF(22구역!C39="","",22구역!C39)</f>
        <v/>
      </c>
      <c r="C236" s="66">
        <f>IF(22구역!D39="","",22구역!D39)</f>
        <v/>
      </c>
      <c r="D236" s="66">
        <f>IF(22구역!E39="","",22구역!E39)</f>
        <v/>
      </c>
      <c r="E236" s="66">
        <f>IF(22구역!F39="","",22구역!F39)</f>
        <v/>
      </c>
      <c r="F236" s="66">
        <f>IF(22구역!G39="","",22구역!G39)</f>
        <v/>
      </c>
      <c r="G236" s="66">
        <f>IF(22구역!H39="","",22구역!H39)</f>
        <v/>
      </c>
      <c r="H236" s="66">
        <f>IF(22구역!I39="","",22구역!I39)</f>
        <v/>
      </c>
      <c r="I236" s="66">
        <f>IF(22구역!J39="","",22구역!J39)</f>
        <v/>
      </c>
      <c r="J236" s="66">
        <f>IF(22구역!K39="","",22구역!K39)</f>
        <v/>
      </c>
      <c r="K236" s="66">
        <f>IF(22구역!L39="","",22구역!L39)</f>
        <v/>
      </c>
      <c r="L236" s="66">
        <f>IF(22구역!M39="","",22구역!M39)</f>
        <v/>
      </c>
      <c r="M236" s="66">
        <f>IF(22구역!N39="","",22구역!N39)</f>
        <v/>
      </c>
    </row>
    <row r="237" ht="15" customHeight="1" s="33">
      <c r="A237" s="66">
        <f>IF(22구역!B40="","",22구역!B40)</f>
        <v/>
      </c>
      <c r="B237" s="66">
        <f>IF(22구역!C40="","",22구역!C40)</f>
        <v/>
      </c>
      <c r="C237" s="66">
        <f>IF(22구역!D40="","",22구역!D40)</f>
        <v/>
      </c>
      <c r="D237" s="66">
        <f>IF(22구역!E40="","",22구역!E40)</f>
        <v/>
      </c>
      <c r="E237" s="66">
        <f>IF(22구역!F40="","",22구역!F40)</f>
        <v/>
      </c>
      <c r="F237" s="66">
        <f>IF(22구역!G40="","",22구역!G40)</f>
        <v/>
      </c>
      <c r="G237" s="66">
        <f>IF(22구역!H40="","",22구역!H40)</f>
        <v/>
      </c>
      <c r="H237" s="66">
        <f>IF(22구역!I40="","",22구역!I40)</f>
        <v/>
      </c>
      <c r="I237" s="66">
        <f>IF(22구역!J40="","",22구역!J40)</f>
        <v/>
      </c>
      <c r="J237" s="66">
        <f>IF(22구역!K40="","",22구역!K40)</f>
        <v/>
      </c>
      <c r="K237" s="66">
        <f>IF(22구역!L40="","",22구역!L40)</f>
        <v/>
      </c>
      <c r="L237" s="66">
        <f>IF(22구역!M40="","",22구역!M40)</f>
        <v/>
      </c>
      <c r="M237" s="66">
        <f>IF(22구역!N40="","",22구역!N40)</f>
        <v/>
      </c>
    </row>
    <row r="238" ht="15" customHeight="1" s="33">
      <c r="A238" s="66">
        <f>IF(22구역!B41="","",22구역!B41)</f>
        <v/>
      </c>
      <c r="B238" s="66">
        <f>IF(22구역!C41="","",22구역!C41)</f>
        <v/>
      </c>
      <c r="C238" s="66">
        <f>IF(22구역!D41="","",22구역!D41)</f>
        <v/>
      </c>
      <c r="D238" s="66">
        <f>IF(22구역!E41="","",22구역!E41)</f>
        <v/>
      </c>
      <c r="E238" s="66">
        <f>IF(22구역!F41="","",22구역!F41)</f>
        <v/>
      </c>
      <c r="F238" s="66">
        <f>IF(22구역!G41="","",22구역!G41)</f>
        <v/>
      </c>
      <c r="G238" s="66">
        <f>IF(22구역!H41="","",22구역!H41)</f>
        <v/>
      </c>
      <c r="H238" s="66">
        <f>IF(22구역!I41="","",22구역!I41)</f>
        <v/>
      </c>
      <c r="I238" s="66">
        <f>IF(22구역!J41="","",22구역!J41)</f>
        <v/>
      </c>
      <c r="J238" s="66">
        <f>IF(22구역!K41="","",22구역!K41)</f>
        <v/>
      </c>
      <c r="K238" s="66">
        <f>IF(22구역!L41="","",22구역!L41)</f>
        <v/>
      </c>
      <c r="L238" s="66">
        <f>IF(22구역!M41="","",22구역!M41)</f>
        <v/>
      </c>
      <c r="M238" s="66">
        <f>IF(22구역!N41="","",22구역!N41)</f>
        <v/>
      </c>
    </row>
    <row r="239" ht="15" customHeight="1" s="33">
      <c r="A239" s="66">
        <f>IF(22구역!B42="","",22구역!B42)</f>
        <v/>
      </c>
      <c r="B239" s="66">
        <f>IF(22구역!C42="","",22구역!C42)</f>
        <v/>
      </c>
      <c r="C239" s="66">
        <f>IF(22구역!D42="","",22구역!D42)</f>
        <v/>
      </c>
      <c r="D239" s="66">
        <f>IF(22구역!E42="","",22구역!E42)</f>
        <v/>
      </c>
      <c r="E239" s="66">
        <f>IF(22구역!F42="","",22구역!F42)</f>
        <v/>
      </c>
      <c r="F239" s="66">
        <f>IF(22구역!G42="","",22구역!G42)</f>
        <v/>
      </c>
      <c r="G239" s="66">
        <f>IF(22구역!H42="","",22구역!H42)</f>
        <v/>
      </c>
      <c r="H239" s="66">
        <f>IF(22구역!I42="","",22구역!I42)</f>
        <v/>
      </c>
      <c r="I239" s="66">
        <f>IF(22구역!J42="","",22구역!J42)</f>
        <v/>
      </c>
      <c r="J239" s="66">
        <f>IF(22구역!K42="","",22구역!K42)</f>
        <v/>
      </c>
      <c r="K239" s="66">
        <f>IF(22구역!L42="","",22구역!L42)</f>
        <v/>
      </c>
      <c r="L239" s="66">
        <f>IF(22구역!M42="","",22구역!M42)</f>
        <v/>
      </c>
      <c r="M239" s="66">
        <f>IF(22구역!N42="","",22구역!N42)</f>
        <v/>
      </c>
    </row>
    <row r="240" ht="15" customHeight="1" s="33">
      <c r="A240" s="66">
        <f>IF(22구역!B43="","",22구역!B43)</f>
        <v/>
      </c>
      <c r="B240" s="66">
        <f>IF(22구역!C43="","",22구역!C43)</f>
        <v/>
      </c>
      <c r="C240" s="66">
        <f>IF(22구역!D43="","",22구역!D43)</f>
        <v/>
      </c>
      <c r="D240" s="66">
        <f>IF(22구역!E43="","",22구역!E43)</f>
        <v/>
      </c>
      <c r="E240" s="66">
        <f>IF(22구역!F43="","",22구역!F43)</f>
        <v/>
      </c>
      <c r="F240" s="66">
        <f>IF(22구역!G43="","",22구역!G43)</f>
        <v/>
      </c>
      <c r="G240" s="66">
        <f>IF(22구역!H43="","",22구역!H43)</f>
        <v/>
      </c>
      <c r="H240" s="66">
        <f>IF(22구역!I43="","",22구역!I43)</f>
        <v/>
      </c>
      <c r="I240" s="66">
        <f>IF(22구역!J43="","",22구역!J43)</f>
        <v/>
      </c>
      <c r="J240" s="66">
        <f>IF(22구역!K43="","",22구역!K43)</f>
        <v/>
      </c>
      <c r="K240" s="66">
        <f>IF(22구역!L43="","",22구역!L43)</f>
        <v/>
      </c>
      <c r="L240" s="66">
        <f>IF(22구역!M43="","",22구역!M43)</f>
        <v/>
      </c>
      <c r="M240" s="66">
        <f>IF(22구역!N43="","",22구역!N43)</f>
        <v/>
      </c>
    </row>
    <row r="241" ht="15" customHeight="1" s="33">
      <c r="A241" s="66">
        <f>IF(23구역!B4="","",23구역!B4)</f>
        <v/>
      </c>
      <c r="B241" s="66">
        <f>IF(23구역!C4="","",23구역!C4)</f>
        <v/>
      </c>
      <c r="C241" s="66">
        <f>IF(23구역!D4="","",23구역!D4)</f>
        <v/>
      </c>
      <c r="D241" s="66">
        <f>IF(23구역!E4="","",23구역!E4)</f>
        <v/>
      </c>
      <c r="E241" s="66">
        <f>IF(23구역!F4="","",23구역!F4)</f>
        <v/>
      </c>
      <c r="F241" s="66">
        <f>IF(23구역!G4="","",23구역!G4)</f>
        <v/>
      </c>
      <c r="G241" s="66">
        <f>IF(23구역!H4="","",23구역!H4)</f>
        <v/>
      </c>
      <c r="H241" s="66">
        <f>IF(23구역!I4="","",23구역!I4)</f>
        <v/>
      </c>
      <c r="I241" s="66">
        <f>IF(23구역!J4="","",23구역!J4)</f>
        <v/>
      </c>
      <c r="J241" s="66">
        <f>IF(23구역!K4="","",23구역!K4)</f>
        <v/>
      </c>
      <c r="K241" s="66">
        <f>IF(23구역!L4="","",23구역!L4)</f>
        <v/>
      </c>
      <c r="L241" s="66">
        <f>IF(23구역!M4="","",23구역!M4)</f>
        <v/>
      </c>
      <c r="M241" s="66">
        <f>IF(23구역!N4="","",23구역!N4)</f>
        <v/>
      </c>
    </row>
    <row r="242" ht="15" customHeight="1" s="33">
      <c r="A242" s="66">
        <f>IF(23구역!B5="","",23구역!B5)</f>
        <v/>
      </c>
      <c r="B242" s="66">
        <f>IF(23구역!C5="","",23구역!C5)</f>
        <v/>
      </c>
      <c r="C242" s="66">
        <f>IF(23구역!D5="","",23구역!D5)</f>
        <v/>
      </c>
      <c r="D242" s="66">
        <f>IF(23구역!E5="","",23구역!E5)</f>
        <v/>
      </c>
      <c r="E242" s="66">
        <f>IF(23구역!F5="","",23구역!F5)</f>
        <v/>
      </c>
      <c r="F242" s="66">
        <f>IF(23구역!G5="","",23구역!G5)</f>
        <v/>
      </c>
      <c r="G242" s="66">
        <f>IF(23구역!H5="","",23구역!H5)</f>
        <v/>
      </c>
      <c r="H242" s="66">
        <f>IF(23구역!I5="","",23구역!I5)</f>
        <v/>
      </c>
      <c r="I242" s="66">
        <f>IF(23구역!J5="","",23구역!J5)</f>
        <v/>
      </c>
      <c r="J242" s="66">
        <f>IF(23구역!K5="","",23구역!K5)</f>
        <v/>
      </c>
      <c r="K242" s="66">
        <f>IF(23구역!L5="","",23구역!L5)</f>
        <v/>
      </c>
      <c r="L242" s="66">
        <f>IF(23구역!M5="","",23구역!M5)</f>
        <v/>
      </c>
      <c r="M242" s="66">
        <f>IF(23구역!N5="","",23구역!N5)</f>
        <v/>
      </c>
    </row>
    <row r="243" ht="15" customHeight="1" s="33">
      <c r="A243" s="66">
        <f>IF(23구역!B6="","",23구역!B6)</f>
        <v/>
      </c>
      <c r="B243" s="66">
        <f>IF(23구역!C6="","",23구역!C6)</f>
        <v/>
      </c>
      <c r="C243" s="66">
        <f>IF(23구역!D6="","",23구역!D6)</f>
        <v/>
      </c>
      <c r="D243" s="66">
        <f>IF(23구역!E6="","",23구역!E6)</f>
        <v/>
      </c>
      <c r="E243" s="66">
        <f>IF(23구역!F6="","",23구역!F6)</f>
        <v/>
      </c>
      <c r="F243" s="66">
        <f>IF(23구역!G6="","",23구역!G6)</f>
        <v/>
      </c>
      <c r="G243" s="66">
        <f>IF(23구역!H6="","",23구역!H6)</f>
        <v/>
      </c>
      <c r="H243" s="66">
        <f>IF(23구역!I6="","",23구역!I6)</f>
        <v/>
      </c>
      <c r="I243" s="66">
        <f>IF(23구역!J6="","",23구역!J6)</f>
        <v/>
      </c>
      <c r="J243" s="66">
        <f>IF(23구역!K6="","",23구역!K6)</f>
        <v/>
      </c>
      <c r="K243" s="66">
        <f>IF(23구역!L6="","",23구역!L6)</f>
        <v/>
      </c>
      <c r="L243" s="66">
        <f>IF(23구역!M6="","",23구역!M6)</f>
        <v/>
      </c>
      <c r="M243" s="66">
        <f>IF(23구역!N6="","",23구역!N6)</f>
        <v/>
      </c>
    </row>
    <row r="244" ht="15" customHeight="1" s="33">
      <c r="A244" s="66">
        <f>IF(23구역!B7="","",23구역!B7)</f>
        <v/>
      </c>
      <c r="B244" s="66">
        <f>IF(23구역!C7="","",23구역!C7)</f>
        <v/>
      </c>
      <c r="C244" s="66">
        <f>IF(23구역!D7="","",23구역!D7)</f>
        <v/>
      </c>
      <c r="D244" s="66">
        <f>IF(23구역!E7="","",23구역!E7)</f>
        <v/>
      </c>
      <c r="E244" s="66">
        <f>IF(23구역!F7="","",23구역!F7)</f>
        <v/>
      </c>
      <c r="F244" s="66">
        <f>IF(23구역!G7="","",23구역!G7)</f>
        <v/>
      </c>
      <c r="G244" s="66">
        <f>IF(23구역!H7="","",23구역!H7)</f>
        <v/>
      </c>
      <c r="H244" s="66">
        <f>IF(23구역!I7="","",23구역!I7)</f>
        <v/>
      </c>
      <c r="I244" s="66">
        <f>IF(23구역!J7="","",23구역!J7)</f>
        <v/>
      </c>
      <c r="J244" s="66">
        <f>IF(23구역!K7="","",23구역!K7)</f>
        <v/>
      </c>
      <c r="K244" s="66">
        <f>IF(23구역!L7="","",23구역!L7)</f>
        <v/>
      </c>
      <c r="L244" s="66">
        <f>IF(23구역!M7="","",23구역!M7)</f>
        <v/>
      </c>
      <c r="M244" s="66">
        <f>IF(23구역!N7="","",23구역!N7)</f>
        <v/>
      </c>
    </row>
    <row r="245" ht="15" customHeight="1" s="33">
      <c r="A245" s="66">
        <f>IF(23구역!B8="","",23구역!B8)</f>
        <v/>
      </c>
      <c r="B245" s="66">
        <f>IF(23구역!C8="","",23구역!C8)</f>
        <v/>
      </c>
      <c r="C245" s="66">
        <f>IF(23구역!D8="","",23구역!D8)</f>
        <v/>
      </c>
      <c r="D245" s="66">
        <f>IF(23구역!E8="","",23구역!E8)</f>
        <v/>
      </c>
      <c r="E245" s="66">
        <f>IF(23구역!F8="","",23구역!F8)</f>
        <v/>
      </c>
      <c r="F245" s="66">
        <f>IF(23구역!G8="","",23구역!G8)</f>
        <v/>
      </c>
      <c r="G245" s="66">
        <f>IF(23구역!H8="","",23구역!H8)</f>
        <v/>
      </c>
      <c r="H245" s="66">
        <f>IF(23구역!I8="","",23구역!I8)</f>
        <v/>
      </c>
      <c r="I245" s="66">
        <f>IF(23구역!J8="","",23구역!J8)</f>
        <v/>
      </c>
      <c r="J245" s="66">
        <f>IF(23구역!K8="","",23구역!K8)</f>
        <v/>
      </c>
      <c r="K245" s="66">
        <f>IF(23구역!L8="","",23구역!L8)</f>
        <v/>
      </c>
      <c r="L245" s="66">
        <f>IF(23구역!M8="","",23구역!M8)</f>
        <v/>
      </c>
      <c r="M245" s="66">
        <f>IF(23구역!N8="","",23구역!N8)</f>
        <v/>
      </c>
    </row>
    <row r="246" ht="15" customHeight="1" s="33">
      <c r="A246" s="66">
        <f>IF(23구역!B9="","",23구역!B9)</f>
        <v/>
      </c>
      <c r="B246" s="66">
        <f>IF(23구역!C9="","",23구역!C9)</f>
        <v/>
      </c>
      <c r="C246" s="66">
        <f>IF(23구역!D9="","",23구역!D9)</f>
        <v/>
      </c>
      <c r="D246" s="66">
        <f>IF(23구역!E9="","",23구역!E9)</f>
        <v/>
      </c>
      <c r="E246" s="66">
        <f>IF(23구역!F9="","",23구역!F9)</f>
        <v/>
      </c>
      <c r="F246" s="66">
        <f>IF(23구역!G9="","",23구역!G9)</f>
        <v/>
      </c>
      <c r="G246" s="66">
        <f>IF(23구역!H9="","",23구역!H9)</f>
        <v/>
      </c>
      <c r="H246" s="66">
        <f>IF(23구역!I9="","",23구역!I9)</f>
        <v/>
      </c>
      <c r="I246" s="66">
        <f>IF(23구역!J9="","",23구역!J9)</f>
        <v/>
      </c>
      <c r="J246" s="66">
        <f>IF(23구역!K9="","",23구역!K9)</f>
        <v/>
      </c>
      <c r="K246" s="66">
        <f>IF(23구역!L9="","",23구역!L9)</f>
        <v/>
      </c>
      <c r="L246" s="66">
        <f>IF(23구역!M9="","",23구역!M9)</f>
        <v/>
      </c>
      <c r="M246" s="66">
        <f>IF(23구역!N9="","",23구역!N9)</f>
        <v/>
      </c>
    </row>
    <row r="247" ht="15" customHeight="1" s="33">
      <c r="A247" s="66">
        <f>IF(23구역!B10="","",23구역!B10)</f>
        <v/>
      </c>
      <c r="B247" s="66">
        <f>IF(23구역!C10="","",23구역!C10)</f>
        <v/>
      </c>
      <c r="C247" s="66">
        <f>IF(23구역!D10="","",23구역!D10)</f>
        <v/>
      </c>
      <c r="D247" s="66">
        <f>IF(23구역!E10="","",23구역!E10)</f>
        <v/>
      </c>
      <c r="E247" s="66">
        <f>IF(23구역!F10="","",23구역!F10)</f>
        <v/>
      </c>
      <c r="F247" s="66">
        <f>IF(23구역!G10="","",23구역!G10)</f>
        <v/>
      </c>
      <c r="G247" s="66">
        <f>IF(23구역!H10="","",23구역!H10)</f>
        <v/>
      </c>
      <c r="H247" s="66">
        <f>IF(23구역!I10="","",23구역!I10)</f>
        <v/>
      </c>
      <c r="I247" s="66">
        <f>IF(23구역!J10="","",23구역!J10)</f>
        <v/>
      </c>
      <c r="J247" s="66">
        <f>IF(23구역!K10="","",23구역!K10)</f>
        <v/>
      </c>
      <c r="K247" s="66">
        <f>IF(23구역!L10="","",23구역!L10)</f>
        <v/>
      </c>
      <c r="L247" s="66">
        <f>IF(23구역!M10="","",23구역!M10)</f>
        <v/>
      </c>
      <c r="M247" s="66">
        <f>IF(23구역!N10="","",23구역!N10)</f>
        <v/>
      </c>
    </row>
    <row r="248" ht="15" customHeight="1" s="33">
      <c r="A248" s="66">
        <f>IF(23구역!B11="","",23구역!B11)</f>
        <v/>
      </c>
      <c r="B248" s="66">
        <f>IF(23구역!C11="","",23구역!C11)</f>
        <v/>
      </c>
      <c r="C248" s="66">
        <f>IF(23구역!D11="","",23구역!D11)</f>
        <v/>
      </c>
      <c r="D248" s="66">
        <f>IF(23구역!E11="","",23구역!E11)</f>
        <v/>
      </c>
      <c r="E248" s="66">
        <f>IF(23구역!F11="","",23구역!F11)</f>
        <v/>
      </c>
      <c r="F248" s="66">
        <f>IF(23구역!G11="","",23구역!G11)</f>
        <v/>
      </c>
      <c r="G248" s="66">
        <f>IF(23구역!H11="","",23구역!H11)</f>
        <v/>
      </c>
      <c r="H248" s="66">
        <f>IF(23구역!I11="","",23구역!I11)</f>
        <v/>
      </c>
      <c r="I248" s="66">
        <f>IF(23구역!J11="","",23구역!J11)</f>
        <v/>
      </c>
      <c r="J248" s="66">
        <f>IF(23구역!K11="","",23구역!K11)</f>
        <v/>
      </c>
      <c r="K248" s="66">
        <f>IF(23구역!L11="","",23구역!L11)</f>
        <v/>
      </c>
      <c r="L248" s="66">
        <f>IF(23구역!M11="","",23구역!M11)</f>
        <v/>
      </c>
      <c r="M248" s="66">
        <f>IF(23구역!N11="","",23구역!N11)</f>
        <v/>
      </c>
    </row>
    <row r="249" ht="15" customHeight="1" s="33">
      <c r="A249" s="66">
        <f>IF(23구역!B12="","",23구역!B12)</f>
        <v/>
      </c>
      <c r="B249" s="66">
        <f>IF(23구역!C12="","",23구역!C12)</f>
        <v/>
      </c>
      <c r="C249" s="66">
        <f>IF(23구역!D12="","",23구역!D12)</f>
        <v/>
      </c>
      <c r="D249" s="66">
        <f>IF(23구역!E12="","",23구역!E12)</f>
        <v/>
      </c>
      <c r="E249" s="66">
        <f>IF(23구역!F12="","",23구역!F12)</f>
        <v/>
      </c>
      <c r="F249" s="66">
        <f>IF(23구역!G12="","",23구역!G12)</f>
        <v/>
      </c>
      <c r="G249" s="66">
        <f>IF(23구역!H12="","",23구역!H12)</f>
        <v/>
      </c>
      <c r="H249" s="66">
        <f>IF(23구역!I12="","",23구역!I12)</f>
        <v/>
      </c>
      <c r="I249" s="66">
        <f>IF(23구역!J12="","",23구역!J12)</f>
        <v/>
      </c>
      <c r="J249" s="66">
        <f>IF(23구역!K12="","",23구역!K12)</f>
        <v/>
      </c>
      <c r="K249" s="66">
        <f>IF(23구역!L12="","",23구역!L12)</f>
        <v/>
      </c>
      <c r="L249" s="66">
        <f>IF(23구역!M12="","",23구역!M12)</f>
        <v/>
      </c>
      <c r="M249" s="66">
        <f>IF(23구역!N12="","",23구역!N12)</f>
        <v/>
      </c>
    </row>
    <row r="250" ht="15" customHeight="1" s="33">
      <c r="A250" s="66">
        <f>IF(23구역!B13="","",23구역!B13)</f>
        <v/>
      </c>
      <c r="B250" s="66">
        <f>IF(23구역!C13="","",23구역!C13)</f>
        <v/>
      </c>
      <c r="C250" s="66">
        <f>IF(23구역!D13="","",23구역!D13)</f>
        <v/>
      </c>
      <c r="D250" s="66">
        <f>IF(23구역!E13="","",23구역!E13)</f>
        <v/>
      </c>
      <c r="E250" s="66">
        <f>IF(23구역!F13="","",23구역!F13)</f>
        <v/>
      </c>
      <c r="F250" s="66">
        <f>IF(23구역!G13="","",23구역!G13)</f>
        <v/>
      </c>
      <c r="G250" s="66">
        <f>IF(23구역!H13="","",23구역!H13)</f>
        <v/>
      </c>
      <c r="H250" s="66">
        <f>IF(23구역!I13="","",23구역!I13)</f>
        <v/>
      </c>
      <c r="I250" s="66">
        <f>IF(23구역!J13="","",23구역!J13)</f>
        <v/>
      </c>
      <c r="J250" s="66">
        <f>IF(23구역!K13="","",23구역!K13)</f>
        <v/>
      </c>
      <c r="K250" s="66">
        <f>IF(23구역!L13="","",23구역!L13)</f>
        <v/>
      </c>
      <c r="L250" s="66">
        <f>IF(23구역!M13="","",23구역!M13)</f>
        <v/>
      </c>
      <c r="M250" s="66">
        <f>IF(23구역!N13="","",23구역!N13)</f>
        <v/>
      </c>
    </row>
    <row r="251" ht="15" customHeight="1" s="33">
      <c r="A251" s="66">
        <f>IF(23구역!B14="","",23구역!B14)</f>
        <v/>
      </c>
      <c r="B251" s="66">
        <f>IF(23구역!C14="","",23구역!C14)</f>
        <v/>
      </c>
      <c r="C251" s="66">
        <f>IF(23구역!D14="","",23구역!D14)</f>
        <v/>
      </c>
      <c r="D251" s="66">
        <f>IF(23구역!E14="","",23구역!E14)</f>
        <v/>
      </c>
      <c r="E251" s="66">
        <f>IF(23구역!F14="","",23구역!F14)</f>
        <v/>
      </c>
      <c r="F251" s="66">
        <f>IF(23구역!G14="","",23구역!G14)</f>
        <v/>
      </c>
      <c r="G251" s="66">
        <f>IF(23구역!H14="","",23구역!H14)</f>
        <v/>
      </c>
      <c r="H251" s="66">
        <f>IF(23구역!I14="","",23구역!I14)</f>
        <v/>
      </c>
      <c r="I251" s="66">
        <f>IF(23구역!J14="","",23구역!J14)</f>
        <v/>
      </c>
      <c r="J251" s="66">
        <f>IF(23구역!K14="","",23구역!K14)</f>
        <v/>
      </c>
      <c r="K251" s="66">
        <f>IF(23구역!L14="","",23구역!L14)</f>
        <v/>
      </c>
      <c r="L251" s="66">
        <f>IF(23구역!M14="","",23구역!M14)</f>
        <v/>
      </c>
      <c r="M251" s="66">
        <f>IF(23구역!N14="","",23구역!N14)</f>
        <v/>
      </c>
    </row>
    <row r="252" ht="15" customHeight="1" s="33">
      <c r="A252" s="66">
        <f>IF(23구역!B15="","",23구역!B15)</f>
        <v/>
      </c>
      <c r="B252" s="66">
        <f>IF(23구역!C15="","",23구역!C15)</f>
        <v/>
      </c>
      <c r="C252" s="66">
        <f>IF(23구역!D15="","",23구역!D15)</f>
        <v/>
      </c>
      <c r="D252" s="66">
        <f>IF(23구역!E15="","",23구역!E15)</f>
        <v/>
      </c>
      <c r="E252" s="66">
        <f>IF(23구역!F15="","",23구역!F15)</f>
        <v/>
      </c>
      <c r="F252" s="66">
        <f>IF(23구역!G15="","",23구역!G15)</f>
        <v/>
      </c>
      <c r="G252" s="66">
        <f>IF(23구역!H15="","",23구역!H15)</f>
        <v/>
      </c>
      <c r="H252" s="66">
        <f>IF(23구역!I15="","",23구역!I15)</f>
        <v/>
      </c>
      <c r="I252" s="66">
        <f>IF(23구역!J15="","",23구역!J15)</f>
        <v/>
      </c>
      <c r="J252" s="66">
        <f>IF(23구역!K15="","",23구역!K15)</f>
        <v/>
      </c>
      <c r="K252" s="66">
        <f>IF(23구역!L15="","",23구역!L15)</f>
        <v/>
      </c>
      <c r="L252" s="66">
        <f>IF(23구역!M15="","",23구역!M15)</f>
        <v/>
      </c>
      <c r="M252" s="66">
        <f>IF(23구역!N15="","",23구역!N15)</f>
        <v/>
      </c>
    </row>
    <row r="253" ht="15" customHeight="1" s="33">
      <c r="A253" s="66">
        <f>IF(23구역!B16="","",23구역!B16)</f>
        <v/>
      </c>
      <c r="B253" s="66">
        <f>IF(23구역!C16="","",23구역!C16)</f>
        <v/>
      </c>
      <c r="C253" s="66">
        <f>IF(23구역!D16="","",23구역!D16)</f>
        <v/>
      </c>
      <c r="D253" s="66">
        <f>IF(23구역!E16="","",23구역!E16)</f>
        <v/>
      </c>
      <c r="E253" s="66">
        <f>IF(23구역!F16="","",23구역!F16)</f>
        <v/>
      </c>
      <c r="F253" s="66">
        <f>IF(23구역!G16="","",23구역!G16)</f>
        <v/>
      </c>
      <c r="G253" s="66">
        <f>IF(23구역!H16="","",23구역!H16)</f>
        <v/>
      </c>
      <c r="H253" s="66">
        <f>IF(23구역!I16="","",23구역!I16)</f>
        <v/>
      </c>
      <c r="I253" s="66">
        <f>IF(23구역!J16="","",23구역!J16)</f>
        <v/>
      </c>
      <c r="J253" s="66">
        <f>IF(23구역!K16="","",23구역!K16)</f>
        <v/>
      </c>
      <c r="K253" s="66">
        <f>IF(23구역!L16="","",23구역!L16)</f>
        <v/>
      </c>
      <c r="L253" s="66">
        <f>IF(23구역!M16="","",23구역!M16)</f>
        <v/>
      </c>
      <c r="M253" s="66">
        <f>IF(23구역!N16="","",23구역!N16)</f>
        <v/>
      </c>
    </row>
    <row r="254" ht="15" customHeight="1" s="33">
      <c r="A254" s="66">
        <f>IF(23구역!B17="","",23구역!B17)</f>
        <v/>
      </c>
      <c r="B254" s="66">
        <f>IF(23구역!C17="","",23구역!C17)</f>
        <v/>
      </c>
      <c r="C254" s="66">
        <f>IF(23구역!D17="","",23구역!D17)</f>
        <v/>
      </c>
      <c r="D254" s="66">
        <f>IF(23구역!E17="","",23구역!E17)</f>
        <v/>
      </c>
      <c r="E254" s="66">
        <f>IF(23구역!F17="","",23구역!F17)</f>
        <v/>
      </c>
      <c r="F254" s="66">
        <f>IF(23구역!G17="","",23구역!G17)</f>
        <v/>
      </c>
      <c r="G254" s="66">
        <f>IF(23구역!H17="","",23구역!H17)</f>
        <v/>
      </c>
      <c r="H254" s="66">
        <f>IF(23구역!I17="","",23구역!I17)</f>
        <v/>
      </c>
      <c r="I254" s="66">
        <f>IF(23구역!J17="","",23구역!J17)</f>
        <v/>
      </c>
      <c r="J254" s="66">
        <f>IF(23구역!K17="","",23구역!K17)</f>
        <v/>
      </c>
      <c r="K254" s="66">
        <f>IF(23구역!L17="","",23구역!L17)</f>
        <v/>
      </c>
      <c r="L254" s="66">
        <f>IF(23구역!M17="","",23구역!M17)</f>
        <v/>
      </c>
      <c r="M254" s="66">
        <f>IF(23구역!N17="","",23구역!N17)</f>
        <v/>
      </c>
    </row>
    <row r="255" ht="15" customHeight="1" s="33">
      <c r="A255" s="66">
        <f>IF(23구역!B18="","",23구역!B18)</f>
        <v/>
      </c>
      <c r="B255" s="66">
        <f>IF(23구역!C18="","",23구역!C18)</f>
        <v/>
      </c>
      <c r="C255" s="66">
        <f>IF(23구역!D18="","",23구역!D18)</f>
        <v/>
      </c>
      <c r="D255" s="66">
        <f>IF(23구역!E18="","",23구역!E18)</f>
        <v/>
      </c>
      <c r="E255" s="66">
        <f>IF(23구역!F18="","",23구역!F18)</f>
        <v/>
      </c>
      <c r="F255" s="66">
        <f>IF(23구역!G18="","",23구역!G18)</f>
        <v/>
      </c>
      <c r="G255" s="66">
        <f>IF(23구역!H18="","",23구역!H18)</f>
        <v/>
      </c>
      <c r="H255" s="66">
        <f>IF(23구역!I18="","",23구역!I18)</f>
        <v/>
      </c>
      <c r="I255" s="66">
        <f>IF(23구역!J18="","",23구역!J18)</f>
        <v/>
      </c>
      <c r="J255" s="66">
        <f>IF(23구역!K18="","",23구역!K18)</f>
        <v/>
      </c>
      <c r="K255" s="66">
        <f>IF(23구역!L18="","",23구역!L18)</f>
        <v/>
      </c>
      <c r="L255" s="66">
        <f>IF(23구역!M18="","",23구역!M18)</f>
        <v/>
      </c>
      <c r="M255" s="66">
        <f>IF(23구역!N18="","",23구역!N18)</f>
        <v/>
      </c>
    </row>
    <row r="256" ht="15" customHeight="1" s="33">
      <c r="A256" s="66">
        <f>IF(23구역!B19="","",23구역!B19)</f>
        <v/>
      </c>
      <c r="B256" s="66">
        <f>IF(23구역!C19="","",23구역!C19)</f>
        <v/>
      </c>
      <c r="C256" s="66">
        <f>IF(23구역!D19="","",23구역!D19)</f>
        <v/>
      </c>
      <c r="D256" s="66">
        <f>IF(23구역!E19="","",23구역!E19)</f>
        <v/>
      </c>
      <c r="E256" s="66">
        <f>IF(23구역!F19="","",23구역!F19)</f>
        <v/>
      </c>
      <c r="F256" s="66">
        <f>IF(23구역!G19="","",23구역!G19)</f>
        <v/>
      </c>
      <c r="G256" s="66">
        <f>IF(23구역!H19="","",23구역!H19)</f>
        <v/>
      </c>
      <c r="H256" s="66">
        <f>IF(23구역!I19="","",23구역!I19)</f>
        <v/>
      </c>
      <c r="I256" s="66">
        <f>IF(23구역!J19="","",23구역!J19)</f>
        <v/>
      </c>
      <c r="J256" s="66">
        <f>IF(23구역!K19="","",23구역!K19)</f>
        <v/>
      </c>
      <c r="K256" s="66">
        <f>IF(23구역!L19="","",23구역!L19)</f>
        <v/>
      </c>
      <c r="L256" s="66">
        <f>IF(23구역!M19="","",23구역!M19)</f>
        <v/>
      </c>
      <c r="M256" s="66">
        <f>IF(23구역!N19="","",23구역!N19)</f>
        <v/>
      </c>
    </row>
    <row r="257" ht="15" customHeight="1" s="33">
      <c r="A257" s="66">
        <f>IF(23구역!B20="","",23구역!B20)</f>
        <v/>
      </c>
      <c r="B257" s="66">
        <f>IF(23구역!C20="","",23구역!C20)</f>
        <v/>
      </c>
      <c r="C257" s="66">
        <f>IF(23구역!D20="","",23구역!D20)</f>
        <v/>
      </c>
      <c r="D257" s="66">
        <f>IF(23구역!E20="","",23구역!E20)</f>
        <v/>
      </c>
      <c r="E257" s="66">
        <f>IF(23구역!F20="","",23구역!F20)</f>
        <v/>
      </c>
      <c r="F257" s="66">
        <f>IF(23구역!G20="","",23구역!G20)</f>
        <v/>
      </c>
      <c r="G257" s="66">
        <f>IF(23구역!H20="","",23구역!H20)</f>
        <v/>
      </c>
      <c r="H257" s="66">
        <f>IF(23구역!I20="","",23구역!I20)</f>
        <v/>
      </c>
      <c r="I257" s="66">
        <f>IF(23구역!J20="","",23구역!J20)</f>
        <v/>
      </c>
      <c r="J257" s="66">
        <f>IF(23구역!K20="","",23구역!K20)</f>
        <v/>
      </c>
      <c r="K257" s="66">
        <f>IF(23구역!L20="","",23구역!L20)</f>
        <v/>
      </c>
      <c r="L257" s="66">
        <f>IF(23구역!M20="","",23구역!M20)</f>
        <v/>
      </c>
      <c r="M257" s="66">
        <f>IF(23구역!N20="","",23구역!N20)</f>
        <v/>
      </c>
    </row>
    <row r="258" ht="15" customHeight="1" s="33">
      <c r="A258" s="66">
        <f>IF(23구역!B21="","",23구역!B21)</f>
        <v/>
      </c>
      <c r="B258" s="66">
        <f>IF(23구역!C21="","",23구역!C21)</f>
        <v/>
      </c>
      <c r="C258" s="66">
        <f>IF(23구역!D21="","",23구역!D21)</f>
        <v/>
      </c>
      <c r="D258" s="66">
        <f>IF(23구역!E21="","",23구역!E21)</f>
        <v/>
      </c>
      <c r="E258" s="66">
        <f>IF(23구역!F21="","",23구역!F21)</f>
        <v/>
      </c>
      <c r="F258" s="66">
        <f>IF(23구역!G21="","",23구역!G21)</f>
        <v/>
      </c>
      <c r="G258" s="66">
        <f>IF(23구역!H21="","",23구역!H21)</f>
        <v/>
      </c>
      <c r="H258" s="66">
        <f>IF(23구역!I21="","",23구역!I21)</f>
        <v/>
      </c>
      <c r="I258" s="66">
        <f>IF(23구역!J21="","",23구역!J21)</f>
        <v/>
      </c>
      <c r="J258" s="66">
        <f>IF(23구역!K21="","",23구역!K21)</f>
        <v/>
      </c>
      <c r="K258" s="66">
        <f>IF(23구역!L21="","",23구역!L21)</f>
        <v/>
      </c>
      <c r="L258" s="66">
        <f>IF(23구역!M21="","",23구역!M21)</f>
        <v/>
      </c>
      <c r="M258" s="66">
        <f>IF(23구역!N21="","",23구역!N21)</f>
        <v/>
      </c>
    </row>
    <row r="259" ht="15" customHeight="1" s="33">
      <c r="A259" s="66">
        <f>IF(23구역!B22="","",23구역!B22)</f>
        <v/>
      </c>
      <c r="B259" s="66">
        <f>IF(23구역!C22="","",23구역!C22)</f>
        <v/>
      </c>
      <c r="C259" s="66">
        <f>IF(23구역!D22="","",23구역!D22)</f>
        <v/>
      </c>
      <c r="D259" s="66">
        <f>IF(23구역!E22="","",23구역!E22)</f>
        <v/>
      </c>
      <c r="E259" s="66">
        <f>IF(23구역!F22="","",23구역!F22)</f>
        <v/>
      </c>
      <c r="F259" s="66">
        <f>IF(23구역!G22="","",23구역!G22)</f>
        <v/>
      </c>
      <c r="G259" s="66">
        <f>IF(23구역!H22="","",23구역!H22)</f>
        <v/>
      </c>
      <c r="H259" s="66">
        <f>IF(23구역!I22="","",23구역!I22)</f>
        <v/>
      </c>
      <c r="I259" s="66">
        <f>IF(23구역!J22="","",23구역!J22)</f>
        <v/>
      </c>
      <c r="J259" s="66">
        <f>IF(23구역!K22="","",23구역!K22)</f>
        <v/>
      </c>
      <c r="K259" s="66">
        <f>IF(23구역!L22="","",23구역!L22)</f>
        <v/>
      </c>
      <c r="L259" s="66">
        <f>IF(23구역!M22="","",23구역!M22)</f>
        <v/>
      </c>
      <c r="M259" s="66">
        <f>IF(23구역!N22="","",23구역!N22)</f>
        <v/>
      </c>
    </row>
    <row r="260" ht="15" customHeight="1" s="33">
      <c r="A260" s="66">
        <f>IF(23구역!B23="","",23구역!B23)</f>
        <v/>
      </c>
      <c r="B260" s="66">
        <f>IF(23구역!C23="","",23구역!C23)</f>
        <v/>
      </c>
      <c r="C260" s="66">
        <f>IF(23구역!D23="","",23구역!D23)</f>
        <v/>
      </c>
      <c r="D260" s="66">
        <f>IF(23구역!E23="","",23구역!E23)</f>
        <v/>
      </c>
      <c r="E260" s="66">
        <f>IF(23구역!F23="","",23구역!F23)</f>
        <v/>
      </c>
      <c r="F260" s="66">
        <f>IF(23구역!G23="","",23구역!G23)</f>
        <v/>
      </c>
      <c r="G260" s="66">
        <f>IF(23구역!H23="","",23구역!H23)</f>
        <v/>
      </c>
      <c r="H260" s="66">
        <f>IF(23구역!I23="","",23구역!I23)</f>
        <v/>
      </c>
      <c r="I260" s="66">
        <f>IF(23구역!J23="","",23구역!J23)</f>
        <v/>
      </c>
      <c r="J260" s="66">
        <f>IF(23구역!K23="","",23구역!K23)</f>
        <v/>
      </c>
      <c r="K260" s="66">
        <f>IF(23구역!L23="","",23구역!L23)</f>
        <v/>
      </c>
      <c r="L260" s="66">
        <f>IF(23구역!M23="","",23구역!M23)</f>
        <v/>
      </c>
      <c r="M260" s="66">
        <f>IF(23구역!N23="","",23구역!N23)</f>
        <v/>
      </c>
    </row>
    <row r="261" ht="15" customHeight="1" s="33">
      <c r="A261" s="66">
        <f>IF(23구역!B24="","",23구역!B24)</f>
        <v/>
      </c>
      <c r="B261" s="66">
        <f>IF(23구역!C24="","",23구역!C24)</f>
        <v/>
      </c>
      <c r="C261" s="66">
        <f>IF(23구역!D24="","",23구역!D24)</f>
        <v/>
      </c>
      <c r="D261" s="66">
        <f>IF(23구역!E24="","",23구역!E24)</f>
        <v/>
      </c>
      <c r="E261" s="66">
        <f>IF(23구역!F24="","",23구역!F24)</f>
        <v/>
      </c>
      <c r="F261" s="66">
        <f>IF(23구역!G24="","",23구역!G24)</f>
        <v/>
      </c>
      <c r="G261" s="66">
        <f>IF(23구역!H24="","",23구역!H24)</f>
        <v/>
      </c>
      <c r="H261" s="66">
        <f>IF(23구역!I24="","",23구역!I24)</f>
        <v/>
      </c>
      <c r="I261" s="66">
        <f>IF(23구역!J24="","",23구역!J24)</f>
        <v/>
      </c>
      <c r="J261" s="66">
        <f>IF(23구역!K24="","",23구역!K24)</f>
        <v/>
      </c>
      <c r="K261" s="66">
        <f>IF(23구역!L24="","",23구역!L24)</f>
        <v/>
      </c>
      <c r="L261" s="66">
        <f>IF(23구역!M24="","",23구역!M24)</f>
        <v/>
      </c>
      <c r="M261" s="66">
        <f>IF(23구역!N24="","",23구역!N24)</f>
        <v/>
      </c>
    </row>
    <row r="262" ht="15" customHeight="1" s="33">
      <c r="A262" s="66">
        <f>IF(23구역!B25="","",23구역!B25)</f>
        <v/>
      </c>
      <c r="B262" s="66">
        <f>IF(23구역!C25="","",23구역!C25)</f>
        <v/>
      </c>
      <c r="C262" s="66">
        <f>IF(23구역!D25="","",23구역!D25)</f>
        <v/>
      </c>
      <c r="D262" s="66">
        <f>IF(23구역!E25="","",23구역!E25)</f>
        <v/>
      </c>
      <c r="E262" s="66">
        <f>IF(23구역!F25="","",23구역!F25)</f>
        <v/>
      </c>
      <c r="F262" s="66">
        <f>IF(23구역!G25="","",23구역!G25)</f>
        <v/>
      </c>
      <c r="G262" s="66">
        <f>IF(23구역!H25="","",23구역!H25)</f>
        <v/>
      </c>
      <c r="H262" s="66">
        <f>IF(23구역!I25="","",23구역!I25)</f>
        <v/>
      </c>
      <c r="I262" s="66">
        <f>IF(23구역!J25="","",23구역!J25)</f>
        <v/>
      </c>
      <c r="J262" s="66">
        <f>IF(23구역!K25="","",23구역!K25)</f>
        <v/>
      </c>
      <c r="K262" s="66">
        <f>IF(23구역!L25="","",23구역!L25)</f>
        <v/>
      </c>
      <c r="L262" s="66">
        <f>IF(23구역!M25="","",23구역!M25)</f>
        <v/>
      </c>
      <c r="M262" s="66">
        <f>IF(23구역!N25="","",23구역!N25)</f>
        <v/>
      </c>
    </row>
    <row r="263" ht="15" customHeight="1" s="33">
      <c r="A263" s="66">
        <f>IF(23구역!B26="","",23구역!B26)</f>
        <v/>
      </c>
      <c r="B263" s="66">
        <f>IF(23구역!C26="","",23구역!C26)</f>
        <v/>
      </c>
      <c r="C263" s="66">
        <f>IF(23구역!D26="","",23구역!D26)</f>
        <v/>
      </c>
      <c r="D263" s="66">
        <f>IF(23구역!E26="","",23구역!E26)</f>
        <v/>
      </c>
      <c r="E263" s="66">
        <f>IF(23구역!F26="","",23구역!F26)</f>
        <v/>
      </c>
      <c r="F263" s="66">
        <f>IF(23구역!G26="","",23구역!G26)</f>
        <v/>
      </c>
      <c r="G263" s="66">
        <f>IF(23구역!H26="","",23구역!H26)</f>
        <v/>
      </c>
      <c r="H263" s="66">
        <f>IF(23구역!I26="","",23구역!I26)</f>
        <v/>
      </c>
      <c r="I263" s="66">
        <f>IF(23구역!J26="","",23구역!J26)</f>
        <v/>
      </c>
      <c r="J263" s="66">
        <f>IF(23구역!K26="","",23구역!K26)</f>
        <v/>
      </c>
      <c r="K263" s="66">
        <f>IF(23구역!L26="","",23구역!L26)</f>
        <v/>
      </c>
      <c r="L263" s="66">
        <f>IF(23구역!M26="","",23구역!M26)</f>
        <v/>
      </c>
      <c r="M263" s="66">
        <f>IF(23구역!N26="","",23구역!N26)</f>
        <v/>
      </c>
    </row>
    <row r="264" ht="15" customHeight="1" s="33">
      <c r="A264" s="66">
        <f>IF(23구역!B27="","",23구역!B27)</f>
        <v/>
      </c>
      <c r="B264" s="66">
        <f>IF(23구역!C27="","",23구역!C27)</f>
        <v/>
      </c>
      <c r="C264" s="66">
        <f>IF(23구역!D27="","",23구역!D27)</f>
        <v/>
      </c>
      <c r="D264" s="66">
        <f>IF(23구역!E27="","",23구역!E27)</f>
        <v/>
      </c>
      <c r="E264" s="66">
        <f>IF(23구역!F27="","",23구역!F27)</f>
        <v/>
      </c>
      <c r="F264" s="66">
        <f>IF(23구역!G27="","",23구역!G27)</f>
        <v/>
      </c>
      <c r="G264" s="66">
        <f>IF(23구역!H27="","",23구역!H27)</f>
        <v/>
      </c>
      <c r="H264" s="66">
        <f>IF(23구역!I27="","",23구역!I27)</f>
        <v/>
      </c>
      <c r="I264" s="66">
        <f>IF(23구역!J27="","",23구역!J27)</f>
        <v/>
      </c>
      <c r="J264" s="66">
        <f>IF(23구역!K27="","",23구역!K27)</f>
        <v/>
      </c>
      <c r="K264" s="66">
        <f>IF(23구역!L27="","",23구역!L27)</f>
        <v/>
      </c>
      <c r="L264" s="66">
        <f>IF(23구역!M27="","",23구역!M27)</f>
        <v/>
      </c>
      <c r="M264" s="66">
        <f>IF(23구역!N27="","",23구역!N27)</f>
        <v/>
      </c>
    </row>
    <row r="265" ht="15" customHeight="1" s="33">
      <c r="A265" s="66">
        <f>IF(23구역!B28="","",23구역!B28)</f>
        <v/>
      </c>
      <c r="B265" s="66">
        <f>IF(23구역!C28="","",23구역!C28)</f>
        <v/>
      </c>
      <c r="C265" s="66">
        <f>IF(23구역!D28="","",23구역!D28)</f>
        <v/>
      </c>
      <c r="D265" s="66">
        <f>IF(23구역!E28="","",23구역!E28)</f>
        <v/>
      </c>
      <c r="E265" s="66">
        <f>IF(23구역!F28="","",23구역!F28)</f>
        <v/>
      </c>
      <c r="F265" s="66">
        <f>IF(23구역!G28="","",23구역!G28)</f>
        <v/>
      </c>
      <c r="G265" s="66">
        <f>IF(23구역!H28="","",23구역!H28)</f>
        <v/>
      </c>
      <c r="H265" s="66">
        <f>IF(23구역!I28="","",23구역!I28)</f>
        <v/>
      </c>
      <c r="I265" s="66">
        <f>IF(23구역!J28="","",23구역!J28)</f>
        <v/>
      </c>
      <c r="J265" s="66">
        <f>IF(23구역!K28="","",23구역!K28)</f>
        <v/>
      </c>
      <c r="K265" s="66">
        <f>IF(23구역!L28="","",23구역!L28)</f>
        <v/>
      </c>
      <c r="L265" s="66">
        <f>IF(23구역!M28="","",23구역!M28)</f>
        <v/>
      </c>
      <c r="M265" s="66">
        <f>IF(23구역!N28="","",23구역!N28)</f>
        <v/>
      </c>
    </row>
    <row r="266" ht="15" customHeight="1" s="33">
      <c r="A266" s="66">
        <f>IF(23구역!B29="","",23구역!B29)</f>
        <v/>
      </c>
      <c r="B266" s="66">
        <f>IF(23구역!C29="","",23구역!C29)</f>
        <v/>
      </c>
      <c r="C266" s="66">
        <f>IF(23구역!D29="","",23구역!D29)</f>
        <v/>
      </c>
      <c r="D266" s="66">
        <f>IF(23구역!E29="","",23구역!E29)</f>
        <v/>
      </c>
      <c r="E266" s="66">
        <f>IF(23구역!F29="","",23구역!F29)</f>
        <v/>
      </c>
      <c r="F266" s="66">
        <f>IF(23구역!G29="","",23구역!G29)</f>
        <v/>
      </c>
      <c r="G266" s="66">
        <f>IF(23구역!H29="","",23구역!H29)</f>
        <v/>
      </c>
      <c r="H266" s="66">
        <f>IF(23구역!I29="","",23구역!I29)</f>
        <v/>
      </c>
      <c r="I266" s="66">
        <f>IF(23구역!J29="","",23구역!J29)</f>
        <v/>
      </c>
      <c r="J266" s="66">
        <f>IF(23구역!K29="","",23구역!K29)</f>
        <v/>
      </c>
      <c r="K266" s="66">
        <f>IF(23구역!L29="","",23구역!L29)</f>
        <v/>
      </c>
      <c r="L266" s="66">
        <f>IF(23구역!M29="","",23구역!M29)</f>
        <v/>
      </c>
      <c r="M266" s="66">
        <f>IF(23구역!N29="","",23구역!N29)</f>
        <v/>
      </c>
    </row>
    <row r="267" ht="15" customHeight="1" s="33">
      <c r="A267" s="66">
        <f>IF(23구역!B30="","",23구역!B30)</f>
        <v/>
      </c>
      <c r="B267" s="66">
        <f>IF(23구역!C30="","",23구역!C30)</f>
        <v/>
      </c>
      <c r="C267" s="66">
        <f>IF(23구역!D30="","",23구역!D30)</f>
        <v/>
      </c>
      <c r="D267" s="66">
        <f>IF(23구역!E30="","",23구역!E30)</f>
        <v/>
      </c>
      <c r="E267" s="66">
        <f>IF(23구역!F30="","",23구역!F30)</f>
        <v/>
      </c>
      <c r="F267" s="66">
        <f>IF(23구역!G30="","",23구역!G30)</f>
        <v/>
      </c>
      <c r="G267" s="66">
        <f>IF(23구역!H30="","",23구역!H30)</f>
        <v/>
      </c>
      <c r="H267" s="66">
        <f>IF(23구역!I30="","",23구역!I30)</f>
        <v/>
      </c>
      <c r="I267" s="66">
        <f>IF(23구역!J30="","",23구역!J30)</f>
        <v/>
      </c>
      <c r="J267" s="66">
        <f>IF(23구역!K30="","",23구역!K30)</f>
        <v/>
      </c>
      <c r="K267" s="66">
        <f>IF(23구역!L30="","",23구역!L30)</f>
        <v/>
      </c>
      <c r="L267" s="66">
        <f>IF(23구역!M30="","",23구역!M30)</f>
        <v/>
      </c>
      <c r="M267" s="66">
        <f>IF(23구역!N30="","",23구역!N30)</f>
        <v/>
      </c>
    </row>
    <row r="268" ht="15" customHeight="1" s="33">
      <c r="A268" s="66">
        <f>IF(23구역!B31="","",23구역!B31)</f>
        <v/>
      </c>
      <c r="B268" s="66">
        <f>IF(23구역!C31="","",23구역!C31)</f>
        <v/>
      </c>
      <c r="C268" s="66">
        <f>IF(23구역!D31="","",23구역!D31)</f>
        <v/>
      </c>
      <c r="D268" s="66">
        <f>IF(23구역!E31="","",23구역!E31)</f>
        <v/>
      </c>
      <c r="E268" s="66">
        <f>IF(23구역!F31="","",23구역!F31)</f>
        <v/>
      </c>
      <c r="F268" s="66">
        <f>IF(23구역!G31="","",23구역!G31)</f>
        <v/>
      </c>
      <c r="G268" s="66">
        <f>IF(23구역!H31="","",23구역!H31)</f>
        <v/>
      </c>
      <c r="H268" s="66">
        <f>IF(23구역!I31="","",23구역!I31)</f>
        <v/>
      </c>
      <c r="I268" s="66">
        <f>IF(23구역!J31="","",23구역!J31)</f>
        <v/>
      </c>
      <c r="J268" s="66">
        <f>IF(23구역!K31="","",23구역!K31)</f>
        <v/>
      </c>
      <c r="K268" s="66">
        <f>IF(23구역!L31="","",23구역!L31)</f>
        <v/>
      </c>
      <c r="L268" s="66">
        <f>IF(23구역!M31="","",23구역!M31)</f>
        <v/>
      </c>
      <c r="M268" s="66">
        <f>IF(23구역!N31="","",23구역!N31)</f>
        <v/>
      </c>
    </row>
    <row r="269" ht="15" customHeight="1" s="33">
      <c r="A269" s="66">
        <f>IF(23구역!B32="","",23구역!B32)</f>
        <v/>
      </c>
      <c r="B269" s="66">
        <f>IF(23구역!C32="","",23구역!C32)</f>
        <v/>
      </c>
      <c r="C269" s="66">
        <f>IF(23구역!D32="","",23구역!D32)</f>
        <v/>
      </c>
      <c r="D269" s="66">
        <f>IF(23구역!E32="","",23구역!E32)</f>
        <v/>
      </c>
      <c r="E269" s="66">
        <f>IF(23구역!F32="","",23구역!F32)</f>
        <v/>
      </c>
      <c r="F269" s="66">
        <f>IF(23구역!G32="","",23구역!G32)</f>
        <v/>
      </c>
      <c r="G269" s="66">
        <f>IF(23구역!H32="","",23구역!H32)</f>
        <v/>
      </c>
      <c r="H269" s="66">
        <f>IF(23구역!I32="","",23구역!I32)</f>
        <v/>
      </c>
      <c r="I269" s="66">
        <f>IF(23구역!J32="","",23구역!J32)</f>
        <v/>
      </c>
      <c r="J269" s="66">
        <f>IF(23구역!K32="","",23구역!K32)</f>
        <v/>
      </c>
      <c r="K269" s="66">
        <f>IF(23구역!L32="","",23구역!L32)</f>
        <v/>
      </c>
      <c r="L269" s="66">
        <f>IF(23구역!M32="","",23구역!M32)</f>
        <v/>
      </c>
      <c r="M269" s="66">
        <f>IF(23구역!N32="","",23구역!N32)</f>
        <v/>
      </c>
    </row>
    <row r="270" ht="15" customHeight="1" s="33">
      <c r="A270" s="66">
        <f>IF(23구역!B33="","",23구역!B33)</f>
        <v/>
      </c>
      <c r="B270" s="66">
        <f>IF(23구역!C33="","",23구역!C33)</f>
        <v/>
      </c>
      <c r="C270" s="66">
        <f>IF(23구역!D33="","",23구역!D33)</f>
        <v/>
      </c>
      <c r="D270" s="66">
        <f>IF(23구역!E33="","",23구역!E33)</f>
        <v/>
      </c>
      <c r="E270" s="66">
        <f>IF(23구역!F33="","",23구역!F33)</f>
        <v/>
      </c>
      <c r="F270" s="66">
        <f>IF(23구역!G33="","",23구역!G33)</f>
        <v/>
      </c>
      <c r="G270" s="66">
        <f>IF(23구역!H33="","",23구역!H33)</f>
        <v/>
      </c>
      <c r="H270" s="66">
        <f>IF(23구역!I33="","",23구역!I33)</f>
        <v/>
      </c>
      <c r="I270" s="66">
        <f>IF(23구역!J33="","",23구역!J33)</f>
        <v/>
      </c>
      <c r="J270" s="66">
        <f>IF(23구역!K33="","",23구역!K33)</f>
        <v/>
      </c>
      <c r="K270" s="66">
        <f>IF(23구역!L33="","",23구역!L33)</f>
        <v/>
      </c>
      <c r="L270" s="66">
        <f>IF(23구역!M33="","",23구역!M33)</f>
        <v/>
      </c>
      <c r="M270" s="66">
        <f>IF(23구역!N33="","",23구역!N33)</f>
        <v/>
      </c>
    </row>
    <row r="271" ht="15" customHeight="1" s="33">
      <c r="A271" s="66">
        <f>IF(23구역!B34="","",23구역!B34)</f>
        <v/>
      </c>
      <c r="B271" s="66">
        <f>IF(23구역!C34="","",23구역!C34)</f>
        <v/>
      </c>
      <c r="C271" s="66">
        <f>IF(23구역!D34="","",23구역!D34)</f>
        <v/>
      </c>
      <c r="D271" s="66">
        <f>IF(23구역!E34="","",23구역!E34)</f>
        <v/>
      </c>
      <c r="E271" s="66">
        <f>IF(23구역!F34="","",23구역!F34)</f>
        <v/>
      </c>
      <c r="F271" s="66">
        <f>IF(23구역!G34="","",23구역!G34)</f>
        <v/>
      </c>
      <c r="G271" s="66">
        <f>IF(23구역!H34="","",23구역!H34)</f>
        <v/>
      </c>
      <c r="H271" s="66">
        <f>IF(23구역!I34="","",23구역!I34)</f>
        <v/>
      </c>
      <c r="I271" s="66">
        <f>IF(23구역!J34="","",23구역!J34)</f>
        <v/>
      </c>
      <c r="J271" s="66">
        <f>IF(23구역!K34="","",23구역!K34)</f>
        <v/>
      </c>
      <c r="K271" s="66">
        <f>IF(23구역!L34="","",23구역!L34)</f>
        <v/>
      </c>
      <c r="L271" s="66">
        <f>IF(23구역!M34="","",23구역!M34)</f>
        <v/>
      </c>
      <c r="M271" s="66">
        <f>IF(23구역!N34="","",23구역!N34)</f>
        <v/>
      </c>
    </row>
    <row r="272" ht="15" customHeight="1" s="33">
      <c r="A272" s="66">
        <f>IF(23구역!B35="","",23구역!B35)</f>
        <v/>
      </c>
      <c r="B272" s="66">
        <f>IF(23구역!C35="","",23구역!C35)</f>
        <v/>
      </c>
      <c r="C272" s="66">
        <f>IF(23구역!D35="","",23구역!D35)</f>
        <v/>
      </c>
      <c r="D272" s="66">
        <f>IF(23구역!E35="","",23구역!E35)</f>
        <v/>
      </c>
      <c r="E272" s="66">
        <f>IF(23구역!F35="","",23구역!F35)</f>
        <v/>
      </c>
      <c r="F272" s="66">
        <f>IF(23구역!G35="","",23구역!G35)</f>
        <v/>
      </c>
      <c r="G272" s="66">
        <f>IF(23구역!H35="","",23구역!H35)</f>
        <v/>
      </c>
      <c r="H272" s="66">
        <f>IF(23구역!I35="","",23구역!I35)</f>
        <v/>
      </c>
      <c r="I272" s="66">
        <f>IF(23구역!J35="","",23구역!J35)</f>
        <v/>
      </c>
      <c r="J272" s="66">
        <f>IF(23구역!K35="","",23구역!K35)</f>
        <v/>
      </c>
      <c r="K272" s="66">
        <f>IF(23구역!L35="","",23구역!L35)</f>
        <v/>
      </c>
      <c r="L272" s="66">
        <f>IF(23구역!M35="","",23구역!M35)</f>
        <v/>
      </c>
      <c r="M272" s="66">
        <f>IF(23구역!N35="","",23구역!N35)</f>
        <v/>
      </c>
    </row>
    <row r="273" ht="15" customHeight="1" s="33">
      <c r="A273" s="66">
        <f>IF(23구역!B36="","",23구역!B36)</f>
        <v/>
      </c>
      <c r="B273" s="66">
        <f>IF(23구역!C36="","",23구역!C36)</f>
        <v/>
      </c>
      <c r="C273" s="66">
        <f>IF(23구역!D36="","",23구역!D36)</f>
        <v/>
      </c>
      <c r="D273" s="66">
        <f>IF(23구역!E36="","",23구역!E36)</f>
        <v/>
      </c>
      <c r="E273" s="66">
        <f>IF(23구역!F36="","",23구역!F36)</f>
        <v/>
      </c>
      <c r="F273" s="66">
        <f>IF(23구역!G36="","",23구역!G36)</f>
        <v/>
      </c>
      <c r="G273" s="66">
        <f>IF(23구역!H36="","",23구역!H36)</f>
        <v/>
      </c>
      <c r="H273" s="66">
        <f>IF(23구역!I36="","",23구역!I36)</f>
        <v/>
      </c>
      <c r="I273" s="66">
        <f>IF(23구역!J36="","",23구역!J36)</f>
        <v/>
      </c>
      <c r="J273" s="66">
        <f>IF(23구역!K36="","",23구역!K36)</f>
        <v/>
      </c>
      <c r="K273" s="66">
        <f>IF(23구역!L36="","",23구역!L36)</f>
        <v/>
      </c>
      <c r="L273" s="66">
        <f>IF(23구역!M36="","",23구역!M36)</f>
        <v/>
      </c>
      <c r="M273" s="66">
        <f>IF(23구역!N36="","",23구역!N36)</f>
        <v/>
      </c>
    </row>
    <row r="274" ht="15" customHeight="1" s="33">
      <c r="A274" s="66">
        <f>IF(23구역!B37="","",23구역!B37)</f>
        <v/>
      </c>
      <c r="B274" s="66">
        <f>IF(23구역!C37="","",23구역!C37)</f>
        <v/>
      </c>
      <c r="C274" s="66">
        <f>IF(23구역!D37="","",23구역!D37)</f>
        <v/>
      </c>
      <c r="D274" s="66">
        <f>IF(23구역!E37="","",23구역!E37)</f>
        <v/>
      </c>
      <c r="E274" s="66">
        <f>IF(23구역!F37="","",23구역!F37)</f>
        <v/>
      </c>
      <c r="F274" s="66">
        <f>IF(23구역!G37="","",23구역!G37)</f>
        <v/>
      </c>
      <c r="G274" s="66">
        <f>IF(23구역!H37="","",23구역!H37)</f>
        <v/>
      </c>
      <c r="H274" s="66">
        <f>IF(23구역!I37="","",23구역!I37)</f>
        <v/>
      </c>
      <c r="I274" s="66">
        <f>IF(23구역!J37="","",23구역!J37)</f>
        <v/>
      </c>
      <c r="J274" s="66">
        <f>IF(23구역!K37="","",23구역!K37)</f>
        <v/>
      </c>
      <c r="K274" s="66">
        <f>IF(23구역!L37="","",23구역!L37)</f>
        <v/>
      </c>
      <c r="L274" s="66">
        <f>IF(23구역!M37="","",23구역!M37)</f>
        <v/>
      </c>
      <c r="M274" s="66">
        <f>IF(23구역!N37="","",23구역!N37)</f>
        <v/>
      </c>
    </row>
    <row r="275" ht="15" customHeight="1" s="33">
      <c r="A275" s="66">
        <f>IF(23구역!B38="","",23구역!B38)</f>
        <v/>
      </c>
      <c r="B275" s="66">
        <f>IF(23구역!C38="","",23구역!C38)</f>
        <v/>
      </c>
      <c r="C275" s="66">
        <f>IF(23구역!D38="","",23구역!D38)</f>
        <v/>
      </c>
      <c r="D275" s="66">
        <f>IF(23구역!E38="","",23구역!E38)</f>
        <v/>
      </c>
      <c r="E275" s="66">
        <f>IF(23구역!F38="","",23구역!F38)</f>
        <v/>
      </c>
      <c r="F275" s="66">
        <f>IF(23구역!G38="","",23구역!G38)</f>
        <v/>
      </c>
      <c r="G275" s="66">
        <f>IF(23구역!H38="","",23구역!H38)</f>
        <v/>
      </c>
      <c r="H275" s="66">
        <f>IF(23구역!I38="","",23구역!I38)</f>
        <v/>
      </c>
      <c r="I275" s="66">
        <f>IF(23구역!J38="","",23구역!J38)</f>
        <v/>
      </c>
      <c r="J275" s="66">
        <f>IF(23구역!K38="","",23구역!K38)</f>
        <v/>
      </c>
      <c r="K275" s="66">
        <f>IF(23구역!L38="","",23구역!L38)</f>
        <v/>
      </c>
      <c r="L275" s="66">
        <f>IF(23구역!M38="","",23구역!M38)</f>
        <v/>
      </c>
      <c r="M275" s="66">
        <f>IF(23구역!N38="","",23구역!N38)</f>
        <v/>
      </c>
    </row>
    <row r="276" ht="15" customHeight="1" s="33">
      <c r="A276" s="66">
        <f>IF(23구역!B39="","",23구역!B39)</f>
        <v/>
      </c>
      <c r="B276" s="66">
        <f>IF(23구역!C39="","",23구역!C39)</f>
        <v/>
      </c>
      <c r="C276" s="66">
        <f>IF(23구역!D39="","",23구역!D39)</f>
        <v/>
      </c>
      <c r="D276" s="66">
        <f>IF(23구역!E39="","",23구역!E39)</f>
        <v/>
      </c>
      <c r="E276" s="66">
        <f>IF(23구역!F39="","",23구역!F39)</f>
        <v/>
      </c>
      <c r="F276" s="66">
        <f>IF(23구역!G39="","",23구역!G39)</f>
        <v/>
      </c>
      <c r="G276" s="66">
        <f>IF(23구역!H39="","",23구역!H39)</f>
        <v/>
      </c>
      <c r="H276" s="66">
        <f>IF(23구역!I39="","",23구역!I39)</f>
        <v/>
      </c>
      <c r="I276" s="66">
        <f>IF(23구역!J39="","",23구역!J39)</f>
        <v/>
      </c>
      <c r="J276" s="66">
        <f>IF(23구역!K39="","",23구역!K39)</f>
        <v/>
      </c>
      <c r="K276" s="66">
        <f>IF(23구역!L39="","",23구역!L39)</f>
        <v/>
      </c>
      <c r="L276" s="66">
        <f>IF(23구역!M39="","",23구역!M39)</f>
        <v/>
      </c>
      <c r="M276" s="66">
        <f>IF(23구역!N39="","",23구역!N39)</f>
        <v/>
      </c>
    </row>
    <row r="277" ht="15" customHeight="1" s="33">
      <c r="A277" s="66">
        <f>IF(23구역!B40="","",23구역!B40)</f>
        <v/>
      </c>
      <c r="B277" s="66">
        <f>IF(23구역!C40="","",23구역!C40)</f>
        <v/>
      </c>
      <c r="C277" s="66">
        <f>IF(23구역!D40="","",23구역!D40)</f>
        <v/>
      </c>
      <c r="D277" s="66">
        <f>IF(23구역!E40="","",23구역!E40)</f>
        <v/>
      </c>
      <c r="E277" s="66">
        <f>IF(23구역!F40="","",23구역!F40)</f>
        <v/>
      </c>
      <c r="F277" s="66">
        <f>IF(23구역!G40="","",23구역!G40)</f>
        <v/>
      </c>
      <c r="G277" s="66">
        <f>IF(23구역!H40="","",23구역!H40)</f>
        <v/>
      </c>
      <c r="H277" s="66">
        <f>IF(23구역!I40="","",23구역!I40)</f>
        <v/>
      </c>
      <c r="I277" s="66">
        <f>IF(23구역!J40="","",23구역!J40)</f>
        <v/>
      </c>
      <c r="J277" s="66">
        <f>IF(23구역!K40="","",23구역!K40)</f>
        <v/>
      </c>
      <c r="K277" s="66">
        <f>IF(23구역!L40="","",23구역!L40)</f>
        <v/>
      </c>
      <c r="L277" s="66">
        <f>IF(23구역!M40="","",23구역!M40)</f>
        <v/>
      </c>
      <c r="M277" s="66">
        <f>IF(23구역!N40="","",23구역!N40)</f>
        <v/>
      </c>
    </row>
    <row r="278" ht="15" customHeight="1" s="33">
      <c r="A278" s="66">
        <f>IF(23구역!B41="","",23구역!B41)</f>
        <v/>
      </c>
      <c r="B278" s="66">
        <f>IF(23구역!C41="","",23구역!C41)</f>
        <v/>
      </c>
      <c r="C278" s="66">
        <f>IF(23구역!D41="","",23구역!D41)</f>
        <v/>
      </c>
      <c r="D278" s="66">
        <f>IF(23구역!E41="","",23구역!E41)</f>
        <v/>
      </c>
      <c r="E278" s="66">
        <f>IF(23구역!F41="","",23구역!F41)</f>
        <v/>
      </c>
      <c r="F278" s="66">
        <f>IF(23구역!G41="","",23구역!G41)</f>
        <v/>
      </c>
      <c r="G278" s="66">
        <f>IF(23구역!H41="","",23구역!H41)</f>
        <v/>
      </c>
      <c r="H278" s="66">
        <f>IF(23구역!I41="","",23구역!I41)</f>
        <v/>
      </c>
      <c r="I278" s="66">
        <f>IF(23구역!J41="","",23구역!J41)</f>
        <v/>
      </c>
      <c r="J278" s="66">
        <f>IF(23구역!K41="","",23구역!K41)</f>
        <v/>
      </c>
      <c r="K278" s="66">
        <f>IF(23구역!L41="","",23구역!L41)</f>
        <v/>
      </c>
      <c r="L278" s="66">
        <f>IF(23구역!M41="","",23구역!M41)</f>
        <v/>
      </c>
      <c r="M278" s="66">
        <f>IF(23구역!N41="","",23구역!N41)</f>
        <v/>
      </c>
    </row>
    <row r="279" ht="15" customHeight="1" s="33">
      <c r="A279" s="66">
        <f>IF(23구역!B42="","",23구역!B42)</f>
        <v/>
      </c>
      <c r="B279" s="66">
        <f>IF(23구역!C42="","",23구역!C42)</f>
        <v/>
      </c>
      <c r="C279" s="66">
        <f>IF(23구역!D42="","",23구역!D42)</f>
        <v/>
      </c>
      <c r="D279" s="66">
        <f>IF(23구역!E42="","",23구역!E42)</f>
        <v/>
      </c>
      <c r="E279" s="66">
        <f>IF(23구역!F42="","",23구역!F42)</f>
        <v/>
      </c>
      <c r="F279" s="66">
        <f>IF(23구역!G42="","",23구역!G42)</f>
        <v/>
      </c>
      <c r="G279" s="66">
        <f>IF(23구역!H42="","",23구역!H42)</f>
        <v/>
      </c>
      <c r="H279" s="66">
        <f>IF(23구역!I42="","",23구역!I42)</f>
        <v/>
      </c>
      <c r="I279" s="66">
        <f>IF(23구역!J42="","",23구역!J42)</f>
        <v/>
      </c>
      <c r="J279" s="66">
        <f>IF(23구역!K42="","",23구역!K42)</f>
        <v/>
      </c>
      <c r="K279" s="66">
        <f>IF(23구역!L42="","",23구역!L42)</f>
        <v/>
      </c>
      <c r="L279" s="66">
        <f>IF(23구역!M42="","",23구역!M42)</f>
        <v/>
      </c>
      <c r="M279" s="66">
        <f>IF(23구역!N42="","",23구역!N42)</f>
        <v/>
      </c>
    </row>
    <row r="280" ht="15" customHeight="1" s="33">
      <c r="A280" s="66">
        <f>IF(23구역!B43="","",23구역!B43)</f>
        <v/>
      </c>
      <c r="B280" s="66">
        <f>IF(23구역!C43="","",23구역!C43)</f>
        <v/>
      </c>
      <c r="C280" s="66">
        <f>IF(23구역!D43="","",23구역!D43)</f>
        <v/>
      </c>
      <c r="D280" s="66">
        <f>IF(23구역!E43="","",23구역!E43)</f>
        <v/>
      </c>
      <c r="E280" s="66">
        <f>IF(23구역!F43="","",23구역!F43)</f>
        <v/>
      </c>
      <c r="F280" s="66">
        <f>IF(23구역!G43="","",23구역!G43)</f>
        <v/>
      </c>
      <c r="G280" s="66">
        <f>IF(23구역!H43="","",23구역!H43)</f>
        <v/>
      </c>
      <c r="H280" s="66">
        <f>IF(23구역!I43="","",23구역!I43)</f>
        <v/>
      </c>
      <c r="I280" s="66">
        <f>IF(23구역!J43="","",23구역!J43)</f>
        <v/>
      </c>
      <c r="J280" s="66">
        <f>IF(23구역!K43="","",23구역!K43)</f>
        <v/>
      </c>
      <c r="K280" s="66">
        <f>IF(23구역!L43="","",23구역!L43)</f>
        <v/>
      </c>
      <c r="L280" s="66">
        <f>IF(23구역!M43="","",23구역!M43)</f>
        <v/>
      </c>
      <c r="M280" s="66">
        <f>IF(23구역!N43="","",23구역!N43)</f>
        <v/>
      </c>
    </row>
    <row r="281" ht="15" customHeight="1" s="33">
      <c r="A281" s="66">
        <f>IF(24구역!B4="","",24구역!B4)</f>
        <v/>
      </c>
      <c r="B281" s="66">
        <f>IF(24구역!C4="","",24구역!C4)</f>
        <v/>
      </c>
      <c r="C281" s="66">
        <f>IF(24구역!D4="","",24구역!D4)</f>
        <v/>
      </c>
      <c r="D281" s="66">
        <f>IF(24구역!E4="","",24구역!E4)</f>
        <v/>
      </c>
      <c r="E281" s="66">
        <f>IF(24구역!F4="","",24구역!F4)</f>
        <v/>
      </c>
      <c r="F281" s="66">
        <f>IF(24구역!G4="","",24구역!G4)</f>
        <v/>
      </c>
      <c r="G281" s="66">
        <f>IF(24구역!H4="","",24구역!H4)</f>
        <v/>
      </c>
      <c r="H281" s="66">
        <f>IF(24구역!I4="","",24구역!I4)</f>
        <v/>
      </c>
      <c r="I281" s="66">
        <f>IF(24구역!J4="","",24구역!J4)</f>
        <v/>
      </c>
      <c r="J281" s="66">
        <f>IF(24구역!K4="","",24구역!K4)</f>
        <v/>
      </c>
      <c r="K281" s="66">
        <f>IF(24구역!L4="","",24구역!L4)</f>
        <v/>
      </c>
      <c r="L281" s="66">
        <f>IF(24구역!M4="","",24구역!M4)</f>
        <v/>
      </c>
      <c r="M281" s="66">
        <f>IF(24구역!N4="","",24구역!N4)</f>
        <v/>
      </c>
    </row>
    <row r="282" ht="15" customHeight="1" s="33">
      <c r="A282" s="66">
        <f>IF(24구역!B5="","",24구역!B5)</f>
        <v/>
      </c>
      <c r="B282" s="66">
        <f>IF(24구역!C5="","",24구역!C5)</f>
        <v/>
      </c>
      <c r="C282" s="66">
        <f>IF(24구역!D5="","",24구역!D5)</f>
        <v/>
      </c>
      <c r="D282" s="66">
        <f>IF(24구역!E5="","",24구역!E5)</f>
        <v/>
      </c>
      <c r="E282" s="66">
        <f>IF(24구역!F5="","",24구역!F5)</f>
        <v/>
      </c>
      <c r="F282" s="66">
        <f>IF(24구역!G5="","",24구역!G5)</f>
        <v/>
      </c>
      <c r="G282" s="66">
        <f>IF(24구역!H5="","",24구역!H5)</f>
        <v/>
      </c>
      <c r="H282" s="66">
        <f>IF(24구역!I5="","",24구역!I5)</f>
        <v/>
      </c>
      <c r="I282" s="66">
        <f>IF(24구역!J5="","",24구역!J5)</f>
        <v/>
      </c>
      <c r="J282" s="66">
        <f>IF(24구역!K5="","",24구역!K5)</f>
        <v/>
      </c>
      <c r="K282" s="66">
        <f>IF(24구역!L5="","",24구역!L5)</f>
        <v/>
      </c>
      <c r="L282" s="66">
        <f>IF(24구역!M5="","",24구역!M5)</f>
        <v/>
      </c>
      <c r="M282" s="66">
        <f>IF(24구역!N5="","",24구역!N5)</f>
        <v/>
      </c>
    </row>
    <row r="283" ht="15" customHeight="1" s="33">
      <c r="A283" s="66">
        <f>IF(24구역!B6="","",24구역!B6)</f>
        <v/>
      </c>
      <c r="B283" s="66">
        <f>IF(24구역!C6="","",24구역!C6)</f>
        <v/>
      </c>
      <c r="C283" s="66">
        <f>IF(24구역!D6="","",24구역!D6)</f>
        <v/>
      </c>
      <c r="D283" s="66">
        <f>IF(24구역!E6="","",24구역!E6)</f>
        <v/>
      </c>
      <c r="E283" s="66">
        <f>IF(24구역!F6="","",24구역!F6)</f>
        <v/>
      </c>
      <c r="F283" s="66">
        <f>IF(24구역!G6="","",24구역!G6)</f>
        <v/>
      </c>
      <c r="G283" s="66">
        <f>IF(24구역!H6="","",24구역!H6)</f>
        <v/>
      </c>
      <c r="H283" s="66">
        <f>IF(24구역!I6="","",24구역!I6)</f>
        <v/>
      </c>
      <c r="I283" s="66">
        <f>IF(24구역!J6="","",24구역!J6)</f>
        <v/>
      </c>
      <c r="J283" s="66">
        <f>IF(24구역!K6="","",24구역!K6)</f>
        <v/>
      </c>
      <c r="K283" s="66">
        <f>IF(24구역!L6="","",24구역!L6)</f>
        <v/>
      </c>
      <c r="L283" s="66">
        <f>IF(24구역!M6="","",24구역!M6)</f>
        <v/>
      </c>
      <c r="M283" s="66">
        <f>IF(24구역!N6="","",24구역!N6)</f>
        <v/>
      </c>
    </row>
    <row r="284" ht="15" customHeight="1" s="33">
      <c r="A284" s="66">
        <f>IF(24구역!B7="","",24구역!B7)</f>
        <v/>
      </c>
      <c r="B284" s="66">
        <f>IF(24구역!C7="","",24구역!C7)</f>
        <v/>
      </c>
      <c r="C284" s="66">
        <f>IF(24구역!D7="","",24구역!D7)</f>
        <v/>
      </c>
      <c r="D284" s="66">
        <f>IF(24구역!E7="","",24구역!E7)</f>
        <v/>
      </c>
      <c r="E284" s="66">
        <f>IF(24구역!F7="","",24구역!F7)</f>
        <v/>
      </c>
      <c r="F284" s="66">
        <f>IF(24구역!G7="","",24구역!G7)</f>
        <v/>
      </c>
      <c r="G284" s="66">
        <f>IF(24구역!H7="","",24구역!H7)</f>
        <v/>
      </c>
      <c r="H284" s="66">
        <f>IF(24구역!I7="","",24구역!I7)</f>
        <v/>
      </c>
      <c r="I284" s="66">
        <f>IF(24구역!J7="","",24구역!J7)</f>
        <v/>
      </c>
      <c r="J284" s="66">
        <f>IF(24구역!K7="","",24구역!K7)</f>
        <v/>
      </c>
      <c r="K284" s="66">
        <f>IF(24구역!L7="","",24구역!L7)</f>
        <v/>
      </c>
      <c r="L284" s="66">
        <f>IF(24구역!M7="","",24구역!M7)</f>
        <v/>
      </c>
      <c r="M284" s="66">
        <f>IF(24구역!N7="","",24구역!N7)</f>
        <v/>
      </c>
    </row>
    <row r="285" ht="15" customHeight="1" s="33">
      <c r="A285" s="66">
        <f>IF(24구역!B8="","",24구역!B8)</f>
        <v/>
      </c>
      <c r="B285" s="66">
        <f>IF(24구역!C8="","",24구역!C8)</f>
        <v/>
      </c>
      <c r="C285" s="66">
        <f>IF(24구역!D8="","",24구역!D8)</f>
        <v/>
      </c>
      <c r="D285" s="66">
        <f>IF(24구역!E8="","",24구역!E8)</f>
        <v/>
      </c>
      <c r="E285" s="66">
        <f>IF(24구역!F8="","",24구역!F8)</f>
        <v/>
      </c>
      <c r="F285" s="66">
        <f>IF(24구역!G8="","",24구역!G8)</f>
        <v/>
      </c>
      <c r="G285" s="66">
        <f>IF(24구역!H8="","",24구역!H8)</f>
        <v/>
      </c>
      <c r="H285" s="66">
        <f>IF(24구역!I8="","",24구역!I8)</f>
        <v/>
      </c>
      <c r="I285" s="66">
        <f>IF(24구역!J8="","",24구역!J8)</f>
        <v/>
      </c>
      <c r="J285" s="66">
        <f>IF(24구역!K8="","",24구역!K8)</f>
        <v/>
      </c>
      <c r="K285" s="66">
        <f>IF(24구역!L8="","",24구역!L8)</f>
        <v/>
      </c>
      <c r="L285" s="66">
        <f>IF(24구역!M8="","",24구역!M8)</f>
        <v/>
      </c>
      <c r="M285" s="66">
        <f>IF(24구역!N8="","",24구역!N8)</f>
        <v/>
      </c>
    </row>
    <row r="286" ht="15" customHeight="1" s="33">
      <c r="A286" s="66">
        <f>IF(24구역!B9="","",24구역!B9)</f>
        <v/>
      </c>
      <c r="B286" s="66">
        <f>IF(24구역!C9="","",24구역!C9)</f>
        <v/>
      </c>
      <c r="C286" s="66">
        <f>IF(24구역!D9="","",24구역!D9)</f>
        <v/>
      </c>
      <c r="D286" s="66">
        <f>IF(24구역!E9="","",24구역!E9)</f>
        <v/>
      </c>
      <c r="E286" s="66">
        <f>IF(24구역!F9="","",24구역!F9)</f>
        <v/>
      </c>
      <c r="F286" s="66">
        <f>IF(24구역!G9="","",24구역!G9)</f>
        <v/>
      </c>
      <c r="G286" s="66">
        <f>IF(24구역!H9="","",24구역!H9)</f>
        <v/>
      </c>
      <c r="H286" s="66">
        <f>IF(24구역!I9="","",24구역!I9)</f>
        <v/>
      </c>
      <c r="I286" s="66">
        <f>IF(24구역!J9="","",24구역!J9)</f>
        <v/>
      </c>
      <c r="J286" s="66">
        <f>IF(24구역!K9="","",24구역!K9)</f>
        <v/>
      </c>
      <c r="K286" s="66">
        <f>IF(24구역!L9="","",24구역!L9)</f>
        <v/>
      </c>
      <c r="L286" s="66">
        <f>IF(24구역!M9="","",24구역!M9)</f>
        <v/>
      </c>
      <c r="M286" s="66">
        <f>IF(24구역!N9="","",24구역!N9)</f>
        <v/>
      </c>
    </row>
    <row r="287" ht="15" customHeight="1" s="33">
      <c r="A287" s="66">
        <f>IF(24구역!B10="","",24구역!B10)</f>
        <v/>
      </c>
      <c r="B287" s="66">
        <f>IF(24구역!C10="","",24구역!C10)</f>
        <v/>
      </c>
      <c r="C287" s="66">
        <f>IF(24구역!D10="","",24구역!D10)</f>
        <v/>
      </c>
      <c r="D287" s="66">
        <f>IF(24구역!E10="","",24구역!E10)</f>
        <v/>
      </c>
      <c r="E287" s="66">
        <f>IF(24구역!F10="","",24구역!F10)</f>
        <v/>
      </c>
      <c r="F287" s="66">
        <f>IF(24구역!G10="","",24구역!G10)</f>
        <v/>
      </c>
      <c r="G287" s="66">
        <f>IF(24구역!H10="","",24구역!H10)</f>
        <v/>
      </c>
      <c r="H287" s="66">
        <f>IF(24구역!I10="","",24구역!I10)</f>
        <v/>
      </c>
      <c r="I287" s="66">
        <f>IF(24구역!J10="","",24구역!J10)</f>
        <v/>
      </c>
      <c r="J287" s="66">
        <f>IF(24구역!K10="","",24구역!K10)</f>
        <v/>
      </c>
      <c r="K287" s="66">
        <f>IF(24구역!L10="","",24구역!L10)</f>
        <v/>
      </c>
      <c r="L287" s="66">
        <f>IF(24구역!M10="","",24구역!M10)</f>
        <v/>
      </c>
      <c r="M287" s="66">
        <f>IF(24구역!N10="","",24구역!N10)</f>
        <v/>
      </c>
    </row>
    <row r="288" ht="15" customHeight="1" s="33">
      <c r="A288" s="66">
        <f>IF(24구역!B11="","",24구역!B11)</f>
        <v/>
      </c>
      <c r="B288" s="66">
        <f>IF(24구역!C11="","",24구역!C11)</f>
        <v/>
      </c>
      <c r="C288" s="66">
        <f>IF(24구역!D11="","",24구역!D11)</f>
        <v/>
      </c>
      <c r="D288" s="66">
        <f>IF(24구역!E11="","",24구역!E11)</f>
        <v/>
      </c>
      <c r="E288" s="66">
        <f>IF(24구역!F11="","",24구역!F11)</f>
        <v/>
      </c>
      <c r="F288" s="66">
        <f>IF(24구역!G11="","",24구역!G11)</f>
        <v/>
      </c>
      <c r="G288" s="66">
        <f>IF(24구역!H11="","",24구역!H11)</f>
        <v/>
      </c>
      <c r="H288" s="66">
        <f>IF(24구역!I11="","",24구역!I11)</f>
        <v/>
      </c>
      <c r="I288" s="66">
        <f>IF(24구역!J11="","",24구역!J11)</f>
        <v/>
      </c>
      <c r="J288" s="66">
        <f>IF(24구역!K11="","",24구역!K11)</f>
        <v/>
      </c>
      <c r="K288" s="66">
        <f>IF(24구역!L11="","",24구역!L11)</f>
        <v/>
      </c>
      <c r="L288" s="66">
        <f>IF(24구역!M11="","",24구역!M11)</f>
        <v/>
      </c>
      <c r="M288" s="66">
        <f>IF(24구역!N11="","",24구역!N11)</f>
        <v/>
      </c>
    </row>
    <row r="289" ht="15" customHeight="1" s="33">
      <c r="A289" s="66">
        <f>IF(24구역!B12="","",24구역!B12)</f>
        <v/>
      </c>
      <c r="B289" s="66">
        <f>IF(24구역!C12="","",24구역!C12)</f>
        <v/>
      </c>
      <c r="C289" s="66">
        <f>IF(24구역!D12="","",24구역!D12)</f>
        <v/>
      </c>
      <c r="D289" s="66">
        <f>IF(24구역!E12="","",24구역!E12)</f>
        <v/>
      </c>
      <c r="E289" s="66">
        <f>IF(24구역!F12="","",24구역!F12)</f>
        <v/>
      </c>
      <c r="F289" s="66">
        <f>IF(24구역!G12="","",24구역!G12)</f>
        <v/>
      </c>
      <c r="G289" s="66">
        <f>IF(24구역!H12="","",24구역!H12)</f>
        <v/>
      </c>
      <c r="H289" s="66">
        <f>IF(24구역!I12="","",24구역!I12)</f>
        <v/>
      </c>
      <c r="I289" s="66">
        <f>IF(24구역!J12="","",24구역!J12)</f>
        <v/>
      </c>
      <c r="J289" s="66">
        <f>IF(24구역!K12="","",24구역!K12)</f>
        <v/>
      </c>
      <c r="K289" s="66">
        <f>IF(24구역!L12="","",24구역!L12)</f>
        <v/>
      </c>
      <c r="L289" s="66">
        <f>IF(24구역!M12="","",24구역!M12)</f>
        <v/>
      </c>
      <c r="M289" s="66">
        <f>IF(24구역!N12="","",24구역!N12)</f>
        <v/>
      </c>
    </row>
    <row r="290" ht="15" customHeight="1" s="33">
      <c r="A290" s="66">
        <f>IF(24구역!B13="","",24구역!B13)</f>
        <v/>
      </c>
      <c r="B290" s="66">
        <f>IF(24구역!C13="","",24구역!C13)</f>
        <v/>
      </c>
      <c r="C290" s="66">
        <f>IF(24구역!D13="","",24구역!D13)</f>
        <v/>
      </c>
      <c r="D290" s="66">
        <f>IF(24구역!E13="","",24구역!E13)</f>
        <v/>
      </c>
      <c r="E290" s="66">
        <f>IF(24구역!F13="","",24구역!F13)</f>
        <v/>
      </c>
      <c r="F290" s="66">
        <f>IF(24구역!G13="","",24구역!G13)</f>
        <v/>
      </c>
      <c r="G290" s="66">
        <f>IF(24구역!H13="","",24구역!H13)</f>
        <v/>
      </c>
      <c r="H290" s="66">
        <f>IF(24구역!I13="","",24구역!I13)</f>
        <v/>
      </c>
      <c r="I290" s="66">
        <f>IF(24구역!J13="","",24구역!J13)</f>
        <v/>
      </c>
      <c r="J290" s="66">
        <f>IF(24구역!K13="","",24구역!K13)</f>
        <v/>
      </c>
      <c r="K290" s="66">
        <f>IF(24구역!L13="","",24구역!L13)</f>
        <v/>
      </c>
      <c r="L290" s="66">
        <f>IF(24구역!M13="","",24구역!M13)</f>
        <v/>
      </c>
      <c r="M290" s="66">
        <f>IF(24구역!N13="","",24구역!N13)</f>
        <v/>
      </c>
    </row>
    <row r="291" ht="15" customHeight="1" s="33">
      <c r="A291" s="66">
        <f>IF(24구역!B14="","",24구역!B14)</f>
        <v/>
      </c>
      <c r="B291" s="66">
        <f>IF(24구역!C14="","",24구역!C14)</f>
        <v/>
      </c>
      <c r="C291" s="66">
        <f>IF(24구역!D14="","",24구역!D14)</f>
        <v/>
      </c>
      <c r="D291" s="66">
        <f>IF(24구역!E14="","",24구역!E14)</f>
        <v/>
      </c>
      <c r="E291" s="66">
        <f>IF(24구역!F14="","",24구역!F14)</f>
        <v/>
      </c>
      <c r="F291" s="66">
        <f>IF(24구역!G14="","",24구역!G14)</f>
        <v/>
      </c>
      <c r="G291" s="66">
        <f>IF(24구역!H14="","",24구역!H14)</f>
        <v/>
      </c>
      <c r="H291" s="66">
        <f>IF(24구역!I14="","",24구역!I14)</f>
        <v/>
      </c>
      <c r="I291" s="66">
        <f>IF(24구역!J14="","",24구역!J14)</f>
        <v/>
      </c>
      <c r="J291" s="66">
        <f>IF(24구역!K14="","",24구역!K14)</f>
        <v/>
      </c>
      <c r="K291" s="66">
        <f>IF(24구역!L14="","",24구역!L14)</f>
        <v/>
      </c>
      <c r="L291" s="66">
        <f>IF(24구역!M14="","",24구역!M14)</f>
        <v/>
      </c>
      <c r="M291" s="66">
        <f>IF(24구역!N14="","",24구역!N14)</f>
        <v/>
      </c>
    </row>
    <row r="292" ht="15" customHeight="1" s="33">
      <c r="A292" s="66">
        <f>IF(24구역!B15="","",24구역!B15)</f>
        <v/>
      </c>
      <c r="B292" s="66">
        <f>IF(24구역!C15="","",24구역!C15)</f>
        <v/>
      </c>
      <c r="C292" s="66">
        <f>IF(24구역!D15="","",24구역!D15)</f>
        <v/>
      </c>
      <c r="D292" s="66">
        <f>IF(24구역!E15="","",24구역!E15)</f>
        <v/>
      </c>
      <c r="E292" s="66">
        <f>IF(24구역!F15="","",24구역!F15)</f>
        <v/>
      </c>
      <c r="F292" s="66">
        <f>IF(24구역!G15="","",24구역!G15)</f>
        <v/>
      </c>
      <c r="G292" s="66">
        <f>IF(24구역!H15="","",24구역!H15)</f>
        <v/>
      </c>
      <c r="H292" s="66">
        <f>IF(24구역!I15="","",24구역!I15)</f>
        <v/>
      </c>
      <c r="I292" s="66">
        <f>IF(24구역!J15="","",24구역!J15)</f>
        <v/>
      </c>
      <c r="J292" s="66">
        <f>IF(24구역!K15="","",24구역!K15)</f>
        <v/>
      </c>
      <c r="K292" s="66">
        <f>IF(24구역!L15="","",24구역!L15)</f>
        <v/>
      </c>
      <c r="L292" s="66">
        <f>IF(24구역!M15="","",24구역!M15)</f>
        <v/>
      </c>
      <c r="M292" s="66">
        <f>IF(24구역!N15="","",24구역!N15)</f>
        <v/>
      </c>
    </row>
    <row r="293" ht="15" customHeight="1" s="33">
      <c r="A293" s="66">
        <f>IF(24구역!B16="","",24구역!B16)</f>
        <v/>
      </c>
      <c r="B293" s="66">
        <f>IF(24구역!C16="","",24구역!C16)</f>
        <v/>
      </c>
      <c r="C293" s="66">
        <f>IF(24구역!D16="","",24구역!D16)</f>
        <v/>
      </c>
      <c r="D293" s="66">
        <f>IF(24구역!E16="","",24구역!E16)</f>
        <v/>
      </c>
      <c r="E293" s="66">
        <f>IF(24구역!F16="","",24구역!F16)</f>
        <v/>
      </c>
      <c r="F293" s="66">
        <f>IF(24구역!G16="","",24구역!G16)</f>
        <v/>
      </c>
      <c r="G293" s="66">
        <f>IF(24구역!H16="","",24구역!H16)</f>
        <v/>
      </c>
      <c r="H293" s="66">
        <f>IF(24구역!I16="","",24구역!I16)</f>
        <v/>
      </c>
      <c r="I293" s="66">
        <f>IF(24구역!J16="","",24구역!J16)</f>
        <v/>
      </c>
      <c r="J293" s="66">
        <f>IF(24구역!K16="","",24구역!K16)</f>
        <v/>
      </c>
      <c r="K293" s="66">
        <f>IF(24구역!L16="","",24구역!L16)</f>
        <v/>
      </c>
      <c r="L293" s="66">
        <f>IF(24구역!M16="","",24구역!M16)</f>
        <v/>
      </c>
      <c r="M293" s="66">
        <f>IF(24구역!N16="","",24구역!N16)</f>
        <v/>
      </c>
    </row>
    <row r="294" ht="15" customHeight="1" s="33">
      <c r="A294" s="66">
        <f>IF(24구역!B17="","",24구역!B17)</f>
        <v/>
      </c>
      <c r="B294" s="66">
        <f>IF(24구역!C17="","",24구역!C17)</f>
        <v/>
      </c>
      <c r="C294" s="66">
        <f>IF(24구역!D17="","",24구역!D17)</f>
        <v/>
      </c>
      <c r="D294" s="66">
        <f>IF(24구역!E17="","",24구역!E17)</f>
        <v/>
      </c>
      <c r="E294" s="66">
        <f>IF(24구역!F17="","",24구역!F17)</f>
        <v/>
      </c>
      <c r="F294" s="66">
        <f>IF(24구역!G17="","",24구역!G17)</f>
        <v/>
      </c>
      <c r="G294" s="66">
        <f>IF(24구역!H17="","",24구역!H17)</f>
        <v/>
      </c>
      <c r="H294" s="66">
        <f>IF(24구역!I17="","",24구역!I17)</f>
        <v/>
      </c>
      <c r="I294" s="66">
        <f>IF(24구역!J17="","",24구역!J17)</f>
        <v/>
      </c>
      <c r="J294" s="66">
        <f>IF(24구역!K17="","",24구역!K17)</f>
        <v/>
      </c>
      <c r="K294" s="66">
        <f>IF(24구역!L17="","",24구역!L17)</f>
        <v/>
      </c>
      <c r="L294" s="66">
        <f>IF(24구역!M17="","",24구역!M17)</f>
        <v/>
      </c>
      <c r="M294" s="66">
        <f>IF(24구역!N17="","",24구역!N17)</f>
        <v/>
      </c>
    </row>
    <row r="295" ht="15" customHeight="1" s="33">
      <c r="A295" s="66">
        <f>IF(24구역!B18="","",24구역!B18)</f>
        <v/>
      </c>
      <c r="B295" s="66">
        <f>IF(24구역!C18="","",24구역!C18)</f>
        <v/>
      </c>
      <c r="C295" s="66">
        <f>IF(24구역!D18="","",24구역!D18)</f>
        <v/>
      </c>
      <c r="D295" s="66">
        <f>IF(24구역!E18="","",24구역!E18)</f>
        <v/>
      </c>
      <c r="E295" s="66">
        <f>IF(24구역!F18="","",24구역!F18)</f>
        <v/>
      </c>
      <c r="F295" s="66">
        <f>IF(24구역!G18="","",24구역!G18)</f>
        <v/>
      </c>
      <c r="G295" s="66">
        <f>IF(24구역!H18="","",24구역!H18)</f>
        <v/>
      </c>
      <c r="H295" s="66">
        <f>IF(24구역!I18="","",24구역!I18)</f>
        <v/>
      </c>
      <c r="I295" s="66">
        <f>IF(24구역!J18="","",24구역!J18)</f>
        <v/>
      </c>
      <c r="J295" s="66">
        <f>IF(24구역!K18="","",24구역!K18)</f>
        <v/>
      </c>
      <c r="K295" s="66">
        <f>IF(24구역!L18="","",24구역!L18)</f>
        <v/>
      </c>
      <c r="L295" s="66">
        <f>IF(24구역!M18="","",24구역!M18)</f>
        <v/>
      </c>
      <c r="M295" s="66">
        <f>IF(24구역!N18="","",24구역!N18)</f>
        <v/>
      </c>
    </row>
    <row r="296" ht="15" customHeight="1" s="33">
      <c r="A296" s="66">
        <f>IF(24구역!B19="","",24구역!B19)</f>
        <v/>
      </c>
      <c r="B296" s="66">
        <f>IF(24구역!C19="","",24구역!C19)</f>
        <v/>
      </c>
      <c r="C296" s="66">
        <f>IF(24구역!D19="","",24구역!D19)</f>
        <v/>
      </c>
      <c r="D296" s="66">
        <f>IF(24구역!E19="","",24구역!E19)</f>
        <v/>
      </c>
      <c r="E296" s="66">
        <f>IF(24구역!F19="","",24구역!F19)</f>
        <v/>
      </c>
      <c r="F296" s="66">
        <f>IF(24구역!G19="","",24구역!G19)</f>
        <v/>
      </c>
      <c r="G296" s="66">
        <f>IF(24구역!H19="","",24구역!H19)</f>
        <v/>
      </c>
      <c r="H296" s="66">
        <f>IF(24구역!I19="","",24구역!I19)</f>
        <v/>
      </c>
      <c r="I296" s="66">
        <f>IF(24구역!J19="","",24구역!J19)</f>
        <v/>
      </c>
      <c r="J296" s="66">
        <f>IF(24구역!K19="","",24구역!K19)</f>
        <v/>
      </c>
      <c r="K296" s="66">
        <f>IF(24구역!L19="","",24구역!L19)</f>
        <v/>
      </c>
      <c r="L296" s="66">
        <f>IF(24구역!M19="","",24구역!M19)</f>
        <v/>
      </c>
      <c r="M296" s="66">
        <f>IF(24구역!N19="","",24구역!N19)</f>
        <v/>
      </c>
    </row>
    <row r="297" ht="15" customHeight="1" s="33">
      <c r="A297" s="66">
        <f>IF(24구역!B20="","",24구역!B20)</f>
        <v/>
      </c>
      <c r="B297" s="66">
        <f>IF(24구역!C20="","",24구역!C20)</f>
        <v/>
      </c>
      <c r="C297" s="66">
        <f>IF(24구역!D20="","",24구역!D20)</f>
        <v/>
      </c>
      <c r="D297" s="66">
        <f>IF(24구역!E20="","",24구역!E20)</f>
        <v/>
      </c>
      <c r="E297" s="66">
        <f>IF(24구역!F20="","",24구역!F20)</f>
        <v/>
      </c>
      <c r="F297" s="66">
        <f>IF(24구역!G20="","",24구역!G20)</f>
        <v/>
      </c>
      <c r="G297" s="66">
        <f>IF(24구역!H20="","",24구역!H20)</f>
        <v/>
      </c>
      <c r="H297" s="66">
        <f>IF(24구역!I20="","",24구역!I20)</f>
        <v/>
      </c>
      <c r="I297" s="66">
        <f>IF(24구역!J20="","",24구역!J20)</f>
        <v/>
      </c>
      <c r="J297" s="66">
        <f>IF(24구역!K20="","",24구역!K20)</f>
        <v/>
      </c>
      <c r="K297" s="66">
        <f>IF(24구역!L20="","",24구역!L20)</f>
        <v/>
      </c>
      <c r="L297" s="66">
        <f>IF(24구역!M20="","",24구역!M20)</f>
        <v/>
      </c>
      <c r="M297" s="66">
        <f>IF(24구역!N20="","",24구역!N20)</f>
        <v/>
      </c>
    </row>
    <row r="298" ht="15" customHeight="1" s="33">
      <c r="A298" s="66">
        <f>IF(24구역!B21="","",24구역!B21)</f>
        <v/>
      </c>
      <c r="B298" s="66">
        <f>IF(24구역!C21="","",24구역!C21)</f>
        <v/>
      </c>
      <c r="C298" s="66">
        <f>IF(24구역!D21="","",24구역!D21)</f>
        <v/>
      </c>
      <c r="D298" s="66">
        <f>IF(24구역!E21="","",24구역!E21)</f>
        <v/>
      </c>
      <c r="E298" s="66">
        <f>IF(24구역!F21="","",24구역!F21)</f>
        <v/>
      </c>
      <c r="F298" s="66">
        <f>IF(24구역!G21="","",24구역!G21)</f>
        <v/>
      </c>
      <c r="G298" s="66">
        <f>IF(24구역!H21="","",24구역!H21)</f>
        <v/>
      </c>
      <c r="H298" s="66">
        <f>IF(24구역!I21="","",24구역!I21)</f>
        <v/>
      </c>
      <c r="I298" s="66">
        <f>IF(24구역!J21="","",24구역!J21)</f>
        <v/>
      </c>
      <c r="J298" s="66">
        <f>IF(24구역!K21="","",24구역!K21)</f>
        <v/>
      </c>
      <c r="K298" s="66">
        <f>IF(24구역!L21="","",24구역!L21)</f>
        <v/>
      </c>
      <c r="L298" s="66">
        <f>IF(24구역!M21="","",24구역!M21)</f>
        <v/>
      </c>
      <c r="M298" s="66">
        <f>IF(24구역!N21="","",24구역!N21)</f>
        <v/>
      </c>
    </row>
    <row r="299" ht="15" customHeight="1" s="33">
      <c r="A299" s="66">
        <f>IF(24구역!B22="","",24구역!B22)</f>
        <v/>
      </c>
      <c r="B299" s="66">
        <f>IF(24구역!C22="","",24구역!C22)</f>
        <v/>
      </c>
      <c r="C299" s="66">
        <f>IF(24구역!D22="","",24구역!D22)</f>
        <v/>
      </c>
      <c r="D299" s="66">
        <f>IF(24구역!E22="","",24구역!E22)</f>
        <v/>
      </c>
      <c r="E299" s="66">
        <f>IF(24구역!F22="","",24구역!F22)</f>
        <v/>
      </c>
      <c r="F299" s="66">
        <f>IF(24구역!G22="","",24구역!G22)</f>
        <v/>
      </c>
      <c r="G299" s="66">
        <f>IF(24구역!H22="","",24구역!H22)</f>
        <v/>
      </c>
      <c r="H299" s="66">
        <f>IF(24구역!I22="","",24구역!I22)</f>
        <v/>
      </c>
      <c r="I299" s="66">
        <f>IF(24구역!J22="","",24구역!J22)</f>
        <v/>
      </c>
      <c r="J299" s="66">
        <f>IF(24구역!K22="","",24구역!K22)</f>
        <v/>
      </c>
      <c r="K299" s="66">
        <f>IF(24구역!L22="","",24구역!L22)</f>
        <v/>
      </c>
      <c r="L299" s="66">
        <f>IF(24구역!M22="","",24구역!M22)</f>
        <v/>
      </c>
      <c r="M299" s="66">
        <f>IF(24구역!N22="","",24구역!N22)</f>
        <v/>
      </c>
    </row>
    <row r="300" ht="15" customHeight="1" s="33">
      <c r="A300" s="66">
        <f>IF(24구역!B23="","",24구역!B23)</f>
        <v/>
      </c>
      <c r="B300" s="66">
        <f>IF(24구역!C23="","",24구역!C23)</f>
        <v/>
      </c>
      <c r="C300" s="66">
        <f>IF(24구역!D23="","",24구역!D23)</f>
        <v/>
      </c>
      <c r="D300" s="66">
        <f>IF(24구역!E23="","",24구역!E23)</f>
        <v/>
      </c>
      <c r="E300" s="66">
        <f>IF(24구역!F23="","",24구역!F23)</f>
        <v/>
      </c>
      <c r="F300" s="66">
        <f>IF(24구역!G23="","",24구역!G23)</f>
        <v/>
      </c>
      <c r="G300" s="66">
        <f>IF(24구역!H23="","",24구역!H23)</f>
        <v/>
      </c>
      <c r="H300" s="66">
        <f>IF(24구역!I23="","",24구역!I23)</f>
        <v/>
      </c>
      <c r="I300" s="66">
        <f>IF(24구역!J23="","",24구역!J23)</f>
        <v/>
      </c>
      <c r="J300" s="66">
        <f>IF(24구역!K23="","",24구역!K23)</f>
        <v/>
      </c>
      <c r="K300" s="66">
        <f>IF(24구역!L23="","",24구역!L23)</f>
        <v/>
      </c>
      <c r="L300" s="66">
        <f>IF(24구역!M23="","",24구역!M23)</f>
        <v/>
      </c>
      <c r="M300" s="66">
        <f>IF(24구역!N23="","",24구역!N23)</f>
        <v/>
      </c>
    </row>
    <row r="301" ht="15" customHeight="1" s="33">
      <c r="A301" s="66">
        <f>IF(24구역!B24="","",24구역!B24)</f>
        <v/>
      </c>
      <c r="B301" s="66">
        <f>IF(24구역!C24="","",24구역!C24)</f>
        <v/>
      </c>
      <c r="C301" s="66">
        <f>IF(24구역!D24="","",24구역!D24)</f>
        <v/>
      </c>
      <c r="D301" s="66">
        <f>IF(24구역!E24="","",24구역!E24)</f>
        <v/>
      </c>
      <c r="E301" s="66">
        <f>IF(24구역!F24="","",24구역!F24)</f>
        <v/>
      </c>
      <c r="F301" s="66">
        <f>IF(24구역!G24="","",24구역!G24)</f>
        <v/>
      </c>
      <c r="G301" s="66">
        <f>IF(24구역!H24="","",24구역!H24)</f>
        <v/>
      </c>
      <c r="H301" s="66">
        <f>IF(24구역!I24="","",24구역!I24)</f>
        <v/>
      </c>
      <c r="I301" s="66">
        <f>IF(24구역!J24="","",24구역!J24)</f>
        <v/>
      </c>
      <c r="J301" s="66">
        <f>IF(24구역!K24="","",24구역!K24)</f>
        <v/>
      </c>
      <c r="K301" s="66">
        <f>IF(24구역!L24="","",24구역!L24)</f>
        <v/>
      </c>
      <c r="L301" s="66">
        <f>IF(24구역!M24="","",24구역!M24)</f>
        <v/>
      </c>
      <c r="M301" s="66">
        <f>IF(24구역!N24="","",24구역!N24)</f>
        <v/>
      </c>
    </row>
    <row r="302" ht="15" customHeight="1" s="33">
      <c r="A302" s="66">
        <f>IF(24구역!B25="","",24구역!B25)</f>
        <v/>
      </c>
      <c r="B302" s="66">
        <f>IF(24구역!C25="","",24구역!C25)</f>
        <v/>
      </c>
      <c r="C302" s="66">
        <f>IF(24구역!D25="","",24구역!D25)</f>
        <v/>
      </c>
      <c r="D302" s="66">
        <f>IF(24구역!E25="","",24구역!E25)</f>
        <v/>
      </c>
      <c r="E302" s="66">
        <f>IF(24구역!F25="","",24구역!F25)</f>
        <v/>
      </c>
      <c r="F302" s="66">
        <f>IF(24구역!G25="","",24구역!G25)</f>
        <v/>
      </c>
      <c r="G302" s="66">
        <f>IF(24구역!H25="","",24구역!H25)</f>
        <v/>
      </c>
      <c r="H302" s="66">
        <f>IF(24구역!I25="","",24구역!I25)</f>
        <v/>
      </c>
      <c r="I302" s="66">
        <f>IF(24구역!J25="","",24구역!J25)</f>
        <v/>
      </c>
      <c r="J302" s="66">
        <f>IF(24구역!K25="","",24구역!K25)</f>
        <v/>
      </c>
      <c r="K302" s="66">
        <f>IF(24구역!L25="","",24구역!L25)</f>
        <v/>
      </c>
      <c r="L302" s="66">
        <f>IF(24구역!M25="","",24구역!M25)</f>
        <v/>
      </c>
      <c r="M302" s="66">
        <f>IF(24구역!N25="","",24구역!N25)</f>
        <v/>
      </c>
    </row>
    <row r="303" ht="15" customHeight="1" s="33">
      <c r="A303" s="66">
        <f>IF(24구역!B26="","",24구역!B26)</f>
        <v/>
      </c>
      <c r="B303" s="66">
        <f>IF(24구역!C26="","",24구역!C26)</f>
        <v/>
      </c>
      <c r="C303" s="66">
        <f>IF(24구역!D26="","",24구역!D26)</f>
        <v/>
      </c>
      <c r="D303" s="66">
        <f>IF(24구역!E26="","",24구역!E26)</f>
        <v/>
      </c>
      <c r="E303" s="66">
        <f>IF(24구역!F26="","",24구역!F26)</f>
        <v/>
      </c>
      <c r="F303" s="66">
        <f>IF(24구역!G26="","",24구역!G26)</f>
        <v/>
      </c>
      <c r="G303" s="66">
        <f>IF(24구역!H26="","",24구역!H26)</f>
        <v/>
      </c>
      <c r="H303" s="66">
        <f>IF(24구역!I26="","",24구역!I26)</f>
        <v/>
      </c>
      <c r="I303" s="66">
        <f>IF(24구역!J26="","",24구역!J26)</f>
        <v/>
      </c>
      <c r="J303" s="66">
        <f>IF(24구역!K26="","",24구역!K26)</f>
        <v/>
      </c>
      <c r="K303" s="66">
        <f>IF(24구역!L26="","",24구역!L26)</f>
        <v/>
      </c>
      <c r="L303" s="66">
        <f>IF(24구역!M26="","",24구역!M26)</f>
        <v/>
      </c>
      <c r="M303" s="66">
        <f>IF(24구역!N26="","",24구역!N26)</f>
        <v/>
      </c>
    </row>
    <row r="304" ht="15" customHeight="1" s="33">
      <c r="A304" s="66">
        <f>IF(24구역!B27="","",24구역!B27)</f>
        <v/>
      </c>
      <c r="B304" s="66">
        <f>IF(24구역!C27="","",24구역!C27)</f>
        <v/>
      </c>
      <c r="C304" s="66">
        <f>IF(24구역!D27="","",24구역!D27)</f>
        <v/>
      </c>
      <c r="D304" s="66">
        <f>IF(24구역!E27="","",24구역!E27)</f>
        <v/>
      </c>
      <c r="E304" s="66">
        <f>IF(24구역!F27="","",24구역!F27)</f>
        <v/>
      </c>
      <c r="F304" s="66">
        <f>IF(24구역!G27="","",24구역!G27)</f>
        <v/>
      </c>
      <c r="G304" s="66">
        <f>IF(24구역!H27="","",24구역!H27)</f>
        <v/>
      </c>
      <c r="H304" s="66">
        <f>IF(24구역!I27="","",24구역!I27)</f>
        <v/>
      </c>
      <c r="I304" s="66">
        <f>IF(24구역!J27="","",24구역!J27)</f>
        <v/>
      </c>
      <c r="J304" s="66">
        <f>IF(24구역!K27="","",24구역!K27)</f>
        <v/>
      </c>
      <c r="K304" s="66">
        <f>IF(24구역!L27="","",24구역!L27)</f>
        <v/>
      </c>
      <c r="L304" s="66">
        <f>IF(24구역!M27="","",24구역!M27)</f>
        <v/>
      </c>
      <c r="M304" s="66">
        <f>IF(24구역!N27="","",24구역!N27)</f>
        <v/>
      </c>
    </row>
    <row r="305" ht="15" customHeight="1" s="33">
      <c r="A305" s="66">
        <f>IF(24구역!B28="","",24구역!B28)</f>
        <v/>
      </c>
      <c r="B305" s="66">
        <f>IF(24구역!C28="","",24구역!C28)</f>
        <v/>
      </c>
      <c r="C305" s="66">
        <f>IF(24구역!D28="","",24구역!D28)</f>
        <v/>
      </c>
      <c r="D305" s="66">
        <f>IF(24구역!E28="","",24구역!E28)</f>
        <v/>
      </c>
      <c r="E305" s="66">
        <f>IF(24구역!F28="","",24구역!F28)</f>
        <v/>
      </c>
      <c r="F305" s="66">
        <f>IF(24구역!G28="","",24구역!G28)</f>
        <v/>
      </c>
      <c r="G305" s="66">
        <f>IF(24구역!H28="","",24구역!H28)</f>
        <v/>
      </c>
      <c r="H305" s="66">
        <f>IF(24구역!I28="","",24구역!I28)</f>
        <v/>
      </c>
      <c r="I305" s="66">
        <f>IF(24구역!J28="","",24구역!J28)</f>
        <v/>
      </c>
      <c r="J305" s="66">
        <f>IF(24구역!K28="","",24구역!K28)</f>
        <v/>
      </c>
      <c r="K305" s="66">
        <f>IF(24구역!L28="","",24구역!L28)</f>
        <v/>
      </c>
      <c r="L305" s="66">
        <f>IF(24구역!M28="","",24구역!M28)</f>
        <v/>
      </c>
      <c r="M305" s="66">
        <f>IF(24구역!N28="","",24구역!N28)</f>
        <v/>
      </c>
    </row>
    <row r="306" ht="15" customHeight="1" s="33">
      <c r="A306" s="66">
        <f>IF(24구역!B29="","",24구역!B29)</f>
        <v/>
      </c>
      <c r="B306" s="66">
        <f>IF(24구역!C29="","",24구역!C29)</f>
        <v/>
      </c>
      <c r="C306" s="66">
        <f>IF(24구역!D29="","",24구역!D29)</f>
        <v/>
      </c>
      <c r="D306" s="66">
        <f>IF(24구역!E29="","",24구역!E29)</f>
        <v/>
      </c>
      <c r="E306" s="66">
        <f>IF(24구역!F29="","",24구역!F29)</f>
        <v/>
      </c>
      <c r="F306" s="66">
        <f>IF(24구역!G29="","",24구역!G29)</f>
        <v/>
      </c>
      <c r="G306" s="66">
        <f>IF(24구역!H29="","",24구역!H29)</f>
        <v/>
      </c>
      <c r="H306" s="66">
        <f>IF(24구역!I29="","",24구역!I29)</f>
        <v/>
      </c>
      <c r="I306" s="66">
        <f>IF(24구역!J29="","",24구역!J29)</f>
        <v/>
      </c>
      <c r="J306" s="66">
        <f>IF(24구역!K29="","",24구역!K29)</f>
        <v/>
      </c>
      <c r="K306" s="66">
        <f>IF(24구역!L29="","",24구역!L29)</f>
        <v/>
      </c>
      <c r="L306" s="66">
        <f>IF(24구역!M29="","",24구역!M29)</f>
        <v/>
      </c>
      <c r="M306" s="66">
        <f>IF(24구역!N29="","",24구역!N29)</f>
        <v/>
      </c>
    </row>
    <row r="307" ht="15" customHeight="1" s="33">
      <c r="A307" s="66">
        <f>IF(24구역!B30="","",24구역!B30)</f>
        <v/>
      </c>
      <c r="B307" s="66">
        <f>IF(24구역!C30="","",24구역!C30)</f>
        <v/>
      </c>
      <c r="C307" s="66">
        <f>IF(24구역!D30="","",24구역!D30)</f>
        <v/>
      </c>
      <c r="D307" s="66">
        <f>IF(24구역!E30="","",24구역!E30)</f>
        <v/>
      </c>
      <c r="E307" s="66">
        <f>IF(24구역!F30="","",24구역!F30)</f>
        <v/>
      </c>
      <c r="F307" s="66">
        <f>IF(24구역!G30="","",24구역!G30)</f>
        <v/>
      </c>
      <c r="G307" s="66">
        <f>IF(24구역!H30="","",24구역!H30)</f>
        <v/>
      </c>
      <c r="H307" s="66">
        <f>IF(24구역!I30="","",24구역!I30)</f>
        <v/>
      </c>
      <c r="I307" s="66">
        <f>IF(24구역!J30="","",24구역!J30)</f>
        <v/>
      </c>
      <c r="J307" s="66">
        <f>IF(24구역!K30="","",24구역!K30)</f>
        <v/>
      </c>
      <c r="K307" s="66">
        <f>IF(24구역!L30="","",24구역!L30)</f>
        <v/>
      </c>
      <c r="L307" s="66">
        <f>IF(24구역!M30="","",24구역!M30)</f>
        <v/>
      </c>
      <c r="M307" s="66">
        <f>IF(24구역!N30="","",24구역!N30)</f>
        <v/>
      </c>
    </row>
    <row r="308" ht="15" customHeight="1" s="33">
      <c r="A308" s="66">
        <f>IF(24구역!B31="","",24구역!B31)</f>
        <v/>
      </c>
      <c r="B308" s="66">
        <f>IF(24구역!C31="","",24구역!C31)</f>
        <v/>
      </c>
      <c r="C308" s="66">
        <f>IF(24구역!D31="","",24구역!D31)</f>
        <v/>
      </c>
      <c r="D308" s="66">
        <f>IF(24구역!E31="","",24구역!E31)</f>
        <v/>
      </c>
      <c r="E308" s="66">
        <f>IF(24구역!F31="","",24구역!F31)</f>
        <v/>
      </c>
      <c r="F308" s="66">
        <f>IF(24구역!G31="","",24구역!G31)</f>
        <v/>
      </c>
      <c r="G308" s="66">
        <f>IF(24구역!H31="","",24구역!H31)</f>
        <v/>
      </c>
      <c r="H308" s="66">
        <f>IF(24구역!I31="","",24구역!I31)</f>
        <v/>
      </c>
      <c r="I308" s="66">
        <f>IF(24구역!J31="","",24구역!J31)</f>
        <v/>
      </c>
      <c r="J308" s="66">
        <f>IF(24구역!K31="","",24구역!K31)</f>
        <v/>
      </c>
      <c r="K308" s="66">
        <f>IF(24구역!L31="","",24구역!L31)</f>
        <v/>
      </c>
      <c r="L308" s="66">
        <f>IF(24구역!M31="","",24구역!M31)</f>
        <v/>
      </c>
      <c r="M308" s="66">
        <f>IF(24구역!N31="","",24구역!N31)</f>
        <v/>
      </c>
    </row>
    <row r="309" ht="15" customHeight="1" s="33">
      <c r="A309" s="66">
        <f>IF(24구역!B32="","",24구역!B32)</f>
        <v/>
      </c>
      <c r="B309" s="66">
        <f>IF(24구역!C32="","",24구역!C32)</f>
        <v/>
      </c>
      <c r="C309" s="66">
        <f>IF(24구역!D32="","",24구역!D32)</f>
        <v/>
      </c>
      <c r="D309" s="66">
        <f>IF(24구역!E32="","",24구역!E32)</f>
        <v/>
      </c>
      <c r="E309" s="66">
        <f>IF(24구역!F32="","",24구역!F32)</f>
        <v/>
      </c>
      <c r="F309" s="66">
        <f>IF(24구역!G32="","",24구역!G32)</f>
        <v/>
      </c>
      <c r="G309" s="66">
        <f>IF(24구역!H32="","",24구역!H32)</f>
        <v/>
      </c>
      <c r="H309" s="66">
        <f>IF(24구역!I32="","",24구역!I32)</f>
        <v/>
      </c>
      <c r="I309" s="66">
        <f>IF(24구역!J32="","",24구역!J32)</f>
        <v/>
      </c>
      <c r="J309" s="66">
        <f>IF(24구역!K32="","",24구역!K32)</f>
        <v/>
      </c>
      <c r="K309" s="66">
        <f>IF(24구역!L32="","",24구역!L32)</f>
        <v/>
      </c>
      <c r="L309" s="66">
        <f>IF(24구역!M32="","",24구역!M32)</f>
        <v/>
      </c>
      <c r="M309" s="66">
        <f>IF(24구역!N32="","",24구역!N32)</f>
        <v/>
      </c>
    </row>
    <row r="310" ht="15" customHeight="1" s="33">
      <c r="A310" s="66">
        <f>IF(24구역!B33="","",24구역!B33)</f>
        <v/>
      </c>
      <c r="B310" s="66">
        <f>IF(24구역!C33="","",24구역!C33)</f>
        <v/>
      </c>
      <c r="C310" s="66">
        <f>IF(24구역!D33="","",24구역!D33)</f>
        <v/>
      </c>
      <c r="D310" s="66">
        <f>IF(24구역!E33="","",24구역!E33)</f>
        <v/>
      </c>
      <c r="E310" s="66">
        <f>IF(24구역!F33="","",24구역!F33)</f>
        <v/>
      </c>
      <c r="F310" s="66">
        <f>IF(24구역!G33="","",24구역!G33)</f>
        <v/>
      </c>
      <c r="G310" s="66">
        <f>IF(24구역!H33="","",24구역!H33)</f>
        <v/>
      </c>
      <c r="H310" s="66">
        <f>IF(24구역!I33="","",24구역!I33)</f>
        <v/>
      </c>
      <c r="I310" s="66">
        <f>IF(24구역!J33="","",24구역!J33)</f>
        <v/>
      </c>
      <c r="J310" s="66">
        <f>IF(24구역!K33="","",24구역!K33)</f>
        <v/>
      </c>
      <c r="K310" s="66">
        <f>IF(24구역!L33="","",24구역!L33)</f>
        <v/>
      </c>
      <c r="L310" s="66">
        <f>IF(24구역!M33="","",24구역!M33)</f>
        <v/>
      </c>
      <c r="M310" s="66">
        <f>IF(24구역!N33="","",24구역!N33)</f>
        <v/>
      </c>
    </row>
    <row r="311" ht="15" customHeight="1" s="33">
      <c r="A311" s="66">
        <f>IF(24구역!B34="","",24구역!B34)</f>
        <v/>
      </c>
      <c r="B311" s="66">
        <f>IF(24구역!C34="","",24구역!C34)</f>
        <v/>
      </c>
      <c r="C311" s="66">
        <f>IF(24구역!D34="","",24구역!D34)</f>
        <v/>
      </c>
      <c r="D311" s="66">
        <f>IF(24구역!E34="","",24구역!E34)</f>
        <v/>
      </c>
      <c r="E311" s="66">
        <f>IF(24구역!F34="","",24구역!F34)</f>
        <v/>
      </c>
      <c r="F311" s="66">
        <f>IF(24구역!G34="","",24구역!G34)</f>
        <v/>
      </c>
      <c r="G311" s="66">
        <f>IF(24구역!H34="","",24구역!H34)</f>
        <v/>
      </c>
      <c r="H311" s="66">
        <f>IF(24구역!I34="","",24구역!I34)</f>
        <v/>
      </c>
      <c r="I311" s="66">
        <f>IF(24구역!J34="","",24구역!J34)</f>
        <v/>
      </c>
      <c r="J311" s="66">
        <f>IF(24구역!K34="","",24구역!K34)</f>
        <v/>
      </c>
      <c r="K311" s="66">
        <f>IF(24구역!L34="","",24구역!L34)</f>
        <v/>
      </c>
      <c r="L311" s="66">
        <f>IF(24구역!M34="","",24구역!M34)</f>
        <v/>
      </c>
      <c r="M311" s="66">
        <f>IF(24구역!N34="","",24구역!N34)</f>
        <v/>
      </c>
    </row>
    <row r="312" ht="15" customHeight="1" s="33">
      <c r="A312" s="66">
        <f>IF(24구역!B35="","",24구역!B35)</f>
        <v/>
      </c>
      <c r="B312" s="66">
        <f>IF(24구역!C35="","",24구역!C35)</f>
        <v/>
      </c>
      <c r="C312" s="66">
        <f>IF(24구역!D35="","",24구역!D35)</f>
        <v/>
      </c>
      <c r="D312" s="66">
        <f>IF(24구역!E35="","",24구역!E35)</f>
        <v/>
      </c>
      <c r="E312" s="66">
        <f>IF(24구역!F35="","",24구역!F35)</f>
        <v/>
      </c>
      <c r="F312" s="66">
        <f>IF(24구역!G35="","",24구역!G35)</f>
        <v/>
      </c>
      <c r="G312" s="66">
        <f>IF(24구역!H35="","",24구역!H35)</f>
        <v/>
      </c>
      <c r="H312" s="66">
        <f>IF(24구역!I35="","",24구역!I35)</f>
        <v/>
      </c>
      <c r="I312" s="66">
        <f>IF(24구역!J35="","",24구역!J35)</f>
        <v/>
      </c>
      <c r="J312" s="66">
        <f>IF(24구역!K35="","",24구역!K35)</f>
        <v/>
      </c>
      <c r="K312" s="66">
        <f>IF(24구역!L35="","",24구역!L35)</f>
        <v/>
      </c>
      <c r="L312" s="66">
        <f>IF(24구역!M35="","",24구역!M35)</f>
        <v/>
      </c>
      <c r="M312" s="66">
        <f>IF(24구역!N35="","",24구역!N35)</f>
        <v/>
      </c>
    </row>
    <row r="313" ht="15" customHeight="1" s="33">
      <c r="A313" s="66">
        <f>IF(24구역!B36="","",24구역!B36)</f>
        <v/>
      </c>
      <c r="B313" s="66">
        <f>IF(24구역!C36="","",24구역!C36)</f>
        <v/>
      </c>
      <c r="C313" s="66">
        <f>IF(24구역!D36="","",24구역!D36)</f>
        <v/>
      </c>
      <c r="D313" s="66">
        <f>IF(24구역!E36="","",24구역!E36)</f>
        <v/>
      </c>
      <c r="E313" s="66">
        <f>IF(24구역!F36="","",24구역!F36)</f>
        <v/>
      </c>
      <c r="F313" s="66">
        <f>IF(24구역!G36="","",24구역!G36)</f>
        <v/>
      </c>
      <c r="G313" s="66">
        <f>IF(24구역!H36="","",24구역!H36)</f>
        <v/>
      </c>
      <c r="H313" s="66">
        <f>IF(24구역!I36="","",24구역!I36)</f>
        <v/>
      </c>
      <c r="I313" s="66">
        <f>IF(24구역!J36="","",24구역!J36)</f>
        <v/>
      </c>
      <c r="J313" s="66">
        <f>IF(24구역!K36="","",24구역!K36)</f>
        <v/>
      </c>
      <c r="K313" s="66">
        <f>IF(24구역!L36="","",24구역!L36)</f>
        <v/>
      </c>
      <c r="L313" s="66">
        <f>IF(24구역!M36="","",24구역!M36)</f>
        <v/>
      </c>
      <c r="M313" s="66">
        <f>IF(24구역!N36="","",24구역!N36)</f>
        <v/>
      </c>
    </row>
    <row r="314" ht="15" customHeight="1" s="33">
      <c r="A314" s="66">
        <f>IF(24구역!B37="","",24구역!B37)</f>
        <v/>
      </c>
      <c r="B314" s="66">
        <f>IF(24구역!C37="","",24구역!C37)</f>
        <v/>
      </c>
      <c r="C314" s="66">
        <f>IF(24구역!D37="","",24구역!D37)</f>
        <v/>
      </c>
      <c r="D314" s="66">
        <f>IF(24구역!E37="","",24구역!E37)</f>
        <v/>
      </c>
      <c r="E314" s="66">
        <f>IF(24구역!F37="","",24구역!F37)</f>
        <v/>
      </c>
      <c r="F314" s="66">
        <f>IF(24구역!G37="","",24구역!G37)</f>
        <v/>
      </c>
      <c r="G314" s="66">
        <f>IF(24구역!H37="","",24구역!H37)</f>
        <v/>
      </c>
      <c r="H314" s="66">
        <f>IF(24구역!I37="","",24구역!I37)</f>
        <v/>
      </c>
      <c r="I314" s="66">
        <f>IF(24구역!J37="","",24구역!J37)</f>
        <v/>
      </c>
      <c r="J314" s="66">
        <f>IF(24구역!K37="","",24구역!K37)</f>
        <v/>
      </c>
      <c r="K314" s="66">
        <f>IF(24구역!L37="","",24구역!L37)</f>
        <v/>
      </c>
      <c r="L314" s="66">
        <f>IF(24구역!M37="","",24구역!M37)</f>
        <v/>
      </c>
      <c r="M314" s="66">
        <f>IF(24구역!N37="","",24구역!N37)</f>
        <v/>
      </c>
    </row>
    <row r="315" ht="15" customHeight="1" s="33">
      <c r="A315" s="66">
        <f>IF(24구역!B38="","",24구역!B38)</f>
        <v/>
      </c>
      <c r="B315" s="66">
        <f>IF(24구역!C38="","",24구역!C38)</f>
        <v/>
      </c>
      <c r="C315" s="66">
        <f>IF(24구역!D38="","",24구역!D38)</f>
        <v/>
      </c>
      <c r="D315" s="66">
        <f>IF(24구역!E38="","",24구역!E38)</f>
        <v/>
      </c>
      <c r="E315" s="66">
        <f>IF(24구역!F38="","",24구역!F38)</f>
        <v/>
      </c>
      <c r="F315" s="66">
        <f>IF(24구역!G38="","",24구역!G38)</f>
        <v/>
      </c>
      <c r="G315" s="66">
        <f>IF(24구역!H38="","",24구역!H38)</f>
        <v/>
      </c>
      <c r="H315" s="66">
        <f>IF(24구역!I38="","",24구역!I38)</f>
        <v/>
      </c>
      <c r="I315" s="66">
        <f>IF(24구역!J38="","",24구역!J38)</f>
        <v/>
      </c>
      <c r="J315" s="66">
        <f>IF(24구역!K38="","",24구역!K38)</f>
        <v/>
      </c>
      <c r="K315" s="66">
        <f>IF(24구역!L38="","",24구역!L38)</f>
        <v/>
      </c>
      <c r="L315" s="66">
        <f>IF(24구역!M38="","",24구역!M38)</f>
        <v/>
      </c>
      <c r="M315" s="66">
        <f>IF(24구역!N38="","",24구역!N38)</f>
        <v/>
      </c>
    </row>
    <row r="316" ht="15" customHeight="1" s="33">
      <c r="A316" s="66">
        <f>IF(24구역!B39="","",24구역!B39)</f>
        <v/>
      </c>
      <c r="B316" s="66">
        <f>IF(24구역!C39="","",24구역!C39)</f>
        <v/>
      </c>
      <c r="C316" s="66">
        <f>IF(24구역!D39="","",24구역!D39)</f>
        <v/>
      </c>
      <c r="D316" s="66">
        <f>IF(24구역!E39="","",24구역!E39)</f>
        <v/>
      </c>
      <c r="E316" s="66">
        <f>IF(24구역!F39="","",24구역!F39)</f>
        <v/>
      </c>
      <c r="F316" s="66">
        <f>IF(24구역!G39="","",24구역!G39)</f>
        <v/>
      </c>
      <c r="G316" s="66">
        <f>IF(24구역!H39="","",24구역!H39)</f>
        <v/>
      </c>
      <c r="H316" s="66">
        <f>IF(24구역!I39="","",24구역!I39)</f>
        <v/>
      </c>
      <c r="I316" s="66">
        <f>IF(24구역!J39="","",24구역!J39)</f>
        <v/>
      </c>
      <c r="J316" s="66">
        <f>IF(24구역!K39="","",24구역!K39)</f>
        <v/>
      </c>
      <c r="K316" s="66">
        <f>IF(24구역!L39="","",24구역!L39)</f>
        <v/>
      </c>
      <c r="L316" s="66">
        <f>IF(24구역!M39="","",24구역!M39)</f>
        <v/>
      </c>
      <c r="M316" s="66">
        <f>IF(24구역!N39="","",24구역!N39)</f>
        <v/>
      </c>
    </row>
    <row r="317" ht="15" customHeight="1" s="33">
      <c r="A317" s="66">
        <f>IF(24구역!B40="","",24구역!B40)</f>
        <v/>
      </c>
      <c r="B317" s="66">
        <f>IF(24구역!C40="","",24구역!C40)</f>
        <v/>
      </c>
      <c r="C317" s="66">
        <f>IF(24구역!D40="","",24구역!D40)</f>
        <v/>
      </c>
      <c r="D317" s="66">
        <f>IF(24구역!E40="","",24구역!E40)</f>
        <v/>
      </c>
      <c r="E317" s="66">
        <f>IF(24구역!F40="","",24구역!F40)</f>
        <v/>
      </c>
      <c r="F317" s="66">
        <f>IF(24구역!G40="","",24구역!G40)</f>
        <v/>
      </c>
      <c r="G317" s="66">
        <f>IF(24구역!H40="","",24구역!H40)</f>
        <v/>
      </c>
      <c r="H317" s="66">
        <f>IF(24구역!I40="","",24구역!I40)</f>
        <v/>
      </c>
      <c r="I317" s="66">
        <f>IF(24구역!J40="","",24구역!J40)</f>
        <v/>
      </c>
      <c r="J317" s="66">
        <f>IF(24구역!K40="","",24구역!K40)</f>
        <v/>
      </c>
      <c r="K317" s="66">
        <f>IF(24구역!L40="","",24구역!L40)</f>
        <v/>
      </c>
      <c r="L317" s="66">
        <f>IF(24구역!M40="","",24구역!M40)</f>
        <v/>
      </c>
      <c r="M317" s="66">
        <f>IF(24구역!N40="","",24구역!N40)</f>
        <v/>
      </c>
    </row>
    <row r="318" ht="15" customHeight="1" s="33">
      <c r="A318" s="66">
        <f>IF(24구역!B41="","",24구역!B41)</f>
        <v/>
      </c>
      <c r="B318" s="66">
        <f>IF(24구역!C41="","",24구역!C41)</f>
        <v/>
      </c>
      <c r="C318" s="66">
        <f>IF(24구역!D41="","",24구역!D41)</f>
        <v/>
      </c>
      <c r="D318" s="66">
        <f>IF(24구역!E41="","",24구역!E41)</f>
        <v/>
      </c>
      <c r="E318" s="66">
        <f>IF(24구역!F41="","",24구역!F41)</f>
        <v/>
      </c>
      <c r="F318" s="66">
        <f>IF(24구역!G41="","",24구역!G41)</f>
        <v/>
      </c>
      <c r="G318" s="66">
        <f>IF(24구역!H41="","",24구역!H41)</f>
        <v/>
      </c>
      <c r="H318" s="66">
        <f>IF(24구역!I41="","",24구역!I41)</f>
        <v/>
      </c>
      <c r="I318" s="66">
        <f>IF(24구역!J41="","",24구역!J41)</f>
        <v/>
      </c>
      <c r="J318" s="66">
        <f>IF(24구역!K41="","",24구역!K41)</f>
        <v/>
      </c>
      <c r="K318" s="66">
        <f>IF(24구역!L41="","",24구역!L41)</f>
        <v/>
      </c>
      <c r="L318" s="66">
        <f>IF(24구역!M41="","",24구역!M41)</f>
        <v/>
      </c>
      <c r="M318" s="66">
        <f>IF(24구역!N41="","",24구역!N41)</f>
        <v/>
      </c>
    </row>
    <row r="319" ht="15" customHeight="1" s="33">
      <c r="A319" s="66">
        <f>IF(24구역!B42="","",24구역!B42)</f>
        <v/>
      </c>
      <c r="B319" s="66">
        <f>IF(24구역!C42="","",24구역!C42)</f>
        <v/>
      </c>
      <c r="C319" s="66">
        <f>IF(24구역!D42="","",24구역!D42)</f>
        <v/>
      </c>
      <c r="D319" s="66">
        <f>IF(24구역!E42="","",24구역!E42)</f>
        <v/>
      </c>
      <c r="E319" s="66">
        <f>IF(24구역!F42="","",24구역!F42)</f>
        <v/>
      </c>
      <c r="F319" s="66">
        <f>IF(24구역!G42="","",24구역!G42)</f>
        <v/>
      </c>
      <c r="G319" s="66">
        <f>IF(24구역!H42="","",24구역!H42)</f>
        <v/>
      </c>
      <c r="H319" s="66">
        <f>IF(24구역!I42="","",24구역!I42)</f>
        <v/>
      </c>
      <c r="I319" s="66">
        <f>IF(24구역!J42="","",24구역!J42)</f>
        <v/>
      </c>
      <c r="J319" s="66">
        <f>IF(24구역!K42="","",24구역!K42)</f>
        <v/>
      </c>
      <c r="K319" s="66">
        <f>IF(24구역!L42="","",24구역!L42)</f>
        <v/>
      </c>
      <c r="L319" s="66">
        <f>IF(24구역!M42="","",24구역!M42)</f>
        <v/>
      </c>
      <c r="M319" s="66">
        <f>IF(24구역!N42="","",24구역!N42)</f>
        <v/>
      </c>
    </row>
    <row r="320" ht="15" customHeight="1" s="33">
      <c r="A320" s="66">
        <f>IF(24구역!B43="","",24구역!B43)</f>
        <v/>
      </c>
      <c r="B320" s="66">
        <f>IF(24구역!C43="","",24구역!C43)</f>
        <v/>
      </c>
      <c r="C320" s="66">
        <f>IF(24구역!D43="","",24구역!D43)</f>
        <v/>
      </c>
      <c r="D320" s="66">
        <f>IF(24구역!E43="","",24구역!E43)</f>
        <v/>
      </c>
      <c r="E320" s="66">
        <f>IF(24구역!F43="","",24구역!F43)</f>
        <v/>
      </c>
      <c r="F320" s="66">
        <f>IF(24구역!G43="","",24구역!G43)</f>
        <v/>
      </c>
      <c r="G320" s="66">
        <f>IF(24구역!H43="","",24구역!H43)</f>
        <v/>
      </c>
      <c r="H320" s="66">
        <f>IF(24구역!I43="","",24구역!I43)</f>
        <v/>
      </c>
      <c r="I320" s="66">
        <f>IF(24구역!J43="","",24구역!J43)</f>
        <v/>
      </c>
      <c r="J320" s="66">
        <f>IF(24구역!K43="","",24구역!K43)</f>
        <v/>
      </c>
      <c r="K320" s="66">
        <f>IF(24구역!L43="","",24구역!L43)</f>
        <v/>
      </c>
      <c r="L320" s="66">
        <f>IF(24구역!M43="","",24구역!M43)</f>
        <v/>
      </c>
      <c r="M320" s="66">
        <f>IF(24구역!N43="","",24구역!N43)</f>
        <v/>
      </c>
    </row>
    <row r="321" ht="15" customHeight="1" s="33">
      <c r="A321" s="66">
        <f>IF(31구역!B4="","",31구역!B4)</f>
        <v/>
      </c>
      <c r="B321" s="66">
        <f>IF(31구역!C4="","",31구역!C4)</f>
        <v/>
      </c>
      <c r="C321" s="66">
        <f>IF(31구역!D4="","",31구역!D4)</f>
        <v/>
      </c>
      <c r="D321" s="66">
        <f>IF(31구역!E4="","",31구역!E4)</f>
        <v/>
      </c>
      <c r="E321" s="66">
        <f>IF(31구역!F4="","",31구역!F4)</f>
        <v/>
      </c>
      <c r="F321" s="66">
        <f>IF(31구역!G4="","",31구역!G4)</f>
        <v/>
      </c>
      <c r="G321" s="66">
        <f>IF(31구역!H4="","",31구역!H4)</f>
        <v/>
      </c>
      <c r="H321" s="66">
        <f>IF(31구역!I4="","",31구역!I4)</f>
        <v/>
      </c>
      <c r="I321" s="66">
        <f>IF(31구역!J4="","",31구역!J4)</f>
        <v/>
      </c>
      <c r="J321" s="66">
        <f>IF(31구역!K4="","",31구역!K4)</f>
        <v/>
      </c>
      <c r="K321" s="66">
        <f>IF(31구역!L4="","",31구역!L4)</f>
        <v/>
      </c>
      <c r="L321" s="66">
        <f>IF(31구역!M4="","",31구역!M4)</f>
        <v/>
      </c>
      <c r="M321" s="66">
        <f>IF(31구역!N4="","",31구역!N4)</f>
        <v/>
      </c>
    </row>
    <row r="322" ht="15" customHeight="1" s="33">
      <c r="A322" s="66">
        <f>IF(31구역!B5="","",31구역!B5)</f>
        <v/>
      </c>
      <c r="B322" s="66">
        <f>IF(31구역!C5="","",31구역!C5)</f>
        <v/>
      </c>
      <c r="C322" s="66">
        <f>IF(31구역!D5="","",31구역!D5)</f>
        <v/>
      </c>
      <c r="D322" s="66">
        <f>IF(31구역!E5="","",31구역!E5)</f>
        <v/>
      </c>
      <c r="E322" s="66">
        <f>IF(31구역!F5="","",31구역!F5)</f>
        <v/>
      </c>
      <c r="F322" s="66">
        <f>IF(31구역!G5="","",31구역!G5)</f>
        <v/>
      </c>
      <c r="G322" s="66">
        <f>IF(31구역!H5="","",31구역!H5)</f>
        <v/>
      </c>
      <c r="H322" s="66">
        <f>IF(31구역!I5="","",31구역!I5)</f>
        <v/>
      </c>
      <c r="I322" s="66">
        <f>IF(31구역!J5="","",31구역!J5)</f>
        <v/>
      </c>
      <c r="J322" s="66">
        <f>IF(31구역!K5="","",31구역!K5)</f>
        <v/>
      </c>
      <c r="K322" s="66">
        <f>IF(31구역!L5="","",31구역!L5)</f>
        <v/>
      </c>
      <c r="L322" s="66">
        <f>IF(31구역!M5="","",31구역!M5)</f>
        <v/>
      </c>
      <c r="M322" s="66">
        <f>IF(31구역!N5="","",31구역!N5)</f>
        <v/>
      </c>
    </row>
    <row r="323" ht="15" customHeight="1" s="33">
      <c r="A323" s="66">
        <f>IF(31구역!B6="","",31구역!B6)</f>
        <v/>
      </c>
      <c r="B323" s="66">
        <f>IF(31구역!C6="","",31구역!C6)</f>
        <v/>
      </c>
      <c r="C323" s="66">
        <f>IF(31구역!D6="","",31구역!D6)</f>
        <v/>
      </c>
      <c r="D323" s="66">
        <f>IF(31구역!E6="","",31구역!E6)</f>
        <v/>
      </c>
      <c r="E323" s="66">
        <f>IF(31구역!F6="","",31구역!F6)</f>
        <v/>
      </c>
      <c r="F323" s="66">
        <f>IF(31구역!G6="","",31구역!G6)</f>
        <v/>
      </c>
      <c r="G323" s="66">
        <f>IF(31구역!H6="","",31구역!H6)</f>
        <v/>
      </c>
      <c r="H323" s="66">
        <f>IF(31구역!I6="","",31구역!I6)</f>
        <v/>
      </c>
      <c r="I323" s="66">
        <f>IF(31구역!J6="","",31구역!J6)</f>
        <v/>
      </c>
      <c r="J323" s="66">
        <f>IF(31구역!K6="","",31구역!K6)</f>
        <v/>
      </c>
      <c r="K323" s="66">
        <f>IF(31구역!L6="","",31구역!L6)</f>
        <v/>
      </c>
      <c r="L323" s="66">
        <f>IF(31구역!M6="","",31구역!M6)</f>
        <v/>
      </c>
      <c r="M323" s="66">
        <f>IF(31구역!N6="","",31구역!N6)</f>
        <v/>
      </c>
    </row>
    <row r="324" ht="15" customHeight="1" s="33">
      <c r="A324" s="66">
        <f>IF(31구역!B7="","",31구역!B7)</f>
        <v/>
      </c>
      <c r="B324" s="66">
        <f>IF(31구역!C7="","",31구역!C7)</f>
        <v/>
      </c>
      <c r="C324" s="66">
        <f>IF(31구역!D7="","",31구역!D7)</f>
        <v/>
      </c>
      <c r="D324" s="66">
        <f>IF(31구역!E7="","",31구역!E7)</f>
        <v/>
      </c>
      <c r="E324" s="66">
        <f>IF(31구역!F7="","",31구역!F7)</f>
        <v/>
      </c>
      <c r="F324" s="66">
        <f>IF(31구역!G7="","",31구역!G7)</f>
        <v/>
      </c>
      <c r="G324" s="66">
        <f>IF(31구역!H7="","",31구역!H7)</f>
        <v/>
      </c>
      <c r="H324" s="66">
        <f>IF(31구역!I7="","",31구역!I7)</f>
        <v/>
      </c>
      <c r="I324" s="66">
        <f>IF(31구역!J7="","",31구역!J7)</f>
        <v/>
      </c>
      <c r="J324" s="66">
        <f>IF(31구역!K7="","",31구역!K7)</f>
        <v/>
      </c>
      <c r="K324" s="66">
        <f>IF(31구역!L7="","",31구역!L7)</f>
        <v/>
      </c>
      <c r="L324" s="66">
        <f>IF(31구역!M7="","",31구역!M7)</f>
        <v/>
      </c>
      <c r="M324" s="66">
        <f>IF(31구역!N7="","",31구역!N7)</f>
        <v/>
      </c>
    </row>
    <row r="325" ht="15" customHeight="1" s="33">
      <c r="A325" s="66">
        <f>IF(31구역!B8="","",31구역!B8)</f>
        <v/>
      </c>
      <c r="B325" s="66">
        <f>IF(31구역!C8="","",31구역!C8)</f>
        <v/>
      </c>
      <c r="C325" s="66">
        <f>IF(31구역!D8="","",31구역!D8)</f>
        <v/>
      </c>
      <c r="D325" s="66">
        <f>IF(31구역!E8="","",31구역!E8)</f>
        <v/>
      </c>
      <c r="E325" s="66">
        <f>IF(31구역!F8="","",31구역!F8)</f>
        <v/>
      </c>
      <c r="F325" s="66">
        <f>IF(31구역!G8="","",31구역!G8)</f>
        <v/>
      </c>
      <c r="G325" s="66">
        <f>IF(31구역!H8="","",31구역!H8)</f>
        <v/>
      </c>
      <c r="H325" s="66">
        <f>IF(31구역!I8="","",31구역!I8)</f>
        <v/>
      </c>
      <c r="I325" s="66">
        <f>IF(31구역!J8="","",31구역!J8)</f>
        <v/>
      </c>
      <c r="J325" s="66">
        <f>IF(31구역!K8="","",31구역!K8)</f>
        <v/>
      </c>
      <c r="K325" s="66">
        <f>IF(31구역!L8="","",31구역!L8)</f>
        <v/>
      </c>
      <c r="L325" s="66">
        <f>IF(31구역!M8="","",31구역!M8)</f>
        <v/>
      </c>
      <c r="M325" s="66">
        <f>IF(31구역!N8="","",31구역!N8)</f>
        <v/>
      </c>
    </row>
    <row r="326" ht="15" customHeight="1" s="33">
      <c r="A326" s="66">
        <f>IF(31구역!B9="","",31구역!B9)</f>
        <v/>
      </c>
      <c r="B326" s="66">
        <f>IF(31구역!C9="","",31구역!C9)</f>
        <v/>
      </c>
      <c r="C326" s="66">
        <f>IF(31구역!D9="","",31구역!D9)</f>
        <v/>
      </c>
      <c r="D326" s="66">
        <f>IF(31구역!E9="","",31구역!E9)</f>
        <v/>
      </c>
      <c r="E326" s="66">
        <f>IF(31구역!F9="","",31구역!F9)</f>
        <v/>
      </c>
      <c r="F326" s="66">
        <f>IF(31구역!G9="","",31구역!G9)</f>
        <v/>
      </c>
      <c r="G326" s="66">
        <f>IF(31구역!H9="","",31구역!H9)</f>
        <v/>
      </c>
      <c r="H326" s="66">
        <f>IF(31구역!I9="","",31구역!I9)</f>
        <v/>
      </c>
      <c r="I326" s="66">
        <f>IF(31구역!J9="","",31구역!J9)</f>
        <v/>
      </c>
      <c r="J326" s="66">
        <f>IF(31구역!K9="","",31구역!K9)</f>
        <v/>
      </c>
      <c r="K326" s="66">
        <f>IF(31구역!L9="","",31구역!L9)</f>
        <v/>
      </c>
      <c r="L326" s="66">
        <f>IF(31구역!M9="","",31구역!M9)</f>
        <v/>
      </c>
      <c r="M326" s="66">
        <f>IF(31구역!N9="","",31구역!N9)</f>
        <v/>
      </c>
    </row>
    <row r="327" ht="15" customHeight="1" s="33">
      <c r="A327" s="66">
        <f>IF(31구역!B10="","",31구역!B10)</f>
        <v/>
      </c>
      <c r="B327" s="66">
        <f>IF(31구역!C10="","",31구역!C10)</f>
        <v/>
      </c>
      <c r="C327" s="66">
        <f>IF(31구역!D10="","",31구역!D10)</f>
        <v/>
      </c>
      <c r="D327" s="66">
        <f>IF(31구역!E10="","",31구역!E10)</f>
        <v/>
      </c>
      <c r="E327" s="66">
        <f>IF(31구역!F10="","",31구역!F10)</f>
        <v/>
      </c>
      <c r="F327" s="66">
        <f>IF(31구역!G10="","",31구역!G10)</f>
        <v/>
      </c>
      <c r="G327" s="66">
        <f>IF(31구역!H10="","",31구역!H10)</f>
        <v/>
      </c>
      <c r="H327" s="66">
        <f>IF(31구역!I10="","",31구역!I10)</f>
        <v/>
      </c>
      <c r="I327" s="66">
        <f>IF(31구역!J10="","",31구역!J10)</f>
        <v/>
      </c>
      <c r="J327" s="66">
        <f>IF(31구역!K10="","",31구역!K10)</f>
        <v/>
      </c>
      <c r="K327" s="66">
        <f>IF(31구역!L10="","",31구역!L10)</f>
        <v/>
      </c>
      <c r="L327" s="66">
        <f>IF(31구역!M10="","",31구역!M10)</f>
        <v/>
      </c>
      <c r="M327" s="66">
        <f>IF(31구역!N10="","",31구역!N10)</f>
        <v/>
      </c>
    </row>
    <row r="328" ht="15" customHeight="1" s="33">
      <c r="A328" s="66">
        <f>IF(31구역!B11="","",31구역!B11)</f>
        <v/>
      </c>
      <c r="B328" s="66">
        <f>IF(31구역!C11="","",31구역!C11)</f>
        <v/>
      </c>
      <c r="C328" s="66">
        <f>IF(31구역!D11="","",31구역!D11)</f>
        <v/>
      </c>
      <c r="D328" s="66">
        <f>IF(31구역!E11="","",31구역!E11)</f>
        <v/>
      </c>
      <c r="E328" s="66">
        <f>IF(31구역!F11="","",31구역!F11)</f>
        <v/>
      </c>
      <c r="F328" s="66">
        <f>IF(31구역!G11="","",31구역!G11)</f>
        <v/>
      </c>
      <c r="G328" s="66">
        <f>IF(31구역!H11="","",31구역!H11)</f>
        <v/>
      </c>
      <c r="H328" s="66">
        <f>IF(31구역!I11="","",31구역!I11)</f>
        <v/>
      </c>
      <c r="I328" s="66">
        <f>IF(31구역!J11="","",31구역!J11)</f>
        <v/>
      </c>
      <c r="J328" s="66">
        <f>IF(31구역!K11="","",31구역!K11)</f>
        <v/>
      </c>
      <c r="K328" s="66">
        <f>IF(31구역!L11="","",31구역!L11)</f>
        <v/>
      </c>
      <c r="L328" s="66">
        <f>IF(31구역!M11="","",31구역!M11)</f>
        <v/>
      </c>
      <c r="M328" s="66">
        <f>IF(31구역!N11="","",31구역!N11)</f>
        <v/>
      </c>
    </row>
    <row r="329" ht="15" customHeight="1" s="33">
      <c r="A329" s="66">
        <f>IF(31구역!B12="","",31구역!B12)</f>
        <v/>
      </c>
      <c r="B329" s="66">
        <f>IF(31구역!C12="","",31구역!C12)</f>
        <v/>
      </c>
      <c r="C329" s="66">
        <f>IF(31구역!D12="","",31구역!D12)</f>
        <v/>
      </c>
      <c r="D329" s="66">
        <f>IF(31구역!E12="","",31구역!E12)</f>
        <v/>
      </c>
      <c r="E329" s="66">
        <f>IF(31구역!F12="","",31구역!F12)</f>
        <v/>
      </c>
      <c r="F329" s="66">
        <f>IF(31구역!G12="","",31구역!G12)</f>
        <v/>
      </c>
      <c r="G329" s="66">
        <f>IF(31구역!H12="","",31구역!H12)</f>
        <v/>
      </c>
      <c r="H329" s="66">
        <f>IF(31구역!I12="","",31구역!I12)</f>
        <v/>
      </c>
      <c r="I329" s="66">
        <f>IF(31구역!J12="","",31구역!J12)</f>
        <v/>
      </c>
      <c r="J329" s="66">
        <f>IF(31구역!K12="","",31구역!K12)</f>
        <v/>
      </c>
      <c r="K329" s="66">
        <f>IF(31구역!L12="","",31구역!L12)</f>
        <v/>
      </c>
      <c r="L329" s="66">
        <f>IF(31구역!M12="","",31구역!M12)</f>
        <v/>
      </c>
      <c r="M329" s="66">
        <f>IF(31구역!N12="","",31구역!N12)</f>
        <v/>
      </c>
    </row>
    <row r="330" ht="15" customHeight="1" s="33">
      <c r="A330" s="66">
        <f>IF(31구역!B13="","",31구역!B13)</f>
        <v/>
      </c>
      <c r="B330" s="66">
        <f>IF(31구역!C13="","",31구역!C13)</f>
        <v/>
      </c>
      <c r="C330" s="66">
        <f>IF(31구역!D13="","",31구역!D13)</f>
        <v/>
      </c>
      <c r="D330" s="66">
        <f>IF(31구역!E13="","",31구역!E13)</f>
        <v/>
      </c>
      <c r="E330" s="66">
        <f>IF(31구역!F13="","",31구역!F13)</f>
        <v/>
      </c>
      <c r="F330" s="66">
        <f>IF(31구역!G13="","",31구역!G13)</f>
        <v/>
      </c>
      <c r="G330" s="66">
        <f>IF(31구역!H13="","",31구역!H13)</f>
        <v/>
      </c>
      <c r="H330" s="66">
        <f>IF(31구역!I13="","",31구역!I13)</f>
        <v/>
      </c>
      <c r="I330" s="66">
        <f>IF(31구역!J13="","",31구역!J13)</f>
        <v/>
      </c>
      <c r="J330" s="66">
        <f>IF(31구역!K13="","",31구역!K13)</f>
        <v/>
      </c>
      <c r="K330" s="66">
        <f>IF(31구역!L13="","",31구역!L13)</f>
        <v/>
      </c>
      <c r="L330" s="66">
        <f>IF(31구역!M13="","",31구역!M13)</f>
        <v/>
      </c>
      <c r="M330" s="66">
        <f>IF(31구역!N13="","",31구역!N13)</f>
        <v/>
      </c>
    </row>
    <row r="331" ht="15" customHeight="1" s="33">
      <c r="A331" s="66">
        <f>IF(31구역!B14="","",31구역!B14)</f>
        <v/>
      </c>
      <c r="B331" s="66">
        <f>IF(31구역!C14="","",31구역!C14)</f>
        <v/>
      </c>
      <c r="C331" s="66">
        <f>IF(31구역!D14="","",31구역!D14)</f>
        <v/>
      </c>
      <c r="D331" s="66">
        <f>IF(31구역!E14="","",31구역!E14)</f>
        <v/>
      </c>
      <c r="E331" s="66">
        <f>IF(31구역!F14="","",31구역!F14)</f>
        <v/>
      </c>
      <c r="F331" s="66">
        <f>IF(31구역!G14="","",31구역!G14)</f>
        <v/>
      </c>
      <c r="G331" s="66">
        <f>IF(31구역!H14="","",31구역!H14)</f>
        <v/>
      </c>
      <c r="H331" s="66">
        <f>IF(31구역!I14="","",31구역!I14)</f>
        <v/>
      </c>
      <c r="I331" s="66">
        <f>IF(31구역!J14="","",31구역!J14)</f>
        <v/>
      </c>
      <c r="J331" s="66">
        <f>IF(31구역!K14="","",31구역!K14)</f>
        <v/>
      </c>
      <c r="K331" s="66">
        <f>IF(31구역!L14="","",31구역!L14)</f>
        <v/>
      </c>
      <c r="L331" s="66">
        <f>IF(31구역!M14="","",31구역!M14)</f>
        <v/>
      </c>
      <c r="M331" s="66">
        <f>IF(31구역!N14="","",31구역!N14)</f>
        <v/>
      </c>
    </row>
    <row r="332" ht="15" customHeight="1" s="33">
      <c r="A332" s="66">
        <f>IF(31구역!B15="","",31구역!B15)</f>
        <v/>
      </c>
      <c r="B332" s="66">
        <f>IF(31구역!C15="","",31구역!C15)</f>
        <v/>
      </c>
      <c r="C332" s="66">
        <f>IF(31구역!D15="","",31구역!D15)</f>
        <v/>
      </c>
      <c r="D332" s="66">
        <f>IF(31구역!E15="","",31구역!E15)</f>
        <v/>
      </c>
      <c r="E332" s="66">
        <f>IF(31구역!F15="","",31구역!F15)</f>
        <v/>
      </c>
      <c r="F332" s="66">
        <f>IF(31구역!G15="","",31구역!G15)</f>
        <v/>
      </c>
      <c r="G332" s="66">
        <f>IF(31구역!H15="","",31구역!H15)</f>
        <v/>
      </c>
      <c r="H332" s="66">
        <f>IF(31구역!I15="","",31구역!I15)</f>
        <v/>
      </c>
      <c r="I332" s="66">
        <f>IF(31구역!J15="","",31구역!J15)</f>
        <v/>
      </c>
      <c r="J332" s="66">
        <f>IF(31구역!K15="","",31구역!K15)</f>
        <v/>
      </c>
      <c r="K332" s="66">
        <f>IF(31구역!L15="","",31구역!L15)</f>
        <v/>
      </c>
      <c r="L332" s="66">
        <f>IF(31구역!M15="","",31구역!M15)</f>
        <v/>
      </c>
      <c r="M332" s="66">
        <f>IF(31구역!N15="","",31구역!N15)</f>
        <v/>
      </c>
    </row>
    <row r="333" ht="15" customHeight="1" s="33">
      <c r="A333" s="66">
        <f>IF(31구역!B16="","",31구역!B16)</f>
        <v/>
      </c>
      <c r="B333" s="66">
        <f>IF(31구역!C16="","",31구역!C16)</f>
        <v/>
      </c>
      <c r="C333" s="66">
        <f>IF(31구역!D16="","",31구역!D16)</f>
        <v/>
      </c>
      <c r="D333" s="66">
        <f>IF(31구역!E16="","",31구역!E16)</f>
        <v/>
      </c>
      <c r="E333" s="66">
        <f>IF(31구역!F16="","",31구역!F16)</f>
        <v/>
      </c>
      <c r="F333" s="66">
        <f>IF(31구역!G16="","",31구역!G16)</f>
        <v/>
      </c>
      <c r="G333" s="66">
        <f>IF(31구역!H16="","",31구역!H16)</f>
        <v/>
      </c>
      <c r="H333" s="66">
        <f>IF(31구역!I16="","",31구역!I16)</f>
        <v/>
      </c>
      <c r="I333" s="66">
        <f>IF(31구역!J16="","",31구역!J16)</f>
        <v/>
      </c>
      <c r="J333" s="66">
        <f>IF(31구역!K16="","",31구역!K16)</f>
        <v/>
      </c>
      <c r="K333" s="66">
        <f>IF(31구역!L16="","",31구역!L16)</f>
        <v/>
      </c>
      <c r="L333" s="66">
        <f>IF(31구역!M16="","",31구역!M16)</f>
        <v/>
      </c>
      <c r="M333" s="66">
        <f>IF(31구역!N16="","",31구역!N16)</f>
        <v/>
      </c>
    </row>
    <row r="334" ht="15" customHeight="1" s="33">
      <c r="A334" s="66">
        <f>IF(31구역!B17="","",31구역!B17)</f>
        <v/>
      </c>
      <c r="B334" s="66">
        <f>IF(31구역!C17="","",31구역!C17)</f>
        <v/>
      </c>
      <c r="C334" s="66">
        <f>IF(31구역!D17="","",31구역!D17)</f>
        <v/>
      </c>
      <c r="D334" s="66">
        <f>IF(31구역!E17="","",31구역!E17)</f>
        <v/>
      </c>
      <c r="E334" s="66">
        <f>IF(31구역!F17="","",31구역!F17)</f>
        <v/>
      </c>
      <c r="F334" s="66">
        <f>IF(31구역!G17="","",31구역!G17)</f>
        <v/>
      </c>
      <c r="G334" s="66">
        <f>IF(31구역!H17="","",31구역!H17)</f>
        <v/>
      </c>
      <c r="H334" s="66">
        <f>IF(31구역!I17="","",31구역!I17)</f>
        <v/>
      </c>
      <c r="I334" s="66">
        <f>IF(31구역!J17="","",31구역!J17)</f>
        <v/>
      </c>
      <c r="J334" s="66">
        <f>IF(31구역!K17="","",31구역!K17)</f>
        <v/>
      </c>
      <c r="K334" s="66">
        <f>IF(31구역!L17="","",31구역!L17)</f>
        <v/>
      </c>
      <c r="L334" s="66">
        <f>IF(31구역!M17="","",31구역!M17)</f>
        <v/>
      </c>
      <c r="M334" s="66">
        <f>IF(31구역!N17="","",31구역!N17)</f>
        <v/>
      </c>
    </row>
    <row r="335" ht="15" customHeight="1" s="33">
      <c r="A335" s="66">
        <f>IF(31구역!B18="","",31구역!B18)</f>
        <v/>
      </c>
      <c r="B335" s="66">
        <f>IF(31구역!C18="","",31구역!C18)</f>
        <v/>
      </c>
      <c r="C335" s="66">
        <f>IF(31구역!D18="","",31구역!D18)</f>
        <v/>
      </c>
      <c r="D335" s="66">
        <f>IF(31구역!E18="","",31구역!E18)</f>
        <v/>
      </c>
      <c r="E335" s="66">
        <f>IF(31구역!F18="","",31구역!F18)</f>
        <v/>
      </c>
      <c r="F335" s="66">
        <f>IF(31구역!G18="","",31구역!G18)</f>
        <v/>
      </c>
      <c r="G335" s="66">
        <f>IF(31구역!H18="","",31구역!H18)</f>
        <v/>
      </c>
      <c r="H335" s="66">
        <f>IF(31구역!I18="","",31구역!I18)</f>
        <v/>
      </c>
      <c r="I335" s="66">
        <f>IF(31구역!J18="","",31구역!J18)</f>
        <v/>
      </c>
      <c r="J335" s="66">
        <f>IF(31구역!K18="","",31구역!K18)</f>
        <v/>
      </c>
      <c r="K335" s="66">
        <f>IF(31구역!L18="","",31구역!L18)</f>
        <v/>
      </c>
      <c r="L335" s="66">
        <f>IF(31구역!M18="","",31구역!M18)</f>
        <v/>
      </c>
      <c r="M335" s="66">
        <f>IF(31구역!N18="","",31구역!N18)</f>
        <v/>
      </c>
    </row>
    <row r="336" ht="15" customHeight="1" s="33">
      <c r="A336" s="66">
        <f>IF(31구역!B19="","",31구역!B19)</f>
        <v/>
      </c>
      <c r="B336" s="66">
        <f>IF(31구역!C19="","",31구역!C19)</f>
        <v/>
      </c>
      <c r="C336" s="66">
        <f>IF(31구역!D19="","",31구역!D19)</f>
        <v/>
      </c>
      <c r="D336" s="66">
        <f>IF(31구역!E19="","",31구역!E19)</f>
        <v/>
      </c>
      <c r="E336" s="66">
        <f>IF(31구역!F19="","",31구역!F19)</f>
        <v/>
      </c>
      <c r="F336" s="66">
        <f>IF(31구역!G19="","",31구역!G19)</f>
        <v/>
      </c>
      <c r="G336" s="66">
        <f>IF(31구역!H19="","",31구역!H19)</f>
        <v/>
      </c>
      <c r="H336" s="66">
        <f>IF(31구역!I19="","",31구역!I19)</f>
        <v/>
      </c>
      <c r="I336" s="66">
        <f>IF(31구역!J19="","",31구역!J19)</f>
        <v/>
      </c>
      <c r="J336" s="66">
        <f>IF(31구역!K19="","",31구역!K19)</f>
        <v/>
      </c>
      <c r="K336" s="66">
        <f>IF(31구역!L19="","",31구역!L19)</f>
        <v/>
      </c>
      <c r="L336" s="66">
        <f>IF(31구역!M19="","",31구역!M19)</f>
        <v/>
      </c>
      <c r="M336" s="66">
        <f>IF(31구역!N19="","",31구역!N19)</f>
        <v/>
      </c>
    </row>
    <row r="337" ht="15" customHeight="1" s="33">
      <c r="A337" s="66">
        <f>IF(31구역!B20="","",31구역!B20)</f>
        <v/>
      </c>
      <c r="B337" s="66">
        <f>IF(31구역!C20="","",31구역!C20)</f>
        <v/>
      </c>
      <c r="C337" s="66">
        <f>IF(31구역!D20="","",31구역!D20)</f>
        <v/>
      </c>
      <c r="D337" s="66">
        <f>IF(31구역!E20="","",31구역!E20)</f>
        <v/>
      </c>
      <c r="E337" s="66">
        <f>IF(31구역!F20="","",31구역!F20)</f>
        <v/>
      </c>
      <c r="F337" s="66">
        <f>IF(31구역!G20="","",31구역!G20)</f>
        <v/>
      </c>
      <c r="G337" s="66">
        <f>IF(31구역!H20="","",31구역!H20)</f>
        <v/>
      </c>
      <c r="H337" s="66">
        <f>IF(31구역!I20="","",31구역!I20)</f>
        <v/>
      </c>
      <c r="I337" s="66">
        <f>IF(31구역!J20="","",31구역!J20)</f>
        <v/>
      </c>
      <c r="J337" s="66">
        <f>IF(31구역!K20="","",31구역!K20)</f>
        <v/>
      </c>
      <c r="K337" s="66">
        <f>IF(31구역!L20="","",31구역!L20)</f>
        <v/>
      </c>
      <c r="L337" s="66">
        <f>IF(31구역!M20="","",31구역!M20)</f>
        <v/>
      </c>
      <c r="M337" s="66">
        <f>IF(31구역!N20="","",31구역!N20)</f>
        <v/>
      </c>
    </row>
    <row r="338" ht="15" customHeight="1" s="33">
      <c r="A338" s="66">
        <f>IF(31구역!B21="","",31구역!B21)</f>
        <v/>
      </c>
      <c r="B338" s="66">
        <f>IF(31구역!C21="","",31구역!C21)</f>
        <v/>
      </c>
      <c r="C338" s="66">
        <f>IF(31구역!D21="","",31구역!D21)</f>
        <v/>
      </c>
      <c r="D338" s="66">
        <f>IF(31구역!E21="","",31구역!E21)</f>
        <v/>
      </c>
      <c r="E338" s="66">
        <f>IF(31구역!F21="","",31구역!F21)</f>
        <v/>
      </c>
      <c r="F338" s="66">
        <f>IF(31구역!G21="","",31구역!G21)</f>
        <v/>
      </c>
      <c r="G338" s="66">
        <f>IF(31구역!H21="","",31구역!H21)</f>
        <v/>
      </c>
      <c r="H338" s="66">
        <f>IF(31구역!I21="","",31구역!I21)</f>
        <v/>
      </c>
      <c r="I338" s="66">
        <f>IF(31구역!J21="","",31구역!J21)</f>
        <v/>
      </c>
      <c r="J338" s="66">
        <f>IF(31구역!K21="","",31구역!K21)</f>
        <v/>
      </c>
      <c r="K338" s="66">
        <f>IF(31구역!L21="","",31구역!L21)</f>
        <v/>
      </c>
      <c r="L338" s="66">
        <f>IF(31구역!M21="","",31구역!M21)</f>
        <v/>
      </c>
      <c r="M338" s="66">
        <f>IF(31구역!N21="","",31구역!N21)</f>
        <v/>
      </c>
    </row>
    <row r="339" ht="15" customHeight="1" s="33">
      <c r="A339" s="66">
        <f>IF(31구역!B22="","",31구역!B22)</f>
        <v/>
      </c>
      <c r="B339" s="66">
        <f>IF(31구역!C22="","",31구역!C22)</f>
        <v/>
      </c>
      <c r="C339" s="66">
        <f>IF(31구역!D22="","",31구역!D22)</f>
        <v/>
      </c>
      <c r="D339" s="66">
        <f>IF(31구역!E22="","",31구역!E22)</f>
        <v/>
      </c>
      <c r="E339" s="66">
        <f>IF(31구역!F22="","",31구역!F22)</f>
        <v/>
      </c>
      <c r="F339" s="66">
        <f>IF(31구역!G22="","",31구역!G22)</f>
        <v/>
      </c>
      <c r="G339" s="66">
        <f>IF(31구역!H22="","",31구역!H22)</f>
        <v/>
      </c>
      <c r="H339" s="66">
        <f>IF(31구역!I22="","",31구역!I22)</f>
        <v/>
      </c>
      <c r="I339" s="66">
        <f>IF(31구역!J22="","",31구역!J22)</f>
        <v/>
      </c>
      <c r="J339" s="66">
        <f>IF(31구역!K22="","",31구역!K22)</f>
        <v/>
      </c>
      <c r="K339" s="66">
        <f>IF(31구역!L22="","",31구역!L22)</f>
        <v/>
      </c>
      <c r="L339" s="66">
        <f>IF(31구역!M22="","",31구역!M22)</f>
        <v/>
      </c>
      <c r="M339" s="66">
        <f>IF(31구역!N22="","",31구역!N22)</f>
        <v/>
      </c>
    </row>
    <row r="340" ht="15" customHeight="1" s="33">
      <c r="A340" s="66">
        <f>IF(31구역!B23="","",31구역!B23)</f>
        <v/>
      </c>
      <c r="B340" s="66">
        <f>IF(31구역!C23="","",31구역!C23)</f>
        <v/>
      </c>
      <c r="C340" s="66">
        <f>IF(31구역!D23="","",31구역!D23)</f>
        <v/>
      </c>
      <c r="D340" s="66">
        <f>IF(31구역!E23="","",31구역!E23)</f>
        <v/>
      </c>
      <c r="E340" s="66">
        <f>IF(31구역!F23="","",31구역!F23)</f>
        <v/>
      </c>
      <c r="F340" s="66">
        <f>IF(31구역!G23="","",31구역!G23)</f>
        <v/>
      </c>
      <c r="G340" s="66">
        <f>IF(31구역!H23="","",31구역!H23)</f>
        <v/>
      </c>
      <c r="H340" s="66">
        <f>IF(31구역!I23="","",31구역!I23)</f>
        <v/>
      </c>
      <c r="I340" s="66">
        <f>IF(31구역!J23="","",31구역!J23)</f>
        <v/>
      </c>
      <c r="J340" s="66">
        <f>IF(31구역!K23="","",31구역!K23)</f>
        <v/>
      </c>
      <c r="K340" s="66">
        <f>IF(31구역!L23="","",31구역!L23)</f>
        <v/>
      </c>
      <c r="L340" s="66">
        <f>IF(31구역!M23="","",31구역!M23)</f>
        <v/>
      </c>
      <c r="M340" s="66">
        <f>IF(31구역!N23="","",31구역!N23)</f>
        <v/>
      </c>
    </row>
    <row r="341" ht="15" customHeight="1" s="33">
      <c r="A341" s="66">
        <f>IF(31구역!B24="","",31구역!B24)</f>
        <v/>
      </c>
      <c r="B341" s="66">
        <f>IF(31구역!C24="","",31구역!C24)</f>
        <v/>
      </c>
      <c r="C341" s="66">
        <f>IF(31구역!D24="","",31구역!D24)</f>
        <v/>
      </c>
      <c r="D341" s="66">
        <f>IF(31구역!E24="","",31구역!E24)</f>
        <v/>
      </c>
      <c r="E341" s="66">
        <f>IF(31구역!F24="","",31구역!F24)</f>
        <v/>
      </c>
      <c r="F341" s="66">
        <f>IF(31구역!G24="","",31구역!G24)</f>
        <v/>
      </c>
      <c r="G341" s="66">
        <f>IF(31구역!H24="","",31구역!H24)</f>
        <v/>
      </c>
      <c r="H341" s="66">
        <f>IF(31구역!I24="","",31구역!I24)</f>
        <v/>
      </c>
      <c r="I341" s="66">
        <f>IF(31구역!J24="","",31구역!J24)</f>
        <v/>
      </c>
      <c r="J341" s="66">
        <f>IF(31구역!K24="","",31구역!K24)</f>
        <v/>
      </c>
      <c r="K341" s="66">
        <f>IF(31구역!L24="","",31구역!L24)</f>
        <v/>
      </c>
      <c r="L341" s="66">
        <f>IF(31구역!M24="","",31구역!M24)</f>
        <v/>
      </c>
      <c r="M341" s="66">
        <f>IF(31구역!N24="","",31구역!N24)</f>
        <v/>
      </c>
    </row>
    <row r="342" ht="15" customHeight="1" s="33">
      <c r="A342" s="66">
        <f>IF(31구역!B25="","",31구역!B25)</f>
        <v/>
      </c>
      <c r="B342" s="66">
        <f>IF(31구역!C25="","",31구역!C25)</f>
        <v/>
      </c>
      <c r="C342" s="66">
        <f>IF(31구역!D25="","",31구역!D25)</f>
        <v/>
      </c>
      <c r="D342" s="66">
        <f>IF(31구역!E25="","",31구역!E25)</f>
        <v/>
      </c>
      <c r="E342" s="66">
        <f>IF(31구역!F25="","",31구역!F25)</f>
        <v/>
      </c>
      <c r="F342" s="66">
        <f>IF(31구역!G25="","",31구역!G25)</f>
        <v/>
      </c>
      <c r="G342" s="66">
        <f>IF(31구역!H25="","",31구역!H25)</f>
        <v/>
      </c>
      <c r="H342" s="66">
        <f>IF(31구역!I25="","",31구역!I25)</f>
        <v/>
      </c>
      <c r="I342" s="66">
        <f>IF(31구역!J25="","",31구역!J25)</f>
        <v/>
      </c>
      <c r="J342" s="66">
        <f>IF(31구역!K25="","",31구역!K25)</f>
        <v/>
      </c>
      <c r="K342" s="66">
        <f>IF(31구역!L25="","",31구역!L25)</f>
        <v/>
      </c>
      <c r="L342" s="66">
        <f>IF(31구역!M25="","",31구역!M25)</f>
        <v/>
      </c>
      <c r="M342" s="66">
        <f>IF(31구역!N25="","",31구역!N25)</f>
        <v/>
      </c>
    </row>
    <row r="343" ht="15" customHeight="1" s="33">
      <c r="A343" s="66">
        <f>IF(31구역!B26="","",31구역!B26)</f>
        <v/>
      </c>
      <c r="B343" s="66">
        <f>IF(31구역!C26="","",31구역!C26)</f>
        <v/>
      </c>
      <c r="C343" s="66">
        <f>IF(31구역!D26="","",31구역!D26)</f>
        <v/>
      </c>
      <c r="D343" s="66">
        <f>IF(31구역!E26="","",31구역!E26)</f>
        <v/>
      </c>
      <c r="E343" s="66">
        <f>IF(31구역!F26="","",31구역!F26)</f>
        <v/>
      </c>
      <c r="F343" s="66">
        <f>IF(31구역!G26="","",31구역!G26)</f>
        <v/>
      </c>
      <c r="G343" s="66">
        <f>IF(31구역!H26="","",31구역!H26)</f>
        <v/>
      </c>
      <c r="H343" s="66">
        <f>IF(31구역!I26="","",31구역!I26)</f>
        <v/>
      </c>
      <c r="I343" s="66">
        <f>IF(31구역!J26="","",31구역!J26)</f>
        <v/>
      </c>
      <c r="J343" s="66">
        <f>IF(31구역!K26="","",31구역!K26)</f>
        <v/>
      </c>
      <c r="K343" s="66">
        <f>IF(31구역!L26="","",31구역!L26)</f>
        <v/>
      </c>
      <c r="L343" s="66">
        <f>IF(31구역!M26="","",31구역!M26)</f>
        <v/>
      </c>
      <c r="M343" s="66">
        <f>IF(31구역!N26="","",31구역!N26)</f>
        <v/>
      </c>
    </row>
    <row r="344" ht="15" customHeight="1" s="33">
      <c r="A344" s="66">
        <f>IF(31구역!B27="","",31구역!B27)</f>
        <v/>
      </c>
      <c r="B344" s="66">
        <f>IF(31구역!C27="","",31구역!C27)</f>
        <v/>
      </c>
      <c r="C344" s="66">
        <f>IF(31구역!D27="","",31구역!D27)</f>
        <v/>
      </c>
      <c r="D344" s="66">
        <f>IF(31구역!E27="","",31구역!E27)</f>
        <v/>
      </c>
      <c r="E344" s="66">
        <f>IF(31구역!F27="","",31구역!F27)</f>
        <v/>
      </c>
      <c r="F344" s="66">
        <f>IF(31구역!G27="","",31구역!G27)</f>
        <v/>
      </c>
      <c r="G344" s="66">
        <f>IF(31구역!H27="","",31구역!H27)</f>
        <v/>
      </c>
      <c r="H344" s="66">
        <f>IF(31구역!I27="","",31구역!I27)</f>
        <v/>
      </c>
      <c r="I344" s="66">
        <f>IF(31구역!J27="","",31구역!J27)</f>
        <v/>
      </c>
      <c r="J344" s="66">
        <f>IF(31구역!K27="","",31구역!K27)</f>
        <v/>
      </c>
      <c r="K344" s="66">
        <f>IF(31구역!L27="","",31구역!L27)</f>
        <v/>
      </c>
      <c r="L344" s="66">
        <f>IF(31구역!M27="","",31구역!M27)</f>
        <v/>
      </c>
      <c r="M344" s="66">
        <f>IF(31구역!N27="","",31구역!N27)</f>
        <v/>
      </c>
    </row>
    <row r="345" ht="15" customHeight="1" s="33">
      <c r="A345" s="66">
        <f>IF(31구역!B28="","",31구역!B28)</f>
        <v/>
      </c>
      <c r="B345" s="66">
        <f>IF(31구역!C28="","",31구역!C28)</f>
        <v/>
      </c>
      <c r="C345" s="66">
        <f>IF(31구역!D28="","",31구역!D28)</f>
        <v/>
      </c>
      <c r="D345" s="66">
        <f>IF(31구역!E28="","",31구역!E28)</f>
        <v/>
      </c>
      <c r="E345" s="66">
        <f>IF(31구역!F28="","",31구역!F28)</f>
        <v/>
      </c>
      <c r="F345" s="66">
        <f>IF(31구역!G28="","",31구역!G28)</f>
        <v/>
      </c>
      <c r="G345" s="66">
        <f>IF(31구역!H28="","",31구역!H28)</f>
        <v/>
      </c>
      <c r="H345" s="66">
        <f>IF(31구역!I28="","",31구역!I28)</f>
        <v/>
      </c>
      <c r="I345" s="66">
        <f>IF(31구역!J28="","",31구역!J28)</f>
        <v/>
      </c>
      <c r="J345" s="66">
        <f>IF(31구역!K28="","",31구역!K28)</f>
        <v/>
      </c>
      <c r="K345" s="66">
        <f>IF(31구역!L28="","",31구역!L28)</f>
        <v/>
      </c>
      <c r="L345" s="66">
        <f>IF(31구역!M28="","",31구역!M28)</f>
        <v/>
      </c>
      <c r="M345" s="66">
        <f>IF(31구역!N28="","",31구역!N28)</f>
        <v/>
      </c>
    </row>
    <row r="346" ht="15" customHeight="1" s="33">
      <c r="A346" s="66">
        <f>IF(31구역!B29="","",31구역!B29)</f>
        <v/>
      </c>
      <c r="B346" s="66">
        <f>IF(31구역!C29="","",31구역!C29)</f>
        <v/>
      </c>
      <c r="C346" s="66">
        <f>IF(31구역!D29="","",31구역!D29)</f>
        <v/>
      </c>
      <c r="D346" s="66">
        <f>IF(31구역!E29="","",31구역!E29)</f>
        <v/>
      </c>
      <c r="E346" s="66">
        <f>IF(31구역!F29="","",31구역!F29)</f>
        <v/>
      </c>
      <c r="F346" s="66">
        <f>IF(31구역!G29="","",31구역!G29)</f>
        <v/>
      </c>
      <c r="G346" s="66">
        <f>IF(31구역!H29="","",31구역!H29)</f>
        <v/>
      </c>
      <c r="H346" s="66">
        <f>IF(31구역!I29="","",31구역!I29)</f>
        <v/>
      </c>
      <c r="I346" s="66">
        <f>IF(31구역!J29="","",31구역!J29)</f>
        <v/>
      </c>
      <c r="J346" s="66">
        <f>IF(31구역!K29="","",31구역!K29)</f>
        <v/>
      </c>
      <c r="K346" s="66">
        <f>IF(31구역!L29="","",31구역!L29)</f>
        <v/>
      </c>
      <c r="L346" s="66">
        <f>IF(31구역!M29="","",31구역!M29)</f>
        <v/>
      </c>
      <c r="M346" s="66">
        <f>IF(31구역!N29="","",31구역!N29)</f>
        <v/>
      </c>
    </row>
    <row r="347" ht="15" customHeight="1" s="33">
      <c r="A347" s="66">
        <f>IF(31구역!B30="","",31구역!B30)</f>
        <v/>
      </c>
      <c r="B347" s="66">
        <f>IF(31구역!C30="","",31구역!C30)</f>
        <v/>
      </c>
      <c r="C347" s="66">
        <f>IF(31구역!D30="","",31구역!D30)</f>
        <v/>
      </c>
      <c r="D347" s="66">
        <f>IF(31구역!E30="","",31구역!E30)</f>
        <v/>
      </c>
      <c r="E347" s="66">
        <f>IF(31구역!F30="","",31구역!F30)</f>
        <v/>
      </c>
      <c r="F347" s="66">
        <f>IF(31구역!G30="","",31구역!G30)</f>
        <v/>
      </c>
      <c r="G347" s="66">
        <f>IF(31구역!H30="","",31구역!H30)</f>
        <v/>
      </c>
      <c r="H347" s="66">
        <f>IF(31구역!I30="","",31구역!I30)</f>
        <v/>
      </c>
      <c r="I347" s="66">
        <f>IF(31구역!J30="","",31구역!J30)</f>
        <v/>
      </c>
      <c r="J347" s="66">
        <f>IF(31구역!K30="","",31구역!K30)</f>
        <v/>
      </c>
      <c r="K347" s="66">
        <f>IF(31구역!L30="","",31구역!L30)</f>
        <v/>
      </c>
      <c r="L347" s="66">
        <f>IF(31구역!M30="","",31구역!M30)</f>
        <v/>
      </c>
      <c r="M347" s="66">
        <f>IF(31구역!N30="","",31구역!N30)</f>
        <v/>
      </c>
    </row>
    <row r="348" ht="15" customHeight="1" s="33">
      <c r="A348" s="66">
        <f>IF(31구역!B31="","",31구역!B31)</f>
        <v/>
      </c>
      <c r="B348" s="66">
        <f>IF(31구역!C31="","",31구역!C31)</f>
        <v/>
      </c>
      <c r="C348" s="66">
        <f>IF(31구역!D31="","",31구역!D31)</f>
        <v/>
      </c>
      <c r="D348" s="66">
        <f>IF(31구역!E31="","",31구역!E31)</f>
        <v/>
      </c>
      <c r="E348" s="66">
        <f>IF(31구역!F31="","",31구역!F31)</f>
        <v/>
      </c>
      <c r="F348" s="66">
        <f>IF(31구역!G31="","",31구역!G31)</f>
        <v/>
      </c>
      <c r="G348" s="66">
        <f>IF(31구역!H31="","",31구역!H31)</f>
        <v/>
      </c>
      <c r="H348" s="66">
        <f>IF(31구역!I31="","",31구역!I31)</f>
        <v/>
      </c>
      <c r="I348" s="66">
        <f>IF(31구역!J31="","",31구역!J31)</f>
        <v/>
      </c>
      <c r="J348" s="66">
        <f>IF(31구역!K31="","",31구역!K31)</f>
        <v/>
      </c>
      <c r="K348" s="66">
        <f>IF(31구역!L31="","",31구역!L31)</f>
        <v/>
      </c>
      <c r="L348" s="66">
        <f>IF(31구역!M31="","",31구역!M31)</f>
        <v/>
      </c>
      <c r="M348" s="66">
        <f>IF(31구역!N31="","",31구역!N31)</f>
        <v/>
      </c>
    </row>
    <row r="349" ht="15" customHeight="1" s="33">
      <c r="A349" s="66">
        <f>IF(31구역!B32="","",31구역!B32)</f>
        <v/>
      </c>
      <c r="B349" s="66">
        <f>IF(31구역!C32="","",31구역!C32)</f>
        <v/>
      </c>
      <c r="C349" s="66">
        <f>IF(31구역!D32="","",31구역!D32)</f>
        <v/>
      </c>
      <c r="D349" s="66">
        <f>IF(31구역!E32="","",31구역!E32)</f>
        <v/>
      </c>
      <c r="E349" s="66">
        <f>IF(31구역!F32="","",31구역!F32)</f>
        <v/>
      </c>
      <c r="F349" s="66">
        <f>IF(31구역!G32="","",31구역!G32)</f>
        <v/>
      </c>
      <c r="G349" s="66">
        <f>IF(31구역!H32="","",31구역!H32)</f>
        <v/>
      </c>
      <c r="H349" s="66">
        <f>IF(31구역!I32="","",31구역!I32)</f>
        <v/>
      </c>
      <c r="I349" s="66">
        <f>IF(31구역!J32="","",31구역!J32)</f>
        <v/>
      </c>
      <c r="J349" s="66">
        <f>IF(31구역!K32="","",31구역!K32)</f>
        <v/>
      </c>
      <c r="K349" s="66">
        <f>IF(31구역!L32="","",31구역!L32)</f>
        <v/>
      </c>
      <c r="L349" s="66">
        <f>IF(31구역!M32="","",31구역!M32)</f>
        <v/>
      </c>
      <c r="M349" s="66">
        <f>IF(31구역!N32="","",31구역!N32)</f>
        <v/>
      </c>
    </row>
    <row r="350" ht="15" customHeight="1" s="33">
      <c r="A350" s="66">
        <f>IF(31구역!B33="","",31구역!B33)</f>
        <v/>
      </c>
      <c r="B350" s="66">
        <f>IF(31구역!C33="","",31구역!C33)</f>
        <v/>
      </c>
      <c r="C350" s="66">
        <f>IF(31구역!D33="","",31구역!D33)</f>
        <v/>
      </c>
      <c r="D350" s="66">
        <f>IF(31구역!E33="","",31구역!E33)</f>
        <v/>
      </c>
      <c r="E350" s="66">
        <f>IF(31구역!F33="","",31구역!F33)</f>
        <v/>
      </c>
      <c r="F350" s="66">
        <f>IF(31구역!G33="","",31구역!G33)</f>
        <v/>
      </c>
      <c r="G350" s="66">
        <f>IF(31구역!H33="","",31구역!H33)</f>
        <v/>
      </c>
      <c r="H350" s="66">
        <f>IF(31구역!I33="","",31구역!I33)</f>
        <v/>
      </c>
      <c r="I350" s="66">
        <f>IF(31구역!J33="","",31구역!J33)</f>
        <v/>
      </c>
      <c r="J350" s="66">
        <f>IF(31구역!K33="","",31구역!K33)</f>
        <v/>
      </c>
      <c r="K350" s="66">
        <f>IF(31구역!L33="","",31구역!L33)</f>
        <v/>
      </c>
      <c r="L350" s="66">
        <f>IF(31구역!M33="","",31구역!M33)</f>
        <v/>
      </c>
      <c r="M350" s="66">
        <f>IF(31구역!N33="","",31구역!N33)</f>
        <v/>
      </c>
    </row>
    <row r="351" ht="15" customHeight="1" s="33">
      <c r="A351" s="66">
        <f>IF(31구역!B34="","",31구역!B34)</f>
        <v/>
      </c>
      <c r="B351" s="66">
        <f>IF(31구역!C34="","",31구역!C34)</f>
        <v/>
      </c>
      <c r="C351" s="66">
        <f>IF(31구역!D34="","",31구역!D34)</f>
        <v/>
      </c>
      <c r="D351" s="66">
        <f>IF(31구역!E34="","",31구역!E34)</f>
        <v/>
      </c>
      <c r="E351" s="66">
        <f>IF(31구역!F34="","",31구역!F34)</f>
        <v/>
      </c>
      <c r="F351" s="66">
        <f>IF(31구역!G34="","",31구역!G34)</f>
        <v/>
      </c>
      <c r="G351" s="66">
        <f>IF(31구역!H34="","",31구역!H34)</f>
        <v/>
      </c>
      <c r="H351" s="66">
        <f>IF(31구역!I34="","",31구역!I34)</f>
        <v/>
      </c>
      <c r="I351" s="66">
        <f>IF(31구역!J34="","",31구역!J34)</f>
        <v/>
      </c>
      <c r="J351" s="66">
        <f>IF(31구역!K34="","",31구역!K34)</f>
        <v/>
      </c>
      <c r="K351" s="66">
        <f>IF(31구역!L34="","",31구역!L34)</f>
        <v/>
      </c>
      <c r="L351" s="66">
        <f>IF(31구역!M34="","",31구역!M34)</f>
        <v/>
      </c>
      <c r="M351" s="66">
        <f>IF(31구역!N34="","",31구역!N34)</f>
        <v/>
      </c>
    </row>
    <row r="352" ht="15" customHeight="1" s="33">
      <c r="A352" s="66">
        <f>IF(31구역!B35="","",31구역!B35)</f>
        <v/>
      </c>
      <c r="B352" s="66">
        <f>IF(31구역!C35="","",31구역!C35)</f>
        <v/>
      </c>
      <c r="C352" s="66">
        <f>IF(31구역!D35="","",31구역!D35)</f>
        <v/>
      </c>
      <c r="D352" s="66">
        <f>IF(31구역!E35="","",31구역!E35)</f>
        <v/>
      </c>
      <c r="E352" s="66">
        <f>IF(31구역!F35="","",31구역!F35)</f>
        <v/>
      </c>
      <c r="F352" s="66">
        <f>IF(31구역!G35="","",31구역!G35)</f>
        <v/>
      </c>
      <c r="G352" s="66">
        <f>IF(31구역!H35="","",31구역!H35)</f>
        <v/>
      </c>
      <c r="H352" s="66">
        <f>IF(31구역!I35="","",31구역!I35)</f>
        <v/>
      </c>
      <c r="I352" s="66">
        <f>IF(31구역!J35="","",31구역!J35)</f>
        <v/>
      </c>
      <c r="J352" s="66">
        <f>IF(31구역!K35="","",31구역!K35)</f>
        <v/>
      </c>
      <c r="K352" s="66">
        <f>IF(31구역!L35="","",31구역!L35)</f>
        <v/>
      </c>
      <c r="L352" s="66">
        <f>IF(31구역!M35="","",31구역!M35)</f>
        <v/>
      </c>
      <c r="M352" s="66">
        <f>IF(31구역!N35="","",31구역!N35)</f>
        <v/>
      </c>
    </row>
    <row r="353" ht="15" customHeight="1" s="33">
      <c r="A353" s="66">
        <f>IF(31구역!B36="","",31구역!B36)</f>
        <v/>
      </c>
      <c r="B353" s="66">
        <f>IF(31구역!C36="","",31구역!C36)</f>
        <v/>
      </c>
      <c r="C353" s="66">
        <f>IF(31구역!D36="","",31구역!D36)</f>
        <v/>
      </c>
      <c r="D353" s="66">
        <f>IF(31구역!E36="","",31구역!E36)</f>
        <v/>
      </c>
      <c r="E353" s="66">
        <f>IF(31구역!F36="","",31구역!F36)</f>
        <v/>
      </c>
      <c r="F353" s="66">
        <f>IF(31구역!G36="","",31구역!G36)</f>
        <v/>
      </c>
      <c r="G353" s="66">
        <f>IF(31구역!H36="","",31구역!H36)</f>
        <v/>
      </c>
      <c r="H353" s="66">
        <f>IF(31구역!I36="","",31구역!I36)</f>
        <v/>
      </c>
      <c r="I353" s="66">
        <f>IF(31구역!J36="","",31구역!J36)</f>
        <v/>
      </c>
      <c r="J353" s="66">
        <f>IF(31구역!K36="","",31구역!K36)</f>
        <v/>
      </c>
      <c r="K353" s="66">
        <f>IF(31구역!L36="","",31구역!L36)</f>
        <v/>
      </c>
      <c r="L353" s="66">
        <f>IF(31구역!M36="","",31구역!M36)</f>
        <v/>
      </c>
      <c r="M353" s="66">
        <f>IF(31구역!N36="","",31구역!N36)</f>
        <v/>
      </c>
    </row>
    <row r="354" ht="15" customHeight="1" s="33">
      <c r="A354" s="66">
        <f>IF(31구역!B37="","",31구역!B37)</f>
        <v/>
      </c>
      <c r="B354" s="66">
        <f>IF(31구역!C37="","",31구역!C37)</f>
        <v/>
      </c>
      <c r="C354" s="66">
        <f>IF(31구역!D37="","",31구역!D37)</f>
        <v/>
      </c>
      <c r="D354" s="66">
        <f>IF(31구역!E37="","",31구역!E37)</f>
        <v/>
      </c>
      <c r="E354" s="66">
        <f>IF(31구역!F37="","",31구역!F37)</f>
        <v/>
      </c>
      <c r="F354" s="66">
        <f>IF(31구역!G37="","",31구역!G37)</f>
        <v/>
      </c>
      <c r="G354" s="66">
        <f>IF(31구역!H37="","",31구역!H37)</f>
        <v/>
      </c>
      <c r="H354" s="66">
        <f>IF(31구역!I37="","",31구역!I37)</f>
        <v/>
      </c>
      <c r="I354" s="66">
        <f>IF(31구역!J37="","",31구역!J37)</f>
        <v/>
      </c>
      <c r="J354" s="66">
        <f>IF(31구역!K37="","",31구역!K37)</f>
        <v/>
      </c>
      <c r="K354" s="66">
        <f>IF(31구역!L37="","",31구역!L37)</f>
        <v/>
      </c>
      <c r="L354" s="66">
        <f>IF(31구역!M37="","",31구역!M37)</f>
        <v/>
      </c>
      <c r="M354" s="66">
        <f>IF(31구역!N37="","",31구역!N37)</f>
        <v/>
      </c>
    </row>
    <row r="355" ht="15" customHeight="1" s="33">
      <c r="A355" s="66">
        <f>IF(31구역!B38="","",31구역!B38)</f>
        <v/>
      </c>
      <c r="B355" s="66">
        <f>IF(31구역!C38="","",31구역!C38)</f>
        <v/>
      </c>
      <c r="C355" s="66">
        <f>IF(31구역!D38="","",31구역!D38)</f>
        <v/>
      </c>
      <c r="D355" s="66">
        <f>IF(31구역!E38="","",31구역!E38)</f>
        <v/>
      </c>
      <c r="E355" s="66">
        <f>IF(31구역!F38="","",31구역!F38)</f>
        <v/>
      </c>
      <c r="F355" s="66">
        <f>IF(31구역!G38="","",31구역!G38)</f>
        <v/>
      </c>
      <c r="G355" s="66">
        <f>IF(31구역!H38="","",31구역!H38)</f>
        <v/>
      </c>
      <c r="H355" s="66">
        <f>IF(31구역!I38="","",31구역!I38)</f>
        <v/>
      </c>
      <c r="I355" s="66">
        <f>IF(31구역!J38="","",31구역!J38)</f>
        <v/>
      </c>
      <c r="J355" s="66">
        <f>IF(31구역!K38="","",31구역!K38)</f>
        <v/>
      </c>
      <c r="K355" s="66">
        <f>IF(31구역!L38="","",31구역!L38)</f>
        <v/>
      </c>
      <c r="L355" s="66">
        <f>IF(31구역!M38="","",31구역!M38)</f>
        <v/>
      </c>
      <c r="M355" s="66">
        <f>IF(31구역!N38="","",31구역!N38)</f>
        <v/>
      </c>
    </row>
    <row r="356" ht="15" customHeight="1" s="33">
      <c r="A356" s="66">
        <f>IF(31구역!B39="","",31구역!B39)</f>
        <v/>
      </c>
      <c r="B356" s="66">
        <f>IF(31구역!C39="","",31구역!C39)</f>
        <v/>
      </c>
      <c r="C356" s="66">
        <f>IF(31구역!D39="","",31구역!D39)</f>
        <v/>
      </c>
      <c r="D356" s="66">
        <f>IF(31구역!E39="","",31구역!E39)</f>
        <v/>
      </c>
      <c r="E356" s="66">
        <f>IF(31구역!F39="","",31구역!F39)</f>
        <v/>
      </c>
      <c r="F356" s="66">
        <f>IF(31구역!G39="","",31구역!G39)</f>
        <v/>
      </c>
      <c r="G356" s="66">
        <f>IF(31구역!H39="","",31구역!H39)</f>
        <v/>
      </c>
      <c r="H356" s="66">
        <f>IF(31구역!I39="","",31구역!I39)</f>
        <v/>
      </c>
      <c r="I356" s="66">
        <f>IF(31구역!J39="","",31구역!J39)</f>
        <v/>
      </c>
      <c r="J356" s="66">
        <f>IF(31구역!K39="","",31구역!K39)</f>
        <v/>
      </c>
      <c r="K356" s="66">
        <f>IF(31구역!L39="","",31구역!L39)</f>
        <v/>
      </c>
      <c r="L356" s="66">
        <f>IF(31구역!M39="","",31구역!M39)</f>
        <v/>
      </c>
      <c r="M356" s="66">
        <f>IF(31구역!N39="","",31구역!N39)</f>
        <v/>
      </c>
    </row>
    <row r="357" ht="15" customHeight="1" s="33">
      <c r="A357" s="66">
        <f>IF(31구역!B40="","",31구역!B40)</f>
        <v/>
      </c>
      <c r="B357" s="66">
        <f>IF(31구역!C40="","",31구역!C40)</f>
        <v/>
      </c>
      <c r="C357" s="66">
        <f>IF(31구역!D40="","",31구역!D40)</f>
        <v/>
      </c>
      <c r="D357" s="66">
        <f>IF(31구역!E40="","",31구역!E40)</f>
        <v/>
      </c>
      <c r="E357" s="66">
        <f>IF(31구역!F40="","",31구역!F40)</f>
        <v/>
      </c>
      <c r="F357" s="66">
        <f>IF(31구역!G40="","",31구역!G40)</f>
        <v/>
      </c>
      <c r="G357" s="66">
        <f>IF(31구역!H40="","",31구역!H40)</f>
        <v/>
      </c>
      <c r="H357" s="66">
        <f>IF(31구역!I40="","",31구역!I40)</f>
        <v/>
      </c>
      <c r="I357" s="66">
        <f>IF(31구역!J40="","",31구역!J40)</f>
        <v/>
      </c>
      <c r="J357" s="66">
        <f>IF(31구역!K40="","",31구역!K40)</f>
        <v/>
      </c>
      <c r="K357" s="66">
        <f>IF(31구역!L40="","",31구역!L40)</f>
        <v/>
      </c>
      <c r="L357" s="66">
        <f>IF(31구역!M40="","",31구역!M40)</f>
        <v/>
      </c>
      <c r="M357" s="66">
        <f>IF(31구역!N40="","",31구역!N40)</f>
        <v/>
      </c>
    </row>
    <row r="358" ht="15" customHeight="1" s="33">
      <c r="A358" s="66">
        <f>IF(31구역!B41="","",31구역!B41)</f>
        <v/>
      </c>
      <c r="B358" s="66">
        <f>IF(31구역!C41="","",31구역!C41)</f>
        <v/>
      </c>
      <c r="C358" s="66">
        <f>IF(31구역!D41="","",31구역!D41)</f>
        <v/>
      </c>
      <c r="D358" s="66">
        <f>IF(31구역!E41="","",31구역!E41)</f>
        <v/>
      </c>
      <c r="E358" s="66">
        <f>IF(31구역!F41="","",31구역!F41)</f>
        <v/>
      </c>
      <c r="F358" s="66">
        <f>IF(31구역!G41="","",31구역!G41)</f>
        <v/>
      </c>
      <c r="G358" s="66">
        <f>IF(31구역!H41="","",31구역!H41)</f>
        <v/>
      </c>
      <c r="H358" s="66">
        <f>IF(31구역!I41="","",31구역!I41)</f>
        <v/>
      </c>
      <c r="I358" s="66">
        <f>IF(31구역!J41="","",31구역!J41)</f>
        <v/>
      </c>
      <c r="J358" s="66">
        <f>IF(31구역!K41="","",31구역!K41)</f>
        <v/>
      </c>
      <c r="K358" s="66">
        <f>IF(31구역!L41="","",31구역!L41)</f>
        <v/>
      </c>
      <c r="L358" s="66">
        <f>IF(31구역!M41="","",31구역!M41)</f>
        <v/>
      </c>
      <c r="M358" s="66">
        <f>IF(31구역!N41="","",31구역!N41)</f>
        <v/>
      </c>
    </row>
    <row r="359" ht="15" customHeight="1" s="33">
      <c r="A359" s="66">
        <f>IF(31구역!B42="","",31구역!B42)</f>
        <v/>
      </c>
      <c r="B359" s="66">
        <f>IF(31구역!C42="","",31구역!C42)</f>
        <v/>
      </c>
      <c r="C359" s="66">
        <f>IF(31구역!D42="","",31구역!D42)</f>
        <v/>
      </c>
      <c r="D359" s="66">
        <f>IF(31구역!E42="","",31구역!E42)</f>
        <v/>
      </c>
      <c r="E359" s="66">
        <f>IF(31구역!F42="","",31구역!F42)</f>
        <v/>
      </c>
      <c r="F359" s="66">
        <f>IF(31구역!G42="","",31구역!G42)</f>
        <v/>
      </c>
      <c r="G359" s="66">
        <f>IF(31구역!H42="","",31구역!H42)</f>
        <v/>
      </c>
      <c r="H359" s="66">
        <f>IF(31구역!I42="","",31구역!I42)</f>
        <v/>
      </c>
      <c r="I359" s="66">
        <f>IF(31구역!J42="","",31구역!J42)</f>
        <v/>
      </c>
      <c r="J359" s="66">
        <f>IF(31구역!K42="","",31구역!K42)</f>
        <v/>
      </c>
      <c r="K359" s="66">
        <f>IF(31구역!L42="","",31구역!L42)</f>
        <v/>
      </c>
      <c r="L359" s="66">
        <f>IF(31구역!M42="","",31구역!M42)</f>
        <v/>
      </c>
      <c r="M359" s="66">
        <f>IF(31구역!N42="","",31구역!N42)</f>
        <v/>
      </c>
    </row>
    <row r="360" ht="15" customHeight="1" s="33">
      <c r="A360" s="66">
        <f>IF(31구역!B43="","",31구역!B43)</f>
        <v/>
      </c>
      <c r="B360" s="66">
        <f>IF(31구역!C43="","",31구역!C43)</f>
        <v/>
      </c>
      <c r="C360" s="66">
        <f>IF(31구역!D43="","",31구역!D43)</f>
        <v/>
      </c>
      <c r="D360" s="66">
        <f>IF(31구역!E43="","",31구역!E43)</f>
        <v/>
      </c>
      <c r="E360" s="66">
        <f>IF(31구역!F43="","",31구역!F43)</f>
        <v/>
      </c>
      <c r="F360" s="66">
        <f>IF(31구역!G43="","",31구역!G43)</f>
        <v/>
      </c>
      <c r="G360" s="66">
        <f>IF(31구역!H43="","",31구역!H43)</f>
        <v/>
      </c>
      <c r="H360" s="66">
        <f>IF(31구역!I43="","",31구역!I43)</f>
        <v/>
      </c>
      <c r="I360" s="66">
        <f>IF(31구역!J43="","",31구역!J43)</f>
        <v/>
      </c>
      <c r="J360" s="66">
        <f>IF(31구역!K43="","",31구역!K43)</f>
        <v/>
      </c>
      <c r="K360" s="66">
        <f>IF(31구역!L43="","",31구역!L43)</f>
        <v/>
      </c>
      <c r="L360" s="66">
        <f>IF(31구역!M43="","",31구역!M43)</f>
        <v/>
      </c>
      <c r="M360" s="66">
        <f>IF(31구역!N43="","",31구역!N43)</f>
        <v/>
      </c>
    </row>
    <row r="361" ht="15" customHeight="1" s="33">
      <c r="A361" s="66">
        <f>IF(32구역!B4="","",32구역!B4)</f>
        <v/>
      </c>
      <c r="B361" s="66">
        <f>IF(32구역!C4="","",32구역!C4)</f>
        <v/>
      </c>
      <c r="C361" s="66">
        <f>IF(32구역!D4="","",32구역!D4)</f>
        <v/>
      </c>
      <c r="D361" s="66">
        <f>IF(32구역!E4="","",32구역!E4)</f>
        <v/>
      </c>
      <c r="E361" s="66">
        <f>IF(32구역!F4="","",32구역!F4)</f>
        <v/>
      </c>
      <c r="F361" s="66">
        <f>IF(32구역!G4="","",32구역!G4)</f>
        <v/>
      </c>
      <c r="G361" s="66">
        <f>IF(32구역!H4="","",32구역!H4)</f>
        <v/>
      </c>
      <c r="H361" s="66">
        <f>IF(32구역!I4="","",32구역!I4)</f>
        <v/>
      </c>
      <c r="I361" s="66">
        <f>IF(32구역!J4="","",32구역!J4)</f>
        <v/>
      </c>
      <c r="J361" s="66">
        <f>IF(32구역!K4="","",32구역!K4)</f>
        <v/>
      </c>
      <c r="K361" s="66">
        <f>IF(32구역!L4="","",32구역!L4)</f>
        <v/>
      </c>
      <c r="L361" s="66">
        <f>IF(32구역!M4="","",32구역!M4)</f>
        <v/>
      </c>
      <c r="M361" s="66">
        <f>IF(32구역!N4="","",32구역!N4)</f>
        <v/>
      </c>
    </row>
    <row r="362" ht="15" customHeight="1" s="33">
      <c r="A362" s="66">
        <f>IF(32구역!B5="","",32구역!B5)</f>
        <v/>
      </c>
      <c r="B362" s="66">
        <f>IF(32구역!C5="","",32구역!C5)</f>
        <v/>
      </c>
      <c r="C362" s="66">
        <f>IF(32구역!D5="","",32구역!D5)</f>
        <v/>
      </c>
      <c r="D362" s="66">
        <f>IF(32구역!E5="","",32구역!E5)</f>
        <v/>
      </c>
      <c r="E362" s="66">
        <f>IF(32구역!F5="","",32구역!F5)</f>
        <v/>
      </c>
      <c r="F362" s="66">
        <f>IF(32구역!G5="","",32구역!G5)</f>
        <v/>
      </c>
      <c r="G362" s="66">
        <f>IF(32구역!H5="","",32구역!H5)</f>
        <v/>
      </c>
      <c r="H362" s="66">
        <f>IF(32구역!I5="","",32구역!I5)</f>
        <v/>
      </c>
      <c r="I362" s="66">
        <f>IF(32구역!J5="","",32구역!J5)</f>
        <v/>
      </c>
      <c r="J362" s="66">
        <f>IF(32구역!K5="","",32구역!K5)</f>
        <v/>
      </c>
      <c r="K362" s="66">
        <f>IF(32구역!L5="","",32구역!L5)</f>
        <v/>
      </c>
      <c r="L362" s="66">
        <f>IF(32구역!M5="","",32구역!M5)</f>
        <v/>
      </c>
      <c r="M362" s="66">
        <f>IF(32구역!N5="","",32구역!N5)</f>
        <v/>
      </c>
    </row>
    <row r="363" ht="15" customHeight="1" s="33">
      <c r="A363" s="66">
        <f>IF(32구역!B6="","",32구역!B6)</f>
        <v/>
      </c>
      <c r="B363" s="66">
        <f>IF(32구역!C6="","",32구역!C6)</f>
        <v/>
      </c>
      <c r="C363" s="66">
        <f>IF(32구역!D6="","",32구역!D6)</f>
        <v/>
      </c>
      <c r="D363" s="66">
        <f>IF(32구역!E6="","",32구역!E6)</f>
        <v/>
      </c>
      <c r="E363" s="66">
        <f>IF(32구역!F6="","",32구역!F6)</f>
        <v/>
      </c>
      <c r="F363" s="66">
        <f>IF(32구역!G6="","",32구역!G6)</f>
        <v/>
      </c>
      <c r="G363" s="66">
        <f>IF(32구역!H6="","",32구역!H6)</f>
        <v/>
      </c>
      <c r="H363" s="66">
        <f>IF(32구역!I6="","",32구역!I6)</f>
        <v/>
      </c>
      <c r="I363" s="66">
        <f>IF(32구역!J6="","",32구역!J6)</f>
        <v/>
      </c>
      <c r="J363" s="66">
        <f>IF(32구역!K6="","",32구역!K6)</f>
        <v/>
      </c>
      <c r="K363" s="66">
        <f>IF(32구역!L6="","",32구역!L6)</f>
        <v/>
      </c>
      <c r="L363" s="66">
        <f>IF(32구역!M6="","",32구역!M6)</f>
        <v/>
      </c>
      <c r="M363" s="66">
        <f>IF(32구역!N6="","",32구역!N6)</f>
        <v/>
      </c>
    </row>
    <row r="364" ht="15" customHeight="1" s="33">
      <c r="A364" s="66">
        <f>IF(32구역!B7="","",32구역!B7)</f>
        <v/>
      </c>
      <c r="B364" s="66">
        <f>IF(32구역!C7="","",32구역!C7)</f>
        <v/>
      </c>
      <c r="C364" s="66">
        <f>IF(32구역!D7="","",32구역!D7)</f>
        <v/>
      </c>
      <c r="D364" s="66">
        <f>IF(32구역!E7="","",32구역!E7)</f>
        <v/>
      </c>
      <c r="E364" s="66">
        <f>IF(32구역!F7="","",32구역!F7)</f>
        <v/>
      </c>
      <c r="F364" s="66">
        <f>IF(32구역!G7="","",32구역!G7)</f>
        <v/>
      </c>
      <c r="G364" s="66">
        <f>IF(32구역!H7="","",32구역!H7)</f>
        <v/>
      </c>
      <c r="H364" s="66">
        <f>IF(32구역!I7="","",32구역!I7)</f>
        <v/>
      </c>
      <c r="I364" s="66">
        <f>IF(32구역!J7="","",32구역!J7)</f>
        <v/>
      </c>
      <c r="J364" s="66">
        <f>IF(32구역!K7="","",32구역!K7)</f>
        <v/>
      </c>
      <c r="K364" s="66">
        <f>IF(32구역!L7="","",32구역!L7)</f>
        <v/>
      </c>
      <c r="L364" s="66">
        <f>IF(32구역!M7="","",32구역!M7)</f>
        <v/>
      </c>
      <c r="M364" s="66">
        <f>IF(32구역!N7="","",32구역!N7)</f>
        <v/>
      </c>
    </row>
    <row r="365" ht="15" customHeight="1" s="33">
      <c r="A365" s="66">
        <f>IF(32구역!B8="","",32구역!B8)</f>
        <v/>
      </c>
      <c r="B365" s="66">
        <f>IF(32구역!C8="","",32구역!C8)</f>
        <v/>
      </c>
      <c r="C365" s="66">
        <f>IF(32구역!D8="","",32구역!D8)</f>
        <v/>
      </c>
      <c r="D365" s="66">
        <f>IF(32구역!E8="","",32구역!E8)</f>
        <v/>
      </c>
      <c r="E365" s="66">
        <f>IF(32구역!F8="","",32구역!F8)</f>
        <v/>
      </c>
      <c r="F365" s="66">
        <f>IF(32구역!G8="","",32구역!G8)</f>
        <v/>
      </c>
      <c r="G365" s="66">
        <f>IF(32구역!H8="","",32구역!H8)</f>
        <v/>
      </c>
      <c r="H365" s="66">
        <f>IF(32구역!I8="","",32구역!I8)</f>
        <v/>
      </c>
      <c r="I365" s="66">
        <f>IF(32구역!J8="","",32구역!J8)</f>
        <v/>
      </c>
      <c r="J365" s="66">
        <f>IF(32구역!K8="","",32구역!K8)</f>
        <v/>
      </c>
      <c r="K365" s="66">
        <f>IF(32구역!L8="","",32구역!L8)</f>
        <v/>
      </c>
      <c r="L365" s="66">
        <f>IF(32구역!M8="","",32구역!M8)</f>
        <v/>
      </c>
      <c r="M365" s="66">
        <f>IF(32구역!N8="","",32구역!N8)</f>
        <v/>
      </c>
    </row>
    <row r="366" ht="15" customHeight="1" s="33">
      <c r="A366" s="66">
        <f>IF(32구역!B9="","",32구역!B9)</f>
        <v/>
      </c>
      <c r="B366" s="66">
        <f>IF(32구역!C9="","",32구역!C9)</f>
        <v/>
      </c>
      <c r="C366" s="66">
        <f>IF(32구역!D9="","",32구역!D9)</f>
        <v/>
      </c>
      <c r="D366" s="66">
        <f>IF(32구역!E9="","",32구역!E9)</f>
        <v/>
      </c>
      <c r="E366" s="66">
        <f>IF(32구역!F9="","",32구역!F9)</f>
        <v/>
      </c>
      <c r="F366" s="66">
        <f>IF(32구역!G9="","",32구역!G9)</f>
        <v/>
      </c>
      <c r="G366" s="66">
        <f>IF(32구역!H9="","",32구역!H9)</f>
        <v/>
      </c>
      <c r="H366" s="66">
        <f>IF(32구역!I9="","",32구역!I9)</f>
        <v/>
      </c>
      <c r="I366" s="66">
        <f>IF(32구역!J9="","",32구역!J9)</f>
        <v/>
      </c>
      <c r="J366" s="66">
        <f>IF(32구역!K9="","",32구역!K9)</f>
        <v/>
      </c>
      <c r="K366" s="66">
        <f>IF(32구역!L9="","",32구역!L9)</f>
        <v/>
      </c>
      <c r="L366" s="66">
        <f>IF(32구역!M9="","",32구역!M9)</f>
        <v/>
      </c>
      <c r="M366" s="66">
        <f>IF(32구역!N9="","",32구역!N9)</f>
        <v/>
      </c>
    </row>
    <row r="367" ht="15" customHeight="1" s="33">
      <c r="A367" s="66">
        <f>IF(32구역!B10="","",32구역!B10)</f>
        <v/>
      </c>
      <c r="B367" s="66">
        <f>IF(32구역!C10="","",32구역!C10)</f>
        <v/>
      </c>
      <c r="C367" s="66">
        <f>IF(32구역!D10="","",32구역!D10)</f>
        <v/>
      </c>
      <c r="D367" s="66">
        <f>IF(32구역!E10="","",32구역!E10)</f>
        <v/>
      </c>
      <c r="E367" s="66">
        <f>IF(32구역!F10="","",32구역!F10)</f>
        <v/>
      </c>
      <c r="F367" s="66">
        <f>IF(32구역!G10="","",32구역!G10)</f>
        <v/>
      </c>
      <c r="G367" s="66">
        <f>IF(32구역!H10="","",32구역!H10)</f>
        <v/>
      </c>
      <c r="H367" s="66">
        <f>IF(32구역!I10="","",32구역!I10)</f>
        <v/>
      </c>
      <c r="I367" s="66">
        <f>IF(32구역!J10="","",32구역!J10)</f>
        <v/>
      </c>
      <c r="J367" s="66">
        <f>IF(32구역!K10="","",32구역!K10)</f>
        <v/>
      </c>
      <c r="K367" s="66">
        <f>IF(32구역!L10="","",32구역!L10)</f>
        <v/>
      </c>
      <c r="L367" s="66">
        <f>IF(32구역!M10="","",32구역!M10)</f>
        <v/>
      </c>
      <c r="M367" s="66">
        <f>IF(32구역!N10="","",32구역!N10)</f>
        <v/>
      </c>
    </row>
    <row r="368" ht="15" customHeight="1" s="33">
      <c r="A368" s="66">
        <f>IF(32구역!B11="","",32구역!B11)</f>
        <v/>
      </c>
      <c r="B368" s="66">
        <f>IF(32구역!C11="","",32구역!C11)</f>
        <v/>
      </c>
      <c r="C368" s="66">
        <f>IF(32구역!D11="","",32구역!D11)</f>
        <v/>
      </c>
      <c r="D368" s="66">
        <f>IF(32구역!E11="","",32구역!E11)</f>
        <v/>
      </c>
      <c r="E368" s="66">
        <f>IF(32구역!F11="","",32구역!F11)</f>
        <v/>
      </c>
      <c r="F368" s="66">
        <f>IF(32구역!G11="","",32구역!G11)</f>
        <v/>
      </c>
      <c r="G368" s="66">
        <f>IF(32구역!H11="","",32구역!H11)</f>
        <v/>
      </c>
      <c r="H368" s="66">
        <f>IF(32구역!I11="","",32구역!I11)</f>
        <v/>
      </c>
      <c r="I368" s="66">
        <f>IF(32구역!J11="","",32구역!J11)</f>
        <v/>
      </c>
      <c r="J368" s="66">
        <f>IF(32구역!K11="","",32구역!K11)</f>
        <v/>
      </c>
      <c r="K368" s="66">
        <f>IF(32구역!L11="","",32구역!L11)</f>
        <v/>
      </c>
      <c r="L368" s="66">
        <f>IF(32구역!M11="","",32구역!M11)</f>
        <v/>
      </c>
      <c r="M368" s="66">
        <f>IF(32구역!N11="","",32구역!N11)</f>
        <v/>
      </c>
    </row>
    <row r="369" ht="15" customHeight="1" s="33">
      <c r="A369" s="66">
        <f>IF(32구역!B12="","",32구역!B12)</f>
        <v/>
      </c>
      <c r="B369" s="66">
        <f>IF(32구역!C12="","",32구역!C12)</f>
        <v/>
      </c>
      <c r="C369" s="66">
        <f>IF(32구역!D12="","",32구역!D12)</f>
        <v/>
      </c>
      <c r="D369" s="66">
        <f>IF(32구역!E12="","",32구역!E12)</f>
        <v/>
      </c>
      <c r="E369" s="66">
        <f>IF(32구역!F12="","",32구역!F12)</f>
        <v/>
      </c>
      <c r="F369" s="66">
        <f>IF(32구역!G12="","",32구역!G12)</f>
        <v/>
      </c>
      <c r="G369" s="66">
        <f>IF(32구역!H12="","",32구역!H12)</f>
        <v/>
      </c>
      <c r="H369" s="66">
        <f>IF(32구역!I12="","",32구역!I12)</f>
        <v/>
      </c>
      <c r="I369" s="66">
        <f>IF(32구역!J12="","",32구역!J12)</f>
        <v/>
      </c>
      <c r="J369" s="66">
        <f>IF(32구역!K12="","",32구역!K12)</f>
        <v/>
      </c>
      <c r="K369" s="66">
        <f>IF(32구역!L12="","",32구역!L12)</f>
        <v/>
      </c>
      <c r="L369" s="66">
        <f>IF(32구역!M12="","",32구역!M12)</f>
        <v/>
      </c>
      <c r="M369" s="66">
        <f>IF(32구역!N12="","",32구역!N12)</f>
        <v/>
      </c>
    </row>
    <row r="370" ht="15" customHeight="1" s="33">
      <c r="A370" s="66">
        <f>IF(32구역!B13="","",32구역!B13)</f>
        <v/>
      </c>
      <c r="B370" s="66">
        <f>IF(32구역!C13="","",32구역!C13)</f>
        <v/>
      </c>
      <c r="C370" s="66">
        <f>IF(32구역!D13="","",32구역!D13)</f>
        <v/>
      </c>
      <c r="D370" s="66">
        <f>IF(32구역!E13="","",32구역!E13)</f>
        <v/>
      </c>
      <c r="E370" s="66">
        <f>IF(32구역!F13="","",32구역!F13)</f>
        <v/>
      </c>
      <c r="F370" s="66">
        <f>IF(32구역!G13="","",32구역!G13)</f>
        <v/>
      </c>
      <c r="G370" s="66">
        <f>IF(32구역!H13="","",32구역!H13)</f>
        <v/>
      </c>
      <c r="H370" s="66">
        <f>IF(32구역!I13="","",32구역!I13)</f>
        <v/>
      </c>
      <c r="I370" s="66">
        <f>IF(32구역!J13="","",32구역!J13)</f>
        <v/>
      </c>
      <c r="J370" s="66">
        <f>IF(32구역!K13="","",32구역!K13)</f>
        <v/>
      </c>
      <c r="K370" s="66">
        <f>IF(32구역!L13="","",32구역!L13)</f>
        <v/>
      </c>
      <c r="L370" s="66">
        <f>IF(32구역!M13="","",32구역!M13)</f>
        <v/>
      </c>
      <c r="M370" s="66">
        <f>IF(32구역!N13="","",32구역!N13)</f>
        <v/>
      </c>
    </row>
    <row r="371" ht="15" customHeight="1" s="33">
      <c r="A371" s="66">
        <f>IF(32구역!B14="","",32구역!B14)</f>
        <v/>
      </c>
      <c r="B371" s="66">
        <f>IF(32구역!C14="","",32구역!C14)</f>
        <v/>
      </c>
      <c r="C371" s="66">
        <f>IF(32구역!D14="","",32구역!D14)</f>
        <v/>
      </c>
      <c r="D371" s="66">
        <f>IF(32구역!E14="","",32구역!E14)</f>
        <v/>
      </c>
      <c r="E371" s="66">
        <f>IF(32구역!F14="","",32구역!F14)</f>
        <v/>
      </c>
      <c r="F371" s="66">
        <f>IF(32구역!G14="","",32구역!G14)</f>
        <v/>
      </c>
      <c r="G371" s="66">
        <f>IF(32구역!H14="","",32구역!H14)</f>
        <v/>
      </c>
      <c r="H371" s="66">
        <f>IF(32구역!I14="","",32구역!I14)</f>
        <v/>
      </c>
      <c r="I371" s="66">
        <f>IF(32구역!J14="","",32구역!J14)</f>
        <v/>
      </c>
      <c r="J371" s="66">
        <f>IF(32구역!K14="","",32구역!K14)</f>
        <v/>
      </c>
      <c r="K371" s="66">
        <f>IF(32구역!L14="","",32구역!L14)</f>
        <v/>
      </c>
      <c r="L371" s="66">
        <f>IF(32구역!M14="","",32구역!M14)</f>
        <v/>
      </c>
      <c r="M371" s="66">
        <f>IF(32구역!N14="","",32구역!N14)</f>
        <v/>
      </c>
    </row>
    <row r="372" ht="15" customHeight="1" s="33">
      <c r="A372" s="66">
        <f>IF(32구역!B15="","",32구역!B15)</f>
        <v/>
      </c>
      <c r="B372" s="66">
        <f>IF(32구역!C15="","",32구역!C15)</f>
        <v/>
      </c>
      <c r="C372" s="66">
        <f>IF(32구역!D15="","",32구역!D15)</f>
        <v/>
      </c>
      <c r="D372" s="66">
        <f>IF(32구역!E15="","",32구역!E15)</f>
        <v/>
      </c>
      <c r="E372" s="66">
        <f>IF(32구역!F15="","",32구역!F15)</f>
        <v/>
      </c>
      <c r="F372" s="66">
        <f>IF(32구역!G15="","",32구역!G15)</f>
        <v/>
      </c>
      <c r="G372" s="66">
        <f>IF(32구역!H15="","",32구역!H15)</f>
        <v/>
      </c>
      <c r="H372" s="66">
        <f>IF(32구역!I15="","",32구역!I15)</f>
        <v/>
      </c>
      <c r="I372" s="66">
        <f>IF(32구역!J15="","",32구역!J15)</f>
        <v/>
      </c>
      <c r="J372" s="66">
        <f>IF(32구역!K15="","",32구역!K15)</f>
        <v/>
      </c>
      <c r="K372" s="66">
        <f>IF(32구역!L15="","",32구역!L15)</f>
        <v/>
      </c>
      <c r="L372" s="66">
        <f>IF(32구역!M15="","",32구역!M15)</f>
        <v/>
      </c>
      <c r="M372" s="66">
        <f>IF(32구역!N15="","",32구역!N15)</f>
        <v/>
      </c>
    </row>
    <row r="373" ht="15" customHeight="1" s="33">
      <c r="A373" s="66">
        <f>IF(32구역!B16="","",32구역!B16)</f>
        <v/>
      </c>
      <c r="B373" s="66">
        <f>IF(32구역!C16="","",32구역!C16)</f>
        <v/>
      </c>
      <c r="C373" s="66">
        <f>IF(32구역!D16="","",32구역!D16)</f>
        <v/>
      </c>
      <c r="D373" s="66">
        <f>IF(32구역!E16="","",32구역!E16)</f>
        <v/>
      </c>
      <c r="E373" s="66">
        <f>IF(32구역!F16="","",32구역!F16)</f>
        <v/>
      </c>
      <c r="F373" s="66">
        <f>IF(32구역!G16="","",32구역!G16)</f>
        <v/>
      </c>
      <c r="G373" s="66">
        <f>IF(32구역!H16="","",32구역!H16)</f>
        <v/>
      </c>
      <c r="H373" s="66">
        <f>IF(32구역!I16="","",32구역!I16)</f>
        <v/>
      </c>
      <c r="I373" s="66">
        <f>IF(32구역!J16="","",32구역!J16)</f>
        <v/>
      </c>
      <c r="J373" s="66">
        <f>IF(32구역!K16="","",32구역!K16)</f>
        <v/>
      </c>
      <c r="K373" s="66">
        <f>IF(32구역!L16="","",32구역!L16)</f>
        <v/>
      </c>
      <c r="L373" s="66">
        <f>IF(32구역!M16="","",32구역!M16)</f>
        <v/>
      </c>
      <c r="M373" s="66">
        <f>IF(32구역!N16="","",32구역!N16)</f>
        <v/>
      </c>
    </row>
    <row r="374" ht="15" customHeight="1" s="33">
      <c r="A374" s="66">
        <f>IF(32구역!B17="","",32구역!B17)</f>
        <v/>
      </c>
      <c r="B374" s="66">
        <f>IF(32구역!C17="","",32구역!C17)</f>
        <v/>
      </c>
      <c r="C374" s="66">
        <f>IF(32구역!D17="","",32구역!D17)</f>
        <v/>
      </c>
      <c r="D374" s="66">
        <f>IF(32구역!E17="","",32구역!E17)</f>
        <v/>
      </c>
      <c r="E374" s="66">
        <f>IF(32구역!F17="","",32구역!F17)</f>
        <v/>
      </c>
      <c r="F374" s="66">
        <f>IF(32구역!G17="","",32구역!G17)</f>
        <v/>
      </c>
      <c r="G374" s="66">
        <f>IF(32구역!H17="","",32구역!H17)</f>
        <v/>
      </c>
      <c r="H374" s="66">
        <f>IF(32구역!I17="","",32구역!I17)</f>
        <v/>
      </c>
      <c r="I374" s="66">
        <f>IF(32구역!J17="","",32구역!J17)</f>
        <v/>
      </c>
      <c r="J374" s="66">
        <f>IF(32구역!K17="","",32구역!K17)</f>
        <v/>
      </c>
      <c r="K374" s="66">
        <f>IF(32구역!L17="","",32구역!L17)</f>
        <v/>
      </c>
      <c r="L374" s="66">
        <f>IF(32구역!M17="","",32구역!M17)</f>
        <v/>
      </c>
      <c r="M374" s="66">
        <f>IF(32구역!N17="","",32구역!N17)</f>
        <v/>
      </c>
    </row>
    <row r="375" ht="15" customHeight="1" s="33">
      <c r="A375" s="66">
        <f>IF(32구역!B18="","",32구역!B18)</f>
        <v/>
      </c>
      <c r="B375" s="66">
        <f>IF(32구역!C18="","",32구역!C18)</f>
        <v/>
      </c>
      <c r="C375" s="66">
        <f>IF(32구역!D18="","",32구역!D18)</f>
        <v/>
      </c>
      <c r="D375" s="66">
        <f>IF(32구역!E18="","",32구역!E18)</f>
        <v/>
      </c>
      <c r="E375" s="66">
        <f>IF(32구역!F18="","",32구역!F18)</f>
        <v/>
      </c>
      <c r="F375" s="66">
        <f>IF(32구역!G18="","",32구역!G18)</f>
        <v/>
      </c>
      <c r="G375" s="66">
        <f>IF(32구역!H18="","",32구역!H18)</f>
        <v/>
      </c>
      <c r="H375" s="66">
        <f>IF(32구역!I18="","",32구역!I18)</f>
        <v/>
      </c>
      <c r="I375" s="66">
        <f>IF(32구역!J18="","",32구역!J18)</f>
        <v/>
      </c>
      <c r="J375" s="66">
        <f>IF(32구역!K18="","",32구역!K18)</f>
        <v/>
      </c>
      <c r="K375" s="66">
        <f>IF(32구역!L18="","",32구역!L18)</f>
        <v/>
      </c>
      <c r="L375" s="66">
        <f>IF(32구역!M18="","",32구역!M18)</f>
        <v/>
      </c>
      <c r="M375" s="66">
        <f>IF(32구역!N18="","",32구역!N18)</f>
        <v/>
      </c>
    </row>
    <row r="376" ht="15" customHeight="1" s="33">
      <c r="A376" s="66">
        <f>IF(32구역!B19="","",32구역!B19)</f>
        <v/>
      </c>
      <c r="B376" s="66">
        <f>IF(32구역!C19="","",32구역!C19)</f>
        <v/>
      </c>
      <c r="C376" s="66">
        <f>IF(32구역!D19="","",32구역!D19)</f>
        <v/>
      </c>
      <c r="D376" s="66">
        <f>IF(32구역!E19="","",32구역!E19)</f>
        <v/>
      </c>
      <c r="E376" s="66">
        <f>IF(32구역!F19="","",32구역!F19)</f>
        <v/>
      </c>
      <c r="F376" s="66">
        <f>IF(32구역!G19="","",32구역!G19)</f>
        <v/>
      </c>
      <c r="G376" s="66">
        <f>IF(32구역!H19="","",32구역!H19)</f>
        <v/>
      </c>
      <c r="H376" s="66">
        <f>IF(32구역!I19="","",32구역!I19)</f>
        <v/>
      </c>
      <c r="I376" s="66">
        <f>IF(32구역!J19="","",32구역!J19)</f>
        <v/>
      </c>
      <c r="J376" s="66">
        <f>IF(32구역!K19="","",32구역!K19)</f>
        <v/>
      </c>
      <c r="K376" s="66">
        <f>IF(32구역!L19="","",32구역!L19)</f>
        <v/>
      </c>
      <c r="L376" s="66">
        <f>IF(32구역!M19="","",32구역!M19)</f>
        <v/>
      </c>
      <c r="M376" s="66">
        <f>IF(32구역!N19="","",32구역!N19)</f>
        <v/>
      </c>
    </row>
    <row r="377" ht="15" customHeight="1" s="33">
      <c r="A377" s="66">
        <f>IF(32구역!B20="","",32구역!B20)</f>
        <v/>
      </c>
      <c r="B377" s="66">
        <f>IF(32구역!C20="","",32구역!C20)</f>
        <v/>
      </c>
      <c r="C377" s="66">
        <f>IF(32구역!D20="","",32구역!D20)</f>
        <v/>
      </c>
      <c r="D377" s="66">
        <f>IF(32구역!E20="","",32구역!E20)</f>
        <v/>
      </c>
      <c r="E377" s="66">
        <f>IF(32구역!F20="","",32구역!F20)</f>
        <v/>
      </c>
      <c r="F377" s="66">
        <f>IF(32구역!G20="","",32구역!G20)</f>
        <v/>
      </c>
      <c r="G377" s="66">
        <f>IF(32구역!H20="","",32구역!H20)</f>
        <v/>
      </c>
      <c r="H377" s="66">
        <f>IF(32구역!I20="","",32구역!I20)</f>
        <v/>
      </c>
      <c r="I377" s="66">
        <f>IF(32구역!J20="","",32구역!J20)</f>
        <v/>
      </c>
      <c r="J377" s="66">
        <f>IF(32구역!K20="","",32구역!K20)</f>
        <v/>
      </c>
      <c r="K377" s="66">
        <f>IF(32구역!L20="","",32구역!L20)</f>
        <v/>
      </c>
      <c r="L377" s="66">
        <f>IF(32구역!M20="","",32구역!M20)</f>
        <v/>
      </c>
      <c r="M377" s="66">
        <f>IF(32구역!N20="","",32구역!N20)</f>
        <v/>
      </c>
    </row>
    <row r="378" ht="15" customHeight="1" s="33">
      <c r="A378" s="66">
        <f>IF(32구역!B21="","",32구역!B21)</f>
        <v/>
      </c>
      <c r="B378" s="66">
        <f>IF(32구역!C21="","",32구역!C21)</f>
        <v/>
      </c>
      <c r="C378" s="66">
        <f>IF(32구역!D21="","",32구역!D21)</f>
        <v/>
      </c>
      <c r="D378" s="66">
        <f>IF(32구역!E21="","",32구역!E21)</f>
        <v/>
      </c>
      <c r="E378" s="66">
        <f>IF(32구역!F21="","",32구역!F21)</f>
        <v/>
      </c>
      <c r="F378" s="66">
        <f>IF(32구역!G21="","",32구역!G21)</f>
        <v/>
      </c>
      <c r="G378" s="66">
        <f>IF(32구역!H21="","",32구역!H21)</f>
        <v/>
      </c>
      <c r="H378" s="66">
        <f>IF(32구역!I21="","",32구역!I21)</f>
        <v/>
      </c>
      <c r="I378" s="66">
        <f>IF(32구역!J21="","",32구역!J21)</f>
        <v/>
      </c>
      <c r="J378" s="66">
        <f>IF(32구역!K21="","",32구역!K21)</f>
        <v/>
      </c>
      <c r="K378" s="66">
        <f>IF(32구역!L21="","",32구역!L21)</f>
        <v/>
      </c>
      <c r="L378" s="66">
        <f>IF(32구역!M21="","",32구역!M21)</f>
        <v/>
      </c>
      <c r="M378" s="66">
        <f>IF(32구역!N21="","",32구역!N21)</f>
        <v/>
      </c>
    </row>
    <row r="379" ht="15" customHeight="1" s="33">
      <c r="A379" s="66">
        <f>IF(32구역!B22="","",32구역!B22)</f>
        <v/>
      </c>
      <c r="B379" s="66">
        <f>IF(32구역!C22="","",32구역!C22)</f>
        <v/>
      </c>
      <c r="C379" s="66">
        <f>IF(32구역!D22="","",32구역!D22)</f>
        <v/>
      </c>
      <c r="D379" s="66">
        <f>IF(32구역!E22="","",32구역!E22)</f>
        <v/>
      </c>
      <c r="E379" s="66">
        <f>IF(32구역!F22="","",32구역!F22)</f>
        <v/>
      </c>
      <c r="F379" s="66">
        <f>IF(32구역!G22="","",32구역!G22)</f>
        <v/>
      </c>
      <c r="G379" s="66">
        <f>IF(32구역!H22="","",32구역!H22)</f>
        <v/>
      </c>
      <c r="H379" s="66">
        <f>IF(32구역!I22="","",32구역!I22)</f>
        <v/>
      </c>
      <c r="I379" s="66">
        <f>IF(32구역!J22="","",32구역!J22)</f>
        <v/>
      </c>
      <c r="J379" s="66">
        <f>IF(32구역!K22="","",32구역!K22)</f>
        <v/>
      </c>
      <c r="K379" s="66">
        <f>IF(32구역!L22="","",32구역!L22)</f>
        <v/>
      </c>
      <c r="L379" s="66">
        <f>IF(32구역!M22="","",32구역!M22)</f>
        <v/>
      </c>
      <c r="M379" s="66">
        <f>IF(32구역!N22="","",32구역!N22)</f>
        <v/>
      </c>
    </row>
    <row r="380" ht="15" customHeight="1" s="33">
      <c r="A380" s="66">
        <f>IF(32구역!B23="","",32구역!B23)</f>
        <v/>
      </c>
      <c r="B380" s="66">
        <f>IF(32구역!C23="","",32구역!C23)</f>
        <v/>
      </c>
      <c r="C380" s="66">
        <f>IF(32구역!D23="","",32구역!D23)</f>
        <v/>
      </c>
      <c r="D380" s="66">
        <f>IF(32구역!E23="","",32구역!E23)</f>
        <v/>
      </c>
      <c r="E380" s="66">
        <f>IF(32구역!F23="","",32구역!F23)</f>
        <v/>
      </c>
      <c r="F380" s="66">
        <f>IF(32구역!G23="","",32구역!G23)</f>
        <v/>
      </c>
      <c r="G380" s="66">
        <f>IF(32구역!H23="","",32구역!H23)</f>
        <v/>
      </c>
      <c r="H380" s="66">
        <f>IF(32구역!I23="","",32구역!I23)</f>
        <v/>
      </c>
      <c r="I380" s="66">
        <f>IF(32구역!J23="","",32구역!J23)</f>
        <v/>
      </c>
      <c r="J380" s="66">
        <f>IF(32구역!K23="","",32구역!K23)</f>
        <v/>
      </c>
      <c r="K380" s="66">
        <f>IF(32구역!L23="","",32구역!L23)</f>
        <v/>
      </c>
      <c r="L380" s="66">
        <f>IF(32구역!M23="","",32구역!M23)</f>
        <v/>
      </c>
      <c r="M380" s="66">
        <f>IF(32구역!N23="","",32구역!N23)</f>
        <v/>
      </c>
    </row>
    <row r="381" ht="15" customHeight="1" s="33">
      <c r="A381" s="66">
        <f>IF(32구역!B24="","",32구역!B24)</f>
        <v/>
      </c>
      <c r="B381" s="66">
        <f>IF(32구역!C24="","",32구역!C24)</f>
        <v/>
      </c>
      <c r="C381" s="66">
        <f>IF(32구역!D24="","",32구역!D24)</f>
        <v/>
      </c>
      <c r="D381" s="66">
        <f>IF(32구역!E24="","",32구역!E24)</f>
        <v/>
      </c>
      <c r="E381" s="66">
        <f>IF(32구역!F24="","",32구역!F24)</f>
        <v/>
      </c>
      <c r="F381" s="66">
        <f>IF(32구역!G24="","",32구역!G24)</f>
        <v/>
      </c>
      <c r="G381" s="66">
        <f>IF(32구역!H24="","",32구역!H24)</f>
        <v/>
      </c>
      <c r="H381" s="66">
        <f>IF(32구역!I24="","",32구역!I24)</f>
        <v/>
      </c>
      <c r="I381" s="66">
        <f>IF(32구역!J24="","",32구역!J24)</f>
        <v/>
      </c>
      <c r="J381" s="66">
        <f>IF(32구역!K24="","",32구역!K24)</f>
        <v/>
      </c>
      <c r="K381" s="66">
        <f>IF(32구역!L24="","",32구역!L24)</f>
        <v/>
      </c>
      <c r="L381" s="66">
        <f>IF(32구역!M24="","",32구역!M24)</f>
        <v/>
      </c>
      <c r="M381" s="66">
        <f>IF(32구역!N24="","",32구역!N24)</f>
        <v/>
      </c>
    </row>
    <row r="382" ht="15" customHeight="1" s="33">
      <c r="A382" s="66">
        <f>IF(32구역!B25="","",32구역!B25)</f>
        <v/>
      </c>
      <c r="B382" s="66">
        <f>IF(32구역!C25="","",32구역!C25)</f>
        <v/>
      </c>
      <c r="C382" s="66">
        <f>IF(32구역!D25="","",32구역!D25)</f>
        <v/>
      </c>
      <c r="D382" s="66">
        <f>IF(32구역!E25="","",32구역!E25)</f>
        <v/>
      </c>
      <c r="E382" s="66">
        <f>IF(32구역!F25="","",32구역!F25)</f>
        <v/>
      </c>
      <c r="F382" s="66">
        <f>IF(32구역!G25="","",32구역!G25)</f>
        <v/>
      </c>
      <c r="G382" s="66">
        <f>IF(32구역!H25="","",32구역!H25)</f>
        <v/>
      </c>
      <c r="H382" s="66">
        <f>IF(32구역!I25="","",32구역!I25)</f>
        <v/>
      </c>
      <c r="I382" s="66">
        <f>IF(32구역!J25="","",32구역!J25)</f>
        <v/>
      </c>
      <c r="J382" s="66">
        <f>IF(32구역!K25="","",32구역!K25)</f>
        <v/>
      </c>
      <c r="K382" s="66">
        <f>IF(32구역!L25="","",32구역!L25)</f>
        <v/>
      </c>
      <c r="L382" s="66">
        <f>IF(32구역!M25="","",32구역!M25)</f>
        <v/>
      </c>
      <c r="M382" s="66">
        <f>IF(32구역!N25="","",32구역!N25)</f>
        <v/>
      </c>
    </row>
    <row r="383" ht="15" customHeight="1" s="33">
      <c r="A383" s="66">
        <f>IF(32구역!B26="","",32구역!B26)</f>
        <v/>
      </c>
      <c r="B383" s="66">
        <f>IF(32구역!C26="","",32구역!C26)</f>
        <v/>
      </c>
      <c r="C383" s="66">
        <f>IF(32구역!D26="","",32구역!D26)</f>
        <v/>
      </c>
      <c r="D383" s="66">
        <f>IF(32구역!E26="","",32구역!E26)</f>
        <v/>
      </c>
      <c r="E383" s="66">
        <f>IF(32구역!F26="","",32구역!F26)</f>
        <v/>
      </c>
      <c r="F383" s="66">
        <f>IF(32구역!G26="","",32구역!G26)</f>
        <v/>
      </c>
      <c r="G383" s="66">
        <f>IF(32구역!H26="","",32구역!H26)</f>
        <v/>
      </c>
      <c r="H383" s="66">
        <f>IF(32구역!I26="","",32구역!I26)</f>
        <v/>
      </c>
      <c r="I383" s="66">
        <f>IF(32구역!J26="","",32구역!J26)</f>
        <v/>
      </c>
      <c r="J383" s="66">
        <f>IF(32구역!K26="","",32구역!K26)</f>
        <v/>
      </c>
      <c r="K383" s="66">
        <f>IF(32구역!L26="","",32구역!L26)</f>
        <v/>
      </c>
      <c r="L383" s="66">
        <f>IF(32구역!M26="","",32구역!M26)</f>
        <v/>
      </c>
      <c r="M383" s="66">
        <f>IF(32구역!N26="","",32구역!N26)</f>
        <v/>
      </c>
    </row>
    <row r="384" ht="15" customHeight="1" s="33">
      <c r="A384" s="66">
        <f>IF(32구역!B27="","",32구역!B27)</f>
        <v/>
      </c>
      <c r="B384" s="66">
        <f>IF(32구역!C27="","",32구역!C27)</f>
        <v/>
      </c>
      <c r="C384" s="66">
        <f>IF(32구역!D27="","",32구역!D27)</f>
        <v/>
      </c>
      <c r="D384" s="66">
        <f>IF(32구역!E27="","",32구역!E27)</f>
        <v/>
      </c>
      <c r="E384" s="66">
        <f>IF(32구역!F27="","",32구역!F27)</f>
        <v/>
      </c>
      <c r="F384" s="66">
        <f>IF(32구역!G27="","",32구역!G27)</f>
        <v/>
      </c>
      <c r="G384" s="66">
        <f>IF(32구역!H27="","",32구역!H27)</f>
        <v/>
      </c>
      <c r="H384" s="66">
        <f>IF(32구역!I27="","",32구역!I27)</f>
        <v/>
      </c>
      <c r="I384" s="66">
        <f>IF(32구역!J27="","",32구역!J27)</f>
        <v/>
      </c>
      <c r="J384" s="66">
        <f>IF(32구역!K27="","",32구역!K27)</f>
        <v/>
      </c>
      <c r="K384" s="66">
        <f>IF(32구역!L27="","",32구역!L27)</f>
        <v/>
      </c>
      <c r="L384" s="66">
        <f>IF(32구역!M27="","",32구역!M27)</f>
        <v/>
      </c>
      <c r="M384" s="66">
        <f>IF(32구역!N27="","",32구역!N27)</f>
        <v/>
      </c>
    </row>
    <row r="385" ht="15" customHeight="1" s="33">
      <c r="A385" s="66">
        <f>IF(32구역!B28="","",32구역!B28)</f>
        <v/>
      </c>
      <c r="B385" s="66">
        <f>IF(32구역!C28="","",32구역!C28)</f>
        <v/>
      </c>
      <c r="C385" s="66">
        <f>IF(32구역!D28="","",32구역!D28)</f>
        <v/>
      </c>
      <c r="D385" s="66">
        <f>IF(32구역!E28="","",32구역!E28)</f>
        <v/>
      </c>
      <c r="E385" s="66">
        <f>IF(32구역!F28="","",32구역!F28)</f>
        <v/>
      </c>
      <c r="F385" s="66">
        <f>IF(32구역!G28="","",32구역!G28)</f>
        <v/>
      </c>
      <c r="G385" s="66">
        <f>IF(32구역!H28="","",32구역!H28)</f>
        <v/>
      </c>
      <c r="H385" s="66">
        <f>IF(32구역!I28="","",32구역!I28)</f>
        <v/>
      </c>
      <c r="I385" s="66">
        <f>IF(32구역!J28="","",32구역!J28)</f>
        <v/>
      </c>
      <c r="J385" s="66">
        <f>IF(32구역!K28="","",32구역!K28)</f>
        <v/>
      </c>
      <c r="K385" s="66">
        <f>IF(32구역!L28="","",32구역!L28)</f>
        <v/>
      </c>
      <c r="L385" s="66">
        <f>IF(32구역!M28="","",32구역!M28)</f>
        <v/>
      </c>
      <c r="M385" s="66">
        <f>IF(32구역!N28="","",32구역!N28)</f>
        <v/>
      </c>
    </row>
    <row r="386" ht="15" customHeight="1" s="33">
      <c r="A386" s="66">
        <f>IF(32구역!B29="","",32구역!B29)</f>
        <v/>
      </c>
      <c r="B386" s="66">
        <f>IF(32구역!C29="","",32구역!C29)</f>
        <v/>
      </c>
      <c r="C386" s="66">
        <f>IF(32구역!D29="","",32구역!D29)</f>
        <v/>
      </c>
      <c r="D386" s="66">
        <f>IF(32구역!E29="","",32구역!E29)</f>
        <v/>
      </c>
      <c r="E386" s="66">
        <f>IF(32구역!F29="","",32구역!F29)</f>
        <v/>
      </c>
      <c r="F386" s="66">
        <f>IF(32구역!G29="","",32구역!G29)</f>
        <v/>
      </c>
      <c r="G386" s="66">
        <f>IF(32구역!H29="","",32구역!H29)</f>
        <v/>
      </c>
      <c r="H386" s="66">
        <f>IF(32구역!I29="","",32구역!I29)</f>
        <v/>
      </c>
      <c r="I386" s="66">
        <f>IF(32구역!J29="","",32구역!J29)</f>
        <v/>
      </c>
      <c r="J386" s="66">
        <f>IF(32구역!K29="","",32구역!K29)</f>
        <v/>
      </c>
      <c r="K386" s="66">
        <f>IF(32구역!L29="","",32구역!L29)</f>
        <v/>
      </c>
      <c r="L386" s="66">
        <f>IF(32구역!M29="","",32구역!M29)</f>
        <v/>
      </c>
      <c r="M386" s="66">
        <f>IF(32구역!N29="","",32구역!N29)</f>
        <v/>
      </c>
    </row>
    <row r="387" ht="15" customHeight="1" s="33">
      <c r="A387" s="66">
        <f>IF(32구역!B30="","",32구역!B30)</f>
        <v/>
      </c>
      <c r="B387" s="66">
        <f>IF(32구역!C30="","",32구역!C30)</f>
        <v/>
      </c>
      <c r="C387" s="66">
        <f>IF(32구역!D30="","",32구역!D30)</f>
        <v/>
      </c>
      <c r="D387" s="66">
        <f>IF(32구역!E30="","",32구역!E30)</f>
        <v/>
      </c>
      <c r="E387" s="66">
        <f>IF(32구역!F30="","",32구역!F30)</f>
        <v/>
      </c>
      <c r="F387" s="66">
        <f>IF(32구역!G30="","",32구역!G30)</f>
        <v/>
      </c>
      <c r="G387" s="66">
        <f>IF(32구역!H30="","",32구역!H30)</f>
        <v/>
      </c>
      <c r="H387" s="66">
        <f>IF(32구역!I30="","",32구역!I30)</f>
        <v/>
      </c>
      <c r="I387" s="66">
        <f>IF(32구역!J30="","",32구역!J30)</f>
        <v/>
      </c>
      <c r="J387" s="66">
        <f>IF(32구역!K30="","",32구역!K30)</f>
        <v/>
      </c>
      <c r="K387" s="66">
        <f>IF(32구역!L30="","",32구역!L30)</f>
        <v/>
      </c>
      <c r="L387" s="66">
        <f>IF(32구역!M30="","",32구역!M30)</f>
        <v/>
      </c>
      <c r="M387" s="66">
        <f>IF(32구역!N30="","",32구역!N30)</f>
        <v/>
      </c>
    </row>
    <row r="388" ht="15" customHeight="1" s="33">
      <c r="A388" s="66">
        <f>IF(32구역!B31="","",32구역!B31)</f>
        <v/>
      </c>
      <c r="B388" s="66">
        <f>IF(32구역!C31="","",32구역!C31)</f>
        <v/>
      </c>
      <c r="C388" s="66">
        <f>IF(32구역!D31="","",32구역!D31)</f>
        <v/>
      </c>
      <c r="D388" s="66">
        <f>IF(32구역!E31="","",32구역!E31)</f>
        <v/>
      </c>
      <c r="E388" s="66">
        <f>IF(32구역!F31="","",32구역!F31)</f>
        <v/>
      </c>
      <c r="F388" s="66">
        <f>IF(32구역!G31="","",32구역!G31)</f>
        <v/>
      </c>
      <c r="G388" s="66">
        <f>IF(32구역!H31="","",32구역!H31)</f>
        <v/>
      </c>
      <c r="H388" s="66">
        <f>IF(32구역!I31="","",32구역!I31)</f>
        <v/>
      </c>
      <c r="I388" s="66">
        <f>IF(32구역!J31="","",32구역!J31)</f>
        <v/>
      </c>
      <c r="J388" s="66">
        <f>IF(32구역!K31="","",32구역!K31)</f>
        <v/>
      </c>
      <c r="K388" s="66">
        <f>IF(32구역!L31="","",32구역!L31)</f>
        <v/>
      </c>
      <c r="L388" s="66">
        <f>IF(32구역!M31="","",32구역!M31)</f>
        <v/>
      </c>
      <c r="M388" s="66">
        <f>IF(32구역!N31="","",32구역!N31)</f>
        <v/>
      </c>
    </row>
    <row r="389" ht="15" customHeight="1" s="33">
      <c r="A389" s="66">
        <f>IF(32구역!B32="","",32구역!B32)</f>
        <v/>
      </c>
      <c r="B389" s="66">
        <f>IF(32구역!C32="","",32구역!C32)</f>
        <v/>
      </c>
      <c r="C389" s="66">
        <f>IF(32구역!D32="","",32구역!D32)</f>
        <v/>
      </c>
      <c r="D389" s="66">
        <f>IF(32구역!E32="","",32구역!E32)</f>
        <v/>
      </c>
      <c r="E389" s="66">
        <f>IF(32구역!F32="","",32구역!F32)</f>
        <v/>
      </c>
      <c r="F389" s="66">
        <f>IF(32구역!G32="","",32구역!G32)</f>
        <v/>
      </c>
      <c r="G389" s="66">
        <f>IF(32구역!H32="","",32구역!H32)</f>
        <v/>
      </c>
      <c r="H389" s="66">
        <f>IF(32구역!I32="","",32구역!I32)</f>
        <v/>
      </c>
      <c r="I389" s="66">
        <f>IF(32구역!J32="","",32구역!J32)</f>
        <v/>
      </c>
      <c r="J389" s="66">
        <f>IF(32구역!K32="","",32구역!K32)</f>
        <v/>
      </c>
      <c r="K389" s="66">
        <f>IF(32구역!L32="","",32구역!L32)</f>
        <v/>
      </c>
      <c r="L389" s="66">
        <f>IF(32구역!M32="","",32구역!M32)</f>
        <v/>
      </c>
      <c r="M389" s="66">
        <f>IF(32구역!N32="","",32구역!N32)</f>
        <v/>
      </c>
    </row>
    <row r="390" ht="15" customHeight="1" s="33">
      <c r="A390" s="66">
        <f>IF(32구역!B33="","",32구역!B33)</f>
        <v/>
      </c>
      <c r="B390" s="66">
        <f>IF(32구역!C33="","",32구역!C33)</f>
        <v/>
      </c>
      <c r="C390" s="66">
        <f>IF(32구역!D33="","",32구역!D33)</f>
        <v/>
      </c>
      <c r="D390" s="66">
        <f>IF(32구역!E33="","",32구역!E33)</f>
        <v/>
      </c>
      <c r="E390" s="66">
        <f>IF(32구역!F33="","",32구역!F33)</f>
        <v/>
      </c>
      <c r="F390" s="66">
        <f>IF(32구역!G33="","",32구역!G33)</f>
        <v/>
      </c>
      <c r="G390" s="66">
        <f>IF(32구역!H33="","",32구역!H33)</f>
        <v/>
      </c>
      <c r="H390" s="66">
        <f>IF(32구역!I33="","",32구역!I33)</f>
        <v/>
      </c>
      <c r="I390" s="66">
        <f>IF(32구역!J33="","",32구역!J33)</f>
        <v/>
      </c>
      <c r="J390" s="66">
        <f>IF(32구역!K33="","",32구역!K33)</f>
        <v/>
      </c>
      <c r="K390" s="66">
        <f>IF(32구역!L33="","",32구역!L33)</f>
        <v/>
      </c>
      <c r="L390" s="66">
        <f>IF(32구역!M33="","",32구역!M33)</f>
        <v/>
      </c>
      <c r="M390" s="66">
        <f>IF(32구역!N33="","",32구역!N33)</f>
        <v/>
      </c>
    </row>
    <row r="391" ht="15" customHeight="1" s="33">
      <c r="A391" s="66">
        <f>IF(32구역!B34="","",32구역!B34)</f>
        <v/>
      </c>
      <c r="B391" s="66">
        <f>IF(32구역!C34="","",32구역!C34)</f>
        <v/>
      </c>
      <c r="C391" s="66">
        <f>IF(32구역!D34="","",32구역!D34)</f>
        <v/>
      </c>
      <c r="D391" s="66">
        <f>IF(32구역!E34="","",32구역!E34)</f>
        <v/>
      </c>
      <c r="E391" s="66">
        <f>IF(32구역!F34="","",32구역!F34)</f>
        <v/>
      </c>
      <c r="F391" s="66">
        <f>IF(32구역!G34="","",32구역!G34)</f>
        <v/>
      </c>
      <c r="G391" s="66">
        <f>IF(32구역!H34="","",32구역!H34)</f>
        <v/>
      </c>
      <c r="H391" s="66">
        <f>IF(32구역!I34="","",32구역!I34)</f>
        <v/>
      </c>
      <c r="I391" s="66">
        <f>IF(32구역!J34="","",32구역!J34)</f>
        <v/>
      </c>
      <c r="J391" s="66">
        <f>IF(32구역!K34="","",32구역!K34)</f>
        <v/>
      </c>
      <c r="K391" s="66">
        <f>IF(32구역!L34="","",32구역!L34)</f>
        <v/>
      </c>
      <c r="L391" s="66">
        <f>IF(32구역!M34="","",32구역!M34)</f>
        <v/>
      </c>
      <c r="M391" s="66">
        <f>IF(32구역!N34="","",32구역!N34)</f>
        <v/>
      </c>
    </row>
    <row r="392" ht="15" customHeight="1" s="33">
      <c r="A392" s="66">
        <f>IF(32구역!B35="","",32구역!B35)</f>
        <v/>
      </c>
      <c r="B392" s="66">
        <f>IF(32구역!C35="","",32구역!C35)</f>
        <v/>
      </c>
      <c r="C392" s="66">
        <f>IF(32구역!D35="","",32구역!D35)</f>
        <v/>
      </c>
      <c r="D392" s="66">
        <f>IF(32구역!E35="","",32구역!E35)</f>
        <v/>
      </c>
      <c r="E392" s="66">
        <f>IF(32구역!F35="","",32구역!F35)</f>
        <v/>
      </c>
      <c r="F392" s="66">
        <f>IF(32구역!G35="","",32구역!G35)</f>
        <v/>
      </c>
      <c r="G392" s="66">
        <f>IF(32구역!H35="","",32구역!H35)</f>
        <v/>
      </c>
      <c r="H392" s="66">
        <f>IF(32구역!I35="","",32구역!I35)</f>
        <v/>
      </c>
      <c r="I392" s="66">
        <f>IF(32구역!J35="","",32구역!J35)</f>
        <v/>
      </c>
      <c r="J392" s="66">
        <f>IF(32구역!K35="","",32구역!K35)</f>
        <v/>
      </c>
      <c r="K392" s="66">
        <f>IF(32구역!L35="","",32구역!L35)</f>
        <v/>
      </c>
      <c r="L392" s="66">
        <f>IF(32구역!M35="","",32구역!M35)</f>
        <v/>
      </c>
      <c r="M392" s="66">
        <f>IF(32구역!N35="","",32구역!N35)</f>
        <v/>
      </c>
    </row>
    <row r="393" ht="15" customHeight="1" s="33">
      <c r="A393" s="66">
        <f>IF(32구역!B36="","",32구역!B36)</f>
        <v/>
      </c>
      <c r="B393" s="66">
        <f>IF(32구역!C36="","",32구역!C36)</f>
        <v/>
      </c>
      <c r="C393" s="66">
        <f>IF(32구역!D36="","",32구역!D36)</f>
        <v/>
      </c>
      <c r="D393" s="66">
        <f>IF(32구역!E36="","",32구역!E36)</f>
        <v/>
      </c>
      <c r="E393" s="66">
        <f>IF(32구역!F36="","",32구역!F36)</f>
        <v/>
      </c>
      <c r="F393" s="66">
        <f>IF(32구역!G36="","",32구역!G36)</f>
        <v/>
      </c>
      <c r="G393" s="66">
        <f>IF(32구역!H36="","",32구역!H36)</f>
        <v/>
      </c>
      <c r="H393" s="66">
        <f>IF(32구역!I36="","",32구역!I36)</f>
        <v/>
      </c>
      <c r="I393" s="66">
        <f>IF(32구역!J36="","",32구역!J36)</f>
        <v/>
      </c>
      <c r="J393" s="66">
        <f>IF(32구역!K36="","",32구역!K36)</f>
        <v/>
      </c>
      <c r="K393" s="66">
        <f>IF(32구역!L36="","",32구역!L36)</f>
        <v/>
      </c>
      <c r="L393" s="66">
        <f>IF(32구역!M36="","",32구역!M36)</f>
        <v/>
      </c>
      <c r="M393" s="66">
        <f>IF(32구역!N36="","",32구역!N36)</f>
        <v/>
      </c>
    </row>
    <row r="394" ht="15" customHeight="1" s="33">
      <c r="A394" s="66">
        <f>IF(32구역!B37="","",32구역!B37)</f>
        <v/>
      </c>
      <c r="B394" s="66">
        <f>IF(32구역!C37="","",32구역!C37)</f>
        <v/>
      </c>
      <c r="C394" s="66">
        <f>IF(32구역!D37="","",32구역!D37)</f>
        <v/>
      </c>
      <c r="D394" s="66">
        <f>IF(32구역!E37="","",32구역!E37)</f>
        <v/>
      </c>
      <c r="E394" s="66">
        <f>IF(32구역!F37="","",32구역!F37)</f>
        <v/>
      </c>
      <c r="F394" s="66">
        <f>IF(32구역!G37="","",32구역!G37)</f>
        <v/>
      </c>
      <c r="G394" s="66">
        <f>IF(32구역!H37="","",32구역!H37)</f>
        <v/>
      </c>
      <c r="H394" s="66">
        <f>IF(32구역!I37="","",32구역!I37)</f>
        <v/>
      </c>
      <c r="I394" s="66">
        <f>IF(32구역!J37="","",32구역!J37)</f>
        <v/>
      </c>
      <c r="J394" s="66">
        <f>IF(32구역!K37="","",32구역!K37)</f>
        <v/>
      </c>
      <c r="K394" s="66">
        <f>IF(32구역!L37="","",32구역!L37)</f>
        <v/>
      </c>
      <c r="L394" s="66">
        <f>IF(32구역!M37="","",32구역!M37)</f>
        <v/>
      </c>
      <c r="M394" s="66">
        <f>IF(32구역!N37="","",32구역!N37)</f>
        <v/>
      </c>
    </row>
    <row r="395" ht="15" customHeight="1" s="33">
      <c r="A395" s="66">
        <f>IF(32구역!B38="","",32구역!B38)</f>
        <v/>
      </c>
      <c r="B395" s="66">
        <f>IF(32구역!C38="","",32구역!C38)</f>
        <v/>
      </c>
      <c r="C395" s="66">
        <f>IF(32구역!D38="","",32구역!D38)</f>
        <v/>
      </c>
      <c r="D395" s="66">
        <f>IF(32구역!E38="","",32구역!E38)</f>
        <v/>
      </c>
      <c r="E395" s="66">
        <f>IF(32구역!F38="","",32구역!F38)</f>
        <v/>
      </c>
      <c r="F395" s="66">
        <f>IF(32구역!G38="","",32구역!G38)</f>
        <v/>
      </c>
      <c r="G395" s="66">
        <f>IF(32구역!H38="","",32구역!H38)</f>
        <v/>
      </c>
      <c r="H395" s="66">
        <f>IF(32구역!I38="","",32구역!I38)</f>
        <v/>
      </c>
      <c r="I395" s="66">
        <f>IF(32구역!J38="","",32구역!J38)</f>
        <v/>
      </c>
      <c r="J395" s="66">
        <f>IF(32구역!K38="","",32구역!K38)</f>
        <v/>
      </c>
      <c r="K395" s="66">
        <f>IF(32구역!L38="","",32구역!L38)</f>
        <v/>
      </c>
      <c r="L395" s="66">
        <f>IF(32구역!M38="","",32구역!M38)</f>
        <v/>
      </c>
      <c r="M395" s="66">
        <f>IF(32구역!N38="","",32구역!N38)</f>
        <v/>
      </c>
    </row>
    <row r="396" ht="15" customHeight="1" s="33">
      <c r="A396" s="66">
        <f>IF(32구역!B39="","",32구역!B39)</f>
        <v/>
      </c>
      <c r="B396" s="66">
        <f>IF(32구역!C39="","",32구역!C39)</f>
        <v/>
      </c>
      <c r="C396" s="66">
        <f>IF(32구역!D39="","",32구역!D39)</f>
        <v/>
      </c>
      <c r="D396" s="66">
        <f>IF(32구역!E39="","",32구역!E39)</f>
        <v/>
      </c>
      <c r="E396" s="66">
        <f>IF(32구역!F39="","",32구역!F39)</f>
        <v/>
      </c>
      <c r="F396" s="66">
        <f>IF(32구역!G39="","",32구역!G39)</f>
        <v/>
      </c>
      <c r="G396" s="66">
        <f>IF(32구역!H39="","",32구역!H39)</f>
        <v/>
      </c>
      <c r="H396" s="66">
        <f>IF(32구역!I39="","",32구역!I39)</f>
        <v/>
      </c>
      <c r="I396" s="66">
        <f>IF(32구역!J39="","",32구역!J39)</f>
        <v/>
      </c>
      <c r="J396" s="66">
        <f>IF(32구역!K39="","",32구역!K39)</f>
        <v/>
      </c>
      <c r="K396" s="66">
        <f>IF(32구역!L39="","",32구역!L39)</f>
        <v/>
      </c>
      <c r="L396" s="66">
        <f>IF(32구역!M39="","",32구역!M39)</f>
        <v/>
      </c>
      <c r="M396" s="66">
        <f>IF(32구역!N39="","",32구역!N39)</f>
        <v/>
      </c>
    </row>
    <row r="397" ht="15" customHeight="1" s="33">
      <c r="A397" s="66">
        <f>IF(32구역!B40="","",32구역!B40)</f>
        <v/>
      </c>
      <c r="B397" s="66">
        <f>IF(32구역!C40="","",32구역!C40)</f>
        <v/>
      </c>
      <c r="C397" s="66">
        <f>IF(32구역!D40="","",32구역!D40)</f>
        <v/>
      </c>
      <c r="D397" s="66">
        <f>IF(32구역!E40="","",32구역!E40)</f>
        <v/>
      </c>
      <c r="E397" s="66">
        <f>IF(32구역!F40="","",32구역!F40)</f>
        <v/>
      </c>
      <c r="F397" s="66">
        <f>IF(32구역!G40="","",32구역!G40)</f>
        <v/>
      </c>
      <c r="G397" s="66">
        <f>IF(32구역!H40="","",32구역!H40)</f>
        <v/>
      </c>
      <c r="H397" s="66">
        <f>IF(32구역!I40="","",32구역!I40)</f>
        <v/>
      </c>
      <c r="I397" s="66">
        <f>IF(32구역!J40="","",32구역!J40)</f>
        <v/>
      </c>
      <c r="J397" s="66">
        <f>IF(32구역!K40="","",32구역!K40)</f>
        <v/>
      </c>
      <c r="K397" s="66">
        <f>IF(32구역!L40="","",32구역!L40)</f>
        <v/>
      </c>
      <c r="L397" s="66">
        <f>IF(32구역!M40="","",32구역!M40)</f>
        <v/>
      </c>
      <c r="M397" s="66">
        <f>IF(32구역!N40="","",32구역!N40)</f>
        <v/>
      </c>
    </row>
    <row r="398" ht="15" customHeight="1" s="33">
      <c r="A398" s="66">
        <f>IF(32구역!B41="","",32구역!B41)</f>
        <v/>
      </c>
      <c r="B398" s="66">
        <f>IF(32구역!C41="","",32구역!C41)</f>
        <v/>
      </c>
      <c r="C398" s="66">
        <f>IF(32구역!D41="","",32구역!D41)</f>
        <v/>
      </c>
      <c r="D398" s="66">
        <f>IF(32구역!E41="","",32구역!E41)</f>
        <v/>
      </c>
      <c r="E398" s="66">
        <f>IF(32구역!F41="","",32구역!F41)</f>
        <v/>
      </c>
      <c r="F398" s="66">
        <f>IF(32구역!G41="","",32구역!G41)</f>
        <v/>
      </c>
      <c r="G398" s="66">
        <f>IF(32구역!H41="","",32구역!H41)</f>
        <v/>
      </c>
      <c r="H398" s="66">
        <f>IF(32구역!I41="","",32구역!I41)</f>
        <v/>
      </c>
      <c r="I398" s="66">
        <f>IF(32구역!J41="","",32구역!J41)</f>
        <v/>
      </c>
      <c r="J398" s="66">
        <f>IF(32구역!K41="","",32구역!K41)</f>
        <v/>
      </c>
      <c r="K398" s="66">
        <f>IF(32구역!L41="","",32구역!L41)</f>
        <v/>
      </c>
      <c r="L398" s="66">
        <f>IF(32구역!M41="","",32구역!M41)</f>
        <v/>
      </c>
      <c r="M398" s="66">
        <f>IF(32구역!N41="","",32구역!N41)</f>
        <v/>
      </c>
    </row>
    <row r="399" ht="15" customHeight="1" s="33">
      <c r="A399" s="66">
        <f>IF(32구역!B42="","",32구역!B42)</f>
        <v/>
      </c>
      <c r="B399" s="66">
        <f>IF(32구역!C42="","",32구역!C42)</f>
        <v/>
      </c>
      <c r="C399" s="66">
        <f>IF(32구역!D42="","",32구역!D42)</f>
        <v/>
      </c>
      <c r="D399" s="66">
        <f>IF(32구역!E42="","",32구역!E42)</f>
        <v/>
      </c>
      <c r="E399" s="66">
        <f>IF(32구역!F42="","",32구역!F42)</f>
        <v/>
      </c>
      <c r="F399" s="66">
        <f>IF(32구역!G42="","",32구역!G42)</f>
        <v/>
      </c>
      <c r="G399" s="66">
        <f>IF(32구역!H42="","",32구역!H42)</f>
        <v/>
      </c>
      <c r="H399" s="66">
        <f>IF(32구역!I42="","",32구역!I42)</f>
        <v/>
      </c>
      <c r="I399" s="66">
        <f>IF(32구역!J42="","",32구역!J42)</f>
        <v/>
      </c>
      <c r="J399" s="66">
        <f>IF(32구역!K42="","",32구역!K42)</f>
        <v/>
      </c>
      <c r="K399" s="66">
        <f>IF(32구역!L42="","",32구역!L42)</f>
        <v/>
      </c>
      <c r="L399" s="66">
        <f>IF(32구역!M42="","",32구역!M42)</f>
        <v/>
      </c>
      <c r="M399" s="66">
        <f>IF(32구역!N42="","",32구역!N42)</f>
        <v/>
      </c>
    </row>
    <row r="400" ht="15" customHeight="1" s="33">
      <c r="A400" s="66">
        <f>IF(32구역!B43="","",32구역!B43)</f>
        <v/>
      </c>
      <c r="B400" s="66">
        <f>IF(32구역!C43="","",32구역!C43)</f>
        <v/>
      </c>
      <c r="C400" s="66">
        <f>IF(32구역!D43="","",32구역!D43)</f>
        <v/>
      </c>
      <c r="D400" s="66">
        <f>IF(32구역!E43="","",32구역!E43)</f>
        <v/>
      </c>
      <c r="E400" s="66">
        <f>IF(32구역!F43="","",32구역!F43)</f>
        <v/>
      </c>
      <c r="F400" s="66">
        <f>IF(32구역!G43="","",32구역!G43)</f>
        <v/>
      </c>
      <c r="G400" s="66">
        <f>IF(32구역!H43="","",32구역!H43)</f>
        <v/>
      </c>
      <c r="H400" s="66">
        <f>IF(32구역!I43="","",32구역!I43)</f>
        <v/>
      </c>
      <c r="I400" s="66">
        <f>IF(32구역!J43="","",32구역!J43)</f>
        <v/>
      </c>
      <c r="J400" s="66">
        <f>IF(32구역!K43="","",32구역!K43)</f>
        <v/>
      </c>
      <c r="K400" s="66">
        <f>IF(32구역!L43="","",32구역!L43)</f>
        <v/>
      </c>
      <c r="L400" s="66">
        <f>IF(32구역!M43="","",32구역!M43)</f>
        <v/>
      </c>
      <c r="M400" s="66">
        <f>IF(32구역!N43="","",32구역!N43)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2026-05-27T16:23:15Z</dcterms:created>
  <dcterms:modified xmlns:dcterms="http://purl.org/dc/terms/" xmlns:xsi="http://www.w3.org/2001/XMLSchema-instance" xsi:type="dcterms:W3CDTF">2026-05-30T09:15:23Z</dcterms:modified>
  <cp:revision>0</cp:revision>
</cp:coreProperties>
</file>