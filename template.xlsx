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pilg\Documents\NaverCloud\내가 만든 서식\하계수양회_서식\수양회_V2\"/>
    </mc:Choice>
  </mc:AlternateContent>
  <xr:revisionPtr revIDLastSave="0" documentId="8_{BFEA6684-06BA-4A56-9C2A-EC483435DEF6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구역1" sheetId="1" r:id="rId1"/>
    <sheet name="구역2" sheetId="2" r:id="rId2"/>
    <sheet name="구역3" sheetId="3" r:id="rId3"/>
    <sheet name="구역4" sheetId="4" r:id="rId4"/>
    <sheet name="구역5" sheetId="5" r:id="rId5"/>
    <sheet name="구역6" sheetId="6" r:id="rId6"/>
    <sheet name="구역7" sheetId="7" r:id="rId7"/>
    <sheet name="구역8" sheetId="8" r:id="rId8"/>
    <sheet name="구역9" sheetId="9" r:id="rId9"/>
    <sheet name="구역10" sheetId="10" r:id="rId10"/>
    <sheet name="구역11" sheetId="11" r:id="rId11"/>
    <sheet name="구역12" sheetId="12" r:id="rId12"/>
    <sheet name="구역13" sheetId="13" r:id="rId13"/>
    <sheet name="구역14" sheetId="14" r:id="rId14"/>
    <sheet name="구역15" sheetId="15" r:id="rId15"/>
    <sheet name="구역16" sheetId="16" r:id="rId16"/>
    <sheet name="구역17" sheetId="17" r:id="rId17"/>
    <sheet name="구역18" sheetId="18" r:id="rId18"/>
    <sheet name="구역19" sheetId="19" r:id="rId19"/>
    <sheet name="구역20" sheetId="20" r:id="rId20"/>
    <sheet name="전도대상자" sheetId="21" r:id="rId21"/>
    <sheet name="전도현황" sheetId="22" r:id="rId22"/>
    <sheet name="회비지원" sheetId="23" r:id="rId23"/>
    <sheet name="통계" sheetId="24" r:id="rId24"/>
    <sheet name="1호차" sheetId="25" r:id="rId25"/>
    <sheet name="2호차" sheetId="26" r:id="rId26"/>
    <sheet name="3호차" sheetId="27" r:id="rId27"/>
    <sheet name="4호차" sheetId="28" r:id="rId28"/>
    <sheet name="5호차" sheetId="29" r:id="rId29"/>
    <sheet name="6호차" sheetId="30" r:id="rId30"/>
    <sheet name="7호차" sheetId="31" r:id="rId31"/>
    <sheet name="8호차" sheetId="32" r:id="rId32"/>
    <sheet name="9호차" sheetId="33" r:id="rId33"/>
    <sheet name="10호차" sheetId="34" r:id="rId34"/>
    <sheet name="교회차" sheetId="35" r:id="rId35"/>
    <sheet name="개인차" sheetId="36" r:id="rId36"/>
    <sheet name="타교회_대중교통" sheetId="37" r:id="rId3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4" l="1" a="1"/>
  <c r="K47" i="34" s="1"/>
  <c r="D47" i="34" a="1"/>
  <c r="D47" i="34" s="1"/>
  <c r="K47" i="33" a="1"/>
  <c r="K47" i="33" s="1"/>
  <c r="D47" i="33" a="1"/>
  <c r="D47" i="33" s="1"/>
  <c r="K47" i="32" a="1"/>
  <c r="K47" i="32" s="1"/>
  <c r="D47" i="32" a="1"/>
  <c r="D47" i="32" s="1"/>
  <c r="K47" i="31" a="1"/>
  <c r="K47" i="31" s="1"/>
  <c r="D47" i="31" a="1"/>
  <c r="D47" i="31" s="1"/>
  <c r="K47" i="30" a="1"/>
  <c r="K47" i="30" s="1"/>
  <c r="D47" i="30" a="1"/>
  <c r="D47" i="30" s="1"/>
  <c r="K47" i="29" a="1"/>
  <c r="K47" i="29" s="1"/>
  <c r="D47" i="29" a="1"/>
  <c r="D47" i="29" s="1"/>
  <c r="K47" i="28" a="1"/>
  <c r="K47" i="28" s="1"/>
  <c r="D47" i="28" a="1"/>
  <c r="D47" i="28" s="1"/>
  <c r="K47" i="27" a="1"/>
  <c r="K47" i="27" s="1"/>
  <c r="D47" i="27" a="1"/>
  <c r="D47" i="27" s="1"/>
  <c r="K47" i="26" a="1"/>
  <c r="K47" i="26" s="1"/>
  <c r="D47" i="26" a="1"/>
  <c r="D47" i="26" s="1"/>
  <c r="K47" i="25" a="1"/>
  <c r="K47" i="25" s="1"/>
  <c r="D47" i="25" a="1"/>
  <c r="D47" i="25" s="1"/>
  <c r="I28" i="24"/>
  <c r="H28" i="24"/>
  <c r="G28" i="24"/>
  <c r="F28" i="24"/>
  <c r="E28" i="24"/>
  <c r="D28" i="24"/>
  <c r="C28" i="24"/>
  <c r="B28" i="24"/>
  <c r="J28" i="24" s="1"/>
  <c r="K23" i="24"/>
  <c r="J23" i="24"/>
  <c r="I23" i="24"/>
  <c r="H23" i="24"/>
  <c r="G23" i="24"/>
  <c r="F23" i="24"/>
  <c r="E23" i="24"/>
  <c r="D23" i="24"/>
  <c r="C23" i="24"/>
  <c r="B23" i="24"/>
  <c r="K22" i="24"/>
  <c r="J22" i="24"/>
  <c r="I22" i="24"/>
  <c r="H22" i="24"/>
  <c r="G22" i="24"/>
  <c r="F22" i="24"/>
  <c r="E22" i="24"/>
  <c r="D22" i="24"/>
  <c r="C22" i="24"/>
  <c r="B22" i="24"/>
  <c r="K21" i="24"/>
  <c r="J21" i="24"/>
  <c r="I21" i="24"/>
  <c r="H21" i="24"/>
  <c r="G21" i="24"/>
  <c r="F21" i="24"/>
  <c r="E21" i="24"/>
  <c r="D21" i="24"/>
  <c r="C21" i="24"/>
  <c r="B21" i="24"/>
  <c r="K20" i="24"/>
  <c r="J20" i="24"/>
  <c r="I20" i="24"/>
  <c r="H20" i="24"/>
  <c r="G20" i="24"/>
  <c r="F20" i="24"/>
  <c r="E20" i="24"/>
  <c r="D20" i="24"/>
  <c r="C20" i="24"/>
  <c r="B20" i="24"/>
  <c r="K19" i="24"/>
  <c r="J19" i="24"/>
  <c r="I19" i="24"/>
  <c r="H19" i="24"/>
  <c r="G19" i="24"/>
  <c r="F19" i="24"/>
  <c r="E19" i="24"/>
  <c r="D19" i="24"/>
  <c r="C19" i="24"/>
  <c r="B19" i="24"/>
  <c r="K18" i="24"/>
  <c r="J18" i="24"/>
  <c r="I18" i="24"/>
  <c r="H18" i="24"/>
  <c r="G18" i="24"/>
  <c r="F18" i="24"/>
  <c r="E18" i="24"/>
  <c r="D18" i="24"/>
  <c r="C18" i="24"/>
  <c r="B18" i="24"/>
  <c r="K17" i="24"/>
  <c r="J17" i="24"/>
  <c r="I17" i="24"/>
  <c r="H17" i="24"/>
  <c r="G17" i="24"/>
  <c r="F17" i="24"/>
  <c r="E17" i="24"/>
  <c r="D17" i="24"/>
  <c r="C17" i="24"/>
  <c r="B17" i="24"/>
  <c r="K16" i="24"/>
  <c r="J16" i="24"/>
  <c r="I16" i="24"/>
  <c r="H16" i="24"/>
  <c r="G16" i="24"/>
  <c r="F16" i="24"/>
  <c r="E16" i="24"/>
  <c r="D16" i="24"/>
  <c r="C16" i="24"/>
  <c r="B16" i="24"/>
  <c r="K15" i="24"/>
  <c r="J15" i="24"/>
  <c r="I15" i="24"/>
  <c r="H15" i="24"/>
  <c r="G15" i="24"/>
  <c r="F15" i="24"/>
  <c r="E15" i="24"/>
  <c r="D15" i="24"/>
  <c r="C15" i="24"/>
  <c r="B15" i="24"/>
  <c r="K14" i="24"/>
  <c r="J14" i="24"/>
  <c r="I14" i="24"/>
  <c r="H14" i="24"/>
  <c r="G14" i="24"/>
  <c r="F14" i="24"/>
  <c r="E14" i="24"/>
  <c r="D14" i="24"/>
  <c r="C14" i="24"/>
  <c r="B14" i="24"/>
  <c r="K13" i="24"/>
  <c r="J13" i="24"/>
  <c r="I13" i="24"/>
  <c r="H13" i="24"/>
  <c r="G13" i="24"/>
  <c r="F13" i="24"/>
  <c r="E13" i="24"/>
  <c r="D13" i="24"/>
  <c r="C13" i="24"/>
  <c r="B13" i="24"/>
  <c r="K12" i="24"/>
  <c r="J12" i="24"/>
  <c r="I12" i="24"/>
  <c r="H12" i="24"/>
  <c r="G12" i="24"/>
  <c r="F12" i="24"/>
  <c r="E12" i="24"/>
  <c r="D12" i="24"/>
  <c r="C12" i="24"/>
  <c r="B12" i="24"/>
  <c r="K11" i="24"/>
  <c r="J11" i="24"/>
  <c r="I11" i="24"/>
  <c r="H11" i="24"/>
  <c r="G11" i="24"/>
  <c r="F11" i="24"/>
  <c r="E11" i="24"/>
  <c r="D11" i="24"/>
  <c r="C11" i="24"/>
  <c r="B11" i="24"/>
  <c r="K10" i="24"/>
  <c r="J10" i="24"/>
  <c r="I10" i="24"/>
  <c r="H10" i="24"/>
  <c r="G10" i="24"/>
  <c r="F10" i="24"/>
  <c r="E10" i="24"/>
  <c r="D10" i="24"/>
  <c r="C10" i="24"/>
  <c r="B10" i="24"/>
  <c r="K9" i="24"/>
  <c r="J9" i="24"/>
  <c r="I9" i="24"/>
  <c r="H9" i="24"/>
  <c r="G9" i="24"/>
  <c r="F9" i="24"/>
  <c r="E9" i="24"/>
  <c r="D9" i="24"/>
  <c r="C9" i="24"/>
  <c r="B9" i="24"/>
  <c r="K8" i="24"/>
  <c r="J8" i="24"/>
  <c r="I8" i="24"/>
  <c r="H8" i="24"/>
  <c r="G8" i="24"/>
  <c r="F8" i="24"/>
  <c r="E8" i="24"/>
  <c r="D8" i="24"/>
  <c r="C8" i="24"/>
  <c r="B8" i="24"/>
  <c r="K7" i="24"/>
  <c r="J7" i="24"/>
  <c r="I7" i="24"/>
  <c r="H7" i="24"/>
  <c r="G7" i="24"/>
  <c r="F7" i="24"/>
  <c r="E7" i="24"/>
  <c r="D7" i="24"/>
  <c r="C7" i="24"/>
  <c r="B7" i="24"/>
  <c r="K6" i="24"/>
  <c r="J6" i="24"/>
  <c r="I6" i="24"/>
  <c r="H6" i="24"/>
  <c r="G6" i="24"/>
  <c r="F6" i="24"/>
  <c r="E6" i="24"/>
  <c r="D6" i="24"/>
  <c r="C6" i="24"/>
  <c r="B6" i="24"/>
  <c r="K5" i="24"/>
  <c r="J5" i="24"/>
  <c r="I5" i="24"/>
  <c r="H5" i="24"/>
  <c r="G5" i="24"/>
  <c r="F5" i="24"/>
  <c r="E5" i="24"/>
  <c r="D5" i="24"/>
  <c r="C5" i="24"/>
  <c r="B5" i="24"/>
  <c r="K4" i="24"/>
  <c r="K24" i="24" s="1"/>
  <c r="J4" i="24"/>
  <c r="J24" i="24" s="1"/>
  <c r="I4" i="24"/>
  <c r="I24" i="24" s="1"/>
  <c r="H4" i="24"/>
  <c r="H24" i="24" s="1"/>
  <c r="G4" i="24"/>
  <c r="G24" i="24" s="1"/>
  <c r="F4" i="24"/>
  <c r="F24" i="24" s="1"/>
  <c r="E4" i="24"/>
  <c r="E24" i="24" s="1"/>
  <c r="D4" i="24"/>
  <c r="D24" i="24" s="1"/>
  <c r="C4" i="24"/>
  <c r="C24" i="24" s="1"/>
  <c r="B4" i="24"/>
  <c r="B24" i="24" s="1"/>
  <c r="E82" i="23"/>
  <c r="E81" i="23"/>
  <c r="E80" i="23"/>
  <c r="E79" i="23"/>
  <c r="E78" i="23"/>
  <c r="E77" i="23"/>
  <c r="E76" i="23"/>
  <c r="E75" i="23"/>
  <c r="E74" i="23"/>
  <c r="E73" i="23"/>
  <c r="E72" i="23"/>
  <c r="E71" i="23"/>
  <c r="E70" i="23"/>
  <c r="E69" i="23"/>
  <c r="E68" i="23"/>
  <c r="E67" i="23"/>
  <c r="E66" i="23"/>
  <c r="E65" i="23"/>
  <c r="E64" i="23"/>
  <c r="E63" i="23"/>
  <c r="E62" i="23"/>
  <c r="E61" i="23"/>
  <c r="E60" i="23"/>
  <c r="E59" i="23"/>
  <c r="E58" i="23"/>
  <c r="E57" i="23"/>
  <c r="E56" i="23"/>
  <c r="E55" i="23"/>
  <c r="E54" i="23"/>
  <c r="E53" i="23"/>
  <c r="E52" i="23"/>
  <c r="E51" i="23"/>
  <c r="E50" i="23"/>
  <c r="E49" i="23"/>
  <c r="E48" i="23"/>
  <c r="E47" i="23"/>
  <c r="E46" i="23"/>
  <c r="E45" i="23"/>
  <c r="E44" i="23"/>
  <c r="E43" i="23"/>
  <c r="E42" i="23"/>
  <c r="E41" i="23"/>
  <c r="E40" i="23"/>
  <c r="E39" i="23"/>
  <c r="E38" i="23"/>
  <c r="E37" i="23"/>
  <c r="E36" i="23"/>
  <c r="E35" i="23"/>
  <c r="E34" i="23"/>
  <c r="E33" i="23"/>
  <c r="E32" i="23"/>
  <c r="E31" i="23"/>
  <c r="E30" i="23"/>
  <c r="E29" i="23"/>
  <c r="E28" i="23"/>
  <c r="E27" i="23"/>
  <c r="E26" i="23"/>
  <c r="E25" i="23"/>
  <c r="E24" i="23"/>
  <c r="E23" i="23"/>
  <c r="E22" i="23"/>
  <c r="E21" i="23"/>
  <c r="E20" i="23"/>
  <c r="E19" i="23"/>
  <c r="E18" i="23"/>
  <c r="E17" i="23"/>
  <c r="E16" i="23"/>
  <c r="E15" i="23"/>
  <c r="E14" i="23"/>
  <c r="E13" i="23"/>
  <c r="E12" i="23"/>
  <c r="E11" i="23"/>
  <c r="E10" i="23"/>
  <c r="E9" i="23"/>
  <c r="E8" i="23"/>
  <c r="E7" i="23"/>
  <c r="E6" i="23"/>
  <c r="E5" i="23"/>
  <c r="E4" i="23"/>
  <c r="E3" i="23"/>
  <c r="E83" i="23" s="1"/>
  <c r="I38" i="22"/>
  <c r="F38" i="22"/>
  <c r="E38" i="22"/>
  <c r="D38" i="22"/>
  <c r="C38" i="22"/>
  <c r="B38" i="22"/>
  <c r="I37" i="22"/>
  <c r="F37" i="22"/>
  <c r="E37" i="22"/>
  <c r="D37" i="22"/>
  <c r="C37" i="22"/>
  <c r="B37" i="22"/>
  <c r="I36" i="22"/>
  <c r="F36" i="22"/>
  <c r="E36" i="22"/>
  <c r="D36" i="22"/>
  <c r="C36" i="22"/>
  <c r="B36" i="22"/>
  <c r="I35" i="22"/>
  <c r="F35" i="22"/>
  <c r="E35" i="22"/>
  <c r="D35" i="22"/>
  <c r="C35" i="22"/>
  <c r="B35" i="22"/>
  <c r="I34" i="22"/>
  <c r="F34" i="22"/>
  <c r="E34" i="22"/>
  <c r="D34" i="22"/>
  <c r="C34" i="22"/>
  <c r="B34" i="22"/>
  <c r="I33" i="22"/>
  <c r="F33" i="22"/>
  <c r="E33" i="22"/>
  <c r="D33" i="22"/>
  <c r="C33" i="22"/>
  <c r="B33" i="22"/>
  <c r="I32" i="22"/>
  <c r="F32" i="22"/>
  <c r="E32" i="22"/>
  <c r="D32" i="22"/>
  <c r="C32" i="22"/>
  <c r="B32" i="22"/>
  <c r="I31" i="22"/>
  <c r="F31" i="22"/>
  <c r="E31" i="22"/>
  <c r="D31" i="22"/>
  <c r="C31" i="22"/>
  <c r="B31" i="22"/>
  <c r="I30" i="22"/>
  <c r="F30" i="22"/>
  <c r="E30" i="22"/>
  <c r="D30" i="22"/>
  <c r="C30" i="22"/>
  <c r="B30" i="22"/>
  <c r="I29" i="22"/>
  <c r="F29" i="22"/>
  <c r="E29" i="22"/>
  <c r="D29" i="22"/>
  <c r="C29" i="22"/>
  <c r="B29" i="22"/>
  <c r="I28" i="22"/>
  <c r="F28" i="22"/>
  <c r="E28" i="22"/>
  <c r="D28" i="22"/>
  <c r="C28" i="22"/>
  <c r="B28" i="22"/>
  <c r="I27" i="22"/>
  <c r="F27" i="22"/>
  <c r="E27" i="22"/>
  <c r="D27" i="22"/>
  <c r="C27" i="22"/>
  <c r="B27" i="22"/>
  <c r="I26" i="22"/>
  <c r="F26" i="22"/>
  <c r="E26" i="22"/>
  <c r="D26" i="22"/>
  <c r="C26" i="22"/>
  <c r="B26" i="22"/>
  <c r="I25" i="22"/>
  <c r="F25" i="22"/>
  <c r="E25" i="22"/>
  <c r="D25" i="22"/>
  <c r="C25" i="22"/>
  <c r="B25" i="22"/>
  <c r="I24" i="22"/>
  <c r="F24" i="22"/>
  <c r="E24" i="22"/>
  <c r="D24" i="22"/>
  <c r="C24" i="22"/>
  <c r="B24" i="22"/>
  <c r="I23" i="22"/>
  <c r="F23" i="22"/>
  <c r="E23" i="22"/>
  <c r="D23" i="22"/>
  <c r="C23" i="22"/>
  <c r="B23" i="22"/>
  <c r="I22" i="22"/>
  <c r="F22" i="22"/>
  <c r="E22" i="22"/>
  <c r="D22" i="22"/>
  <c r="C22" i="22"/>
  <c r="B22" i="22"/>
  <c r="I21" i="22"/>
  <c r="F21" i="22"/>
  <c r="E21" i="22"/>
  <c r="D21" i="22"/>
  <c r="C21" i="22"/>
  <c r="B21" i="22"/>
  <c r="I20" i="22"/>
  <c r="F20" i="22"/>
  <c r="E20" i="22"/>
  <c r="D20" i="22"/>
  <c r="C20" i="22"/>
  <c r="B20" i="22"/>
  <c r="I19" i="22"/>
  <c r="F19" i="22"/>
  <c r="E19" i="22"/>
  <c r="D19" i="22"/>
  <c r="C19" i="22"/>
  <c r="B19" i="22"/>
  <c r="I18" i="22"/>
  <c r="F18" i="22"/>
  <c r="E18" i="22"/>
  <c r="D18" i="22"/>
  <c r="C18" i="22"/>
  <c r="B18" i="22"/>
  <c r="I17" i="22"/>
  <c r="F17" i="22"/>
  <c r="E17" i="22"/>
  <c r="D17" i="22"/>
  <c r="C17" i="22"/>
  <c r="B17" i="22"/>
  <c r="I16" i="22"/>
  <c r="F16" i="22"/>
  <c r="E16" i="22"/>
  <c r="D16" i="22"/>
  <c r="C16" i="22"/>
  <c r="B16" i="22"/>
  <c r="I15" i="22"/>
  <c r="F15" i="22"/>
  <c r="E15" i="22"/>
  <c r="D15" i="22"/>
  <c r="C15" i="22"/>
  <c r="B15" i="22"/>
  <c r="I14" i="22"/>
  <c r="F14" i="22"/>
  <c r="E14" i="22"/>
  <c r="D14" i="22"/>
  <c r="C14" i="22"/>
  <c r="B14" i="22"/>
  <c r="I13" i="22"/>
  <c r="F13" i="22"/>
  <c r="E13" i="22"/>
  <c r="D13" i="22"/>
  <c r="C13" i="22"/>
  <c r="B13" i="22"/>
  <c r="I12" i="22"/>
  <c r="F12" i="22"/>
  <c r="E12" i="22"/>
  <c r="D12" i="22"/>
  <c r="C12" i="22"/>
  <c r="B12" i="22"/>
  <c r="I11" i="22"/>
  <c r="F11" i="22"/>
  <c r="E11" i="22"/>
  <c r="D11" i="22"/>
  <c r="C11" i="22"/>
  <c r="B11" i="22"/>
  <c r="I10" i="22"/>
  <c r="F10" i="22"/>
  <c r="E10" i="22"/>
  <c r="D10" i="22"/>
  <c r="C10" i="22"/>
  <c r="B10" i="22"/>
  <c r="I9" i="22"/>
  <c r="F9" i="22"/>
  <c r="E9" i="22"/>
  <c r="D9" i="22"/>
  <c r="C9" i="22"/>
  <c r="B9" i="22"/>
  <c r="I8" i="22"/>
  <c r="F8" i="22"/>
  <c r="E8" i="22"/>
  <c r="D8" i="22"/>
  <c r="C8" i="22"/>
  <c r="B8" i="22"/>
  <c r="I7" i="22"/>
  <c r="F7" i="22"/>
  <c r="E7" i="22"/>
  <c r="D7" i="22"/>
  <c r="C7" i="22"/>
  <c r="B7" i="22"/>
  <c r="I6" i="22"/>
  <c r="F6" i="22"/>
  <c r="E6" i="22"/>
  <c r="D6" i="22"/>
  <c r="C6" i="22"/>
  <c r="B6" i="22"/>
  <c r="I5" i="22"/>
  <c r="F5" i="22"/>
  <c r="E5" i="22"/>
  <c r="D5" i="22"/>
  <c r="C5" i="22"/>
  <c r="B5" i="22"/>
  <c r="I4" i="22"/>
  <c r="F4" i="22"/>
  <c r="E4" i="22"/>
  <c r="D4" i="22"/>
  <c r="C4" i="22"/>
  <c r="B4" i="22"/>
  <c r="I3" i="22"/>
  <c r="F3" i="22"/>
  <c r="E3" i="22"/>
  <c r="D3" i="22"/>
  <c r="C3" i="22"/>
  <c r="B3" i="22"/>
  <c r="L44" i="20"/>
  <c r="K44" i="20"/>
  <c r="J44" i="20"/>
  <c r="I44" i="20"/>
  <c r="H44" i="20"/>
  <c r="G44" i="20"/>
  <c r="F44" i="20"/>
  <c r="E44" i="20"/>
  <c r="L44" i="19"/>
  <c r="K44" i="19"/>
  <c r="J44" i="19"/>
  <c r="I44" i="19"/>
  <c r="H44" i="19"/>
  <c r="G44" i="19"/>
  <c r="F44" i="19"/>
  <c r="E44" i="19"/>
  <c r="L44" i="18"/>
  <c r="K44" i="18"/>
  <c r="J44" i="18"/>
  <c r="I44" i="18"/>
  <c r="H44" i="18"/>
  <c r="G44" i="18"/>
  <c r="F44" i="18"/>
  <c r="E44" i="18"/>
  <c r="L44" i="17"/>
  <c r="K44" i="17"/>
  <c r="J44" i="17"/>
  <c r="I44" i="17"/>
  <c r="H44" i="17"/>
  <c r="G44" i="17"/>
  <c r="F44" i="17"/>
  <c r="E44" i="17"/>
  <c r="L44" i="16"/>
  <c r="K44" i="16"/>
  <c r="J44" i="16"/>
  <c r="I44" i="16"/>
  <c r="H44" i="16"/>
  <c r="G44" i="16"/>
  <c r="F44" i="16"/>
  <c r="E44" i="16"/>
  <c r="L44" i="15"/>
  <c r="K44" i="15"/>
  <c r="J44" i="15"/>
  <c r="I44" i="15"/>
  <c r="H44" i="15"/>
  <c r="G44" i="15"/>
  <c r="F44" i="15"/>
  <c r="E44" i="15"/>
  <c r="L44" i="14"/>
  <c r="K44" i="14"/>
  <c r="J44" i="14"/>
  <c r="I44" i="14"/>
  <c r="H44" i="14"/>
  <c r="G44" i="14"/>
  <c r="F44" i="14"/>
  <c r="E44" i="14"/>
  <c r="L44" i="13"/>
  <c r="K44" i="13"/>
  <c r="J44" i="13"/>
  <c r="I44" i="13"/>
  <c r="H44" i="13"/>
  <c r="G44" i="13"/>
  <c r="F44" i="13"/>
  <c r="E44" i="13"/>
  <c r="L44" i="12"/>
  <c r="K44" i="12"/>
  <c r="J44" i="12"/>
  <c r="I44" i="12"/>
  <c r="H44" i="12"/>
  <c r="G44" i="12"/>
  <c r="F44" i="12"/>
  <c r="E44" i="12"/>
  <c r="L44" i="11"/>
  <c r="K44" i="11"/>
  <c r="J44" i="11"/>
  <c r="I44" i="11"/>
  <c r="H44" i="11"/>
  <c r="G44" i="11"/>
  <c r="F44" i="11"/>
  <c r="E44" i="11"/>
  <c r="L44" i="10"/>
  <c r="K44" i="10"/>
  <c r="J44" i="10"/>
  <c r="I44" i="10"/>
  <c r="H44" i="10"/>
  <c r="G44" i="10"/>
  <c r="F44" i="10"/>
  <c r="E44" i="10"/>
  <c r="L44" i="9"/>
  <c r="K44" i="9"/>
  <c r="J44" i="9"/>
  <c r="I44" i="9"/>
  <c r="H44" i="9"/>
  <c r="G44" i="9"/>
  <c r="F44" i="9"/>
  <c r="E44" i="9"/>
  <c r="L44" i="8"/>
  <c r="K44" i="8"/>
  <c r="J44" i="8"/>
  <c r="I44" i="8"/>
  <c r="H44" i="8"/>
  <c r="G44" i="8"/>
  <c r="F44" i="8"/>
  <c r="E44" i="8"/>
  <c r="L44" i="7"/>
  <c r="K44" i="7"/>
  <c r="J44" i="7"/>
  <c r="I44" i="7"/>
  <c r="H44" i="7"/>
  <c r="G44" i="7"/>
  <c r="F44" i="7"/>
  <c r="E44" i="7"/>
  <c r="L44" i="6"/>
  <c r="K44" i="6"/>
  <c r="J44" i="6"/>
  <c r="I44" i="6"/>
  <c r="H44" i="6"/>
  <c r="G44" i="6"/>
  <c r="F44" i="6"/>
  <c r="E44" i="6"/>
  <c r="L44" i="5"/>
  <c r="K44" i="5"/>
  <c r="J44" i="5"/>
  <c r="I44" i="5"/>
  <c r="H44" i="5"/>
  <c r="G44" i="5"/>
  <c r="F44" i="5"/>
  <c r="E44" i="5"/>
  <c r="L44" i="4"/>
  <c r="K44" i="4"/>
  <c r="J44" i="4"/>
  <c r="I44" i="4"/>
  <c r="H44" i="4"/>
  <c r="G44" i="4"/>
  <c r="F44" i="4"/>
  <c r="E44" i="4"/>
  <c r="L44" i="3"/>
  <c r="K44" i="3"/>
  <c r="J44" i="3"/>
  <c r="I44" i="3"/>
  <c r="H44" i="3"/>
  <c r="G44" i="3"/>
  <c r="F44" i="3"/>
  <c r="E44" i="3"/>
  <c r="L44" i="2"/>
  <c r="K44" i="2"/>
  <c r="J44" i="2"/>
  <c r="I44" i="2"/>
  <c r="H44" i="2"/>
  <c r="G44" i="2"/>
  <c r="F44" i="2"/>
  <c r="E44" i="2"/>
  <c r="L44" i="1"/>
  <c r="K44" i="1"/>
  <c r="J44" i="1"/>
  <c r="I44" i="1"/>
  <c r="H44" i="1"/>
  <c r="G44" i="1"/>
  <c r="F44" i="1"/>
  <c r="E44" i="1"/>
</calcChain>
</file>

<file path=xl/sharedStrings.xml><?xml version="1.0" encoding="utf-8"?>
<sst xmlns="http://schemas.openxmlformats.org/spreadsheetml/2006/main" count="1123" uniqueCount="145">
  <si>
    <t>2026년 하계수양회  ─  11구역</t>
  </si>
  <si>
    <t>NO</t>
  </si>
  <si>
    <t>구역</t>
  </si>
  <si>
    <t>부서
(회별)</t>
  </si>
  <si>
    <t>성 명</t>
  </si>
  <si>
    <t>차수</t>
  </si>
  <si>
    <t>교 통 편</t>
  </si>
  <si>
    <t>인 도 자</t>
  </si>
  <si>
    <t>비고</t>
  </si>
  <si>
    <t>본대
상행</t>
  </si>
  <si>
    <t>본대
하행</t>
  </si>
  <si>
    <t>기타
상행</t>
  </si>
  <si>
    <t>기타
하행</t>
  </si>
  <si>
    <t>개인차 상행</t>
  </si>
  <si>
    <t>개인차 하행</t>
  </si>
  <si>
    <t>관계</t>
  </si>
  <si>
    <t>합  계</t>
  </si>
  <si>
    <t>전도 대상자 명단</t>
  </si>
  <si>
    <t>회(부서)</t>
  </si>
  <si>
    <t>성  명</t>
  </si>
  <si>
    <t>인도자</t>
  </si>
  <si>
    <t>숙소</t>
  </si>
  <si>
    <t>2026년 하계수양회 전도 및 침례 현황</t>
  </si>
  <si>
    <t>성명</t>
  </si>
  <si>
    <t>구원시인</t>
  </si>
  <si>
    <t>침례여부</t>
  </si>
  <si>
    <t>회비 지원 명단</t>
  </si>
  <si>
    <t>금액</t>
  </si>
  <si>
    <t>회비</t>
  </si>
  <si>
    <t>은장회</t>
  </si>
  <si>
    <t>봉사회</t>
  </si>
  <si>
    <t>어머니회</t>
  </si>
  <si>
    <t>청년회</t>
  </si>
  <si>
    <t>대학부</t>
  </si>
  <si>
    <t>중고등부</t>
  </si>
  <si>
    <t>초등부</t>
  </si>
  <si>
    <t>유치부</t>
  </si>
  <si>
    <t>미취학</t>
  </si>
  <si>
    <t>교통편 집계표</t>
  </si>
  <si>
    <t>본대 버스</t>
  </si>
  <si>
    <t>교회차</t>
  </si>
  <si>
    <t>타교회</t>
  </si>
  <si>
    <t>개인차량</t>
  </si>
  <si>
    <t>대중교통</t>
  </si>
  <si>
    <t>상행</t>
  </si>
  <si>
    <t>하행</t>
  </si>
  <si>
    <t>구역1</t>
  </si>
  <si>
    <t>구역2</t>
  </si>
  <si>
    <t>구역3</t>
  </si>
  <si>
    <t>구역4</t>
  </si>
  <si>
    <t>구역5</t>
  </si>
  <si>
    <t>구역6</t>
  </si>
  <si>
    <t>구역7</t>
  </si>
  <si>
    <t>구역8</t>
  </si>
  <si>
    <t>구역9</t>
  </si>
  <si>
    <t>구역10</t>
  </si>
  <si>
    <t>구역11</t>
  </si>
  <si>
    <t>구역12</t>
  </si>
  <si>
    <t>구역13</t>
  </si>
  <si>
    <t>구역14</t>
  </si>
  <si>
    <t>구역15</t>
  </si>
  <si>
    <t>구역16</t>
  </si>
  <si>
    <t>구역17</t>
  </si>
  <si>
    <t>구역18</t>
  </si>
  <si>
    <t>구역19</t>
  </si>
  <si>
    <t>구역20</t>
  </si>
  <si>
    <t>차수별 접수인원</t>
  </si>
  <si>
    <t>1차</t>
  </si>
  <si>
    <t>2차</t>
  </si>
  <si>
    <t>3차</t>
  </si>
  <si>
    <t>4차</t>
  </si>
  <si>
    <t>5차</t>
  </si>
  <si>
    <t>6차</t>
  </si>
  <si>
    <t>7차</t>
  </si>
  <si>
    <t>8차</t>
  </si>
  <si>
    <t>계</t>
  </si>
  <si>
    <t>접수인원</t>
  </si>
  <si>
    <t>적용 차수</t>
  </si>
  <si>
    <t>상행  1호차</t>
  </si>
  <si>
    <t>하행  1호차</t>
  </si>
  <si>
    <t>선탑자:</t>
  </si>
  <si>
    <t>확인</t>
  </si>
  <si>
    <t>상행  2호차</t>
  </si>
  <si>
    <t>하행  2호차</t>
  </si>
  <si>
    <t>상행  3호차</t>
  </si>
  <si>
    <t>하행  3호차</t>
  </si>
  <si>
    <t>상행  4호차</t>
  </si>
  <si>
    <t>하행  4호차</t>
  </si>
  <si>
    <t>상행  5호차</t>
  </si>
  <si>
    <t>하행  5호차</t>
  </si>
  <si>
    <t>상행  6호차</t>
  </si>
  <si>
    <t>하행  6호차</t>
  </si>
  <si>
    <t>상행  7호차</t>
  </si>
  <si>
    <t>하행  7호차</t>
  </si>
  <si>
    <t>상행  8호차</t>
  </si>
  <si>
    <t>하행  8호차</t>
  </si>
  <si>
    <t>상행  9호차</t>
  </si>
  <si>
    <t>하행  9호차</t>
  </si>
  <si>
    <t>상행  10호차</t>
  </si>
  <si>
    <t>하행  10호차</t>
  </si>
  <si>
    <t>교회차1  ─  본대 출발</t>
  </si>
  <si>
    <t>교회차1  합  계</t>
  </si>
  <si>
    <t>교회차2</t>
  </si>
  <si>
    <t>부서</t>
  </si>
  <si>
    <t>교회차2  합  계</t>
  </si>
  <si>
    <t>교회차3  ─  본대 출발</t>
  </si>
  <si>
    <t>교회차3  합  계</t>
  </si>
  <si>
    <t>교회차4  ─  본대 출발</t>
  </si>
  <si>
    <t>교회차4  합  계</t>
  </si>
  <si>
    <t>교회차5  ─  본대 출발</t>
  </si>
  <si>
    <t>교회차5  합  계</t>
  </si>
  <si>
    <t>개인차1</t>
  </si>
  <si>
    <t>no</t>
  </si>
  <si>
    <t>개인차2</t>
  </si>
  <si>
    <t>회</t>
  </si>
  <si>
    <t>개인차3</t>
  </si>
  <si>
    <t>개인차4</t>
  </si>
  <si>
    <t>개인차5</t>
  </si>
  <si>
    <t>개인차6</t>
  </si>
  <si>
    <t>개인차7</t>
  </si>
  <si>
    <t>개인차8</t>
  </si>
  <si>
    <t>개인차9</t>
  </si>
  <si>
    <t>개인차10</t>
  </si>
  <si>
    <t>개인차11</t>
  </si>
  <si>
    <t>개인차12</t>
  </si>
  <si>
    <t>개인차13</t>
  </si>
  <si>
    <t>개인차14</t>
  </si>
  <si>
    <t>개인차15</t>
  </si>
  <si>
    <t>개인차16</t>
  </si>
  <si>
    <t>개인차17</t>
  </si>
  <si>
    <t>개인차18</t>
  </si>
  <si>
    <t>개인차19</t>
  </si>
  <si>
    <t>개인차20</t>
  </si>
  <si>
    <t>개인차21</t>
  </si>
  <si>
    <t>개인차22</t>
  </si>
  <si>
    <t>개인차23</t>
  </si>
  <si>
    <t>개인차24</t>
  </si>
  <si>
    <t>개인차25</t>
  </si>
  <si>
    <t>개인차26</t>
  </si>
  <si>
    <t>개인차27</t>
  </si>
  <si>
    <t>개인차28</t>
  </si>
  <si>
    <t>개인차29</t>
  </si>
  <si>
    <t>개인차30</t>
  </si>
  <si>
    <t>타교회  합  계</t>
  </si>
  <si>
    <t>대중교통  합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</si>
</sst>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charset val="1"/>
    </font>
    <font>
      <b/>
      <sz val="16"/>
      <color rgb="FFFFFFFF"/>
      <name val="Malgun Gothic"/>
      <family val="3"/>
      <charset val="129"/>
    </font>
    <font>
      <b/>
      <sz val="16"/>
      <color rgb="FFFFFFFF"/>
      <name val="Noto Sans CJK SC"/>
      <family val="2"/>
    </font>
    <font>
      <b/>
      <sz val="10"/>
      <color rgb="FFFFFFFF"/>
      <name val="Malgun Gothic"/>
      <family val="3"/>
      <charset val="129"/>
    </font>
    <font>
      <b/>
      <sz val="10"/>
      <color rgb="FFFFFFFF"/>
      <name val="Noto Sans CJK SC"/>
      <family val="2"/>
    </font>
    <font>
      <b/>
      <sz val="9"/>
      <color rgb="FF2C3E50"/>
      <name val="Noto Sans CJK SC"/>
      <family val="2"/>
    </font>
    <font>
      <sz val="8"/>
      <color rgb="FF7F8C8D"/>
      <name val="Malgun Gothic"/>
      <family val="3"/>
      <charset val="129"/>
    </font>
    <font>
      <sz val="10"/>
      <color rgb="FF000000"/>
      <name val="Malgun Gothic"/>
      <family val="3"/>
      <charset val="129"/>
    </font>
    <font>
      <b/>
      <sz val="10"/>
      <color rgb="FF000000"/>
      <name val="Noto Sans CJK SC"/>
      <family val="2"/>
    </font>
    <font>
      <b/>
      <sz val="10"/>
      <color rgb="FF000000"/>
      <name val="Malgun Gothic"/>
      <family val="3"/>
      <charset val="129"/>
    </font>
    <font>
      <b/>
      <sz val="16"/>
      <color rgb="FF2C3E50"/>
      <name val="Noto Sans CJK SC"/>
      <family val="2"/>
    </font>
    <font>
      <b/>
      <sz val="9"/>
      <color rgb="FF2C3E50"/>
      <name val="Malgun Gothic"/>
      <family val="3"/>
      <charset val="129"/>
    </font>
    <font>
      <sz val="11"/>
      <name val="Noto Sans CJK SC"/>
      <family val="2"/>
    </font>
    <font>
      <sz val="11"/>
      <name val="Malgun Gothic"/>
      <family val="3"/>
      <charset val="129"/>
    </font>
    <font>
      <b/>
      <sz val="9"/>
      <color rgb="FF1B3A5C"/>
      <name val="Noto Sans CJK SC"/>
      <family val="2"/>
    </font>
    <font>
      <b/>
      <sz val="9"/>
      <color rgb="FF1B3A5C"/>
      <name val="Malgun Gothic"/>
      <family val="3"/>
      <charset val="129"/>
    </font>
    <font>
      <b/>
      <sz val="12"/>
      <color rgb="FFFFFFFF"/>
      <name val="Noto Sans CJK SC"/>
      <family val="2"/>
    </font>
    <font>
      <sz val="8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1B3A5C"/>
        <bgColor rgb="FF2C3E50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DF2F9"/>
      </patternFill>
    </fill>
    <fill>
      <patternFill patternType="solid">
        <fgColor rgb="FFEDF2F9"/>
        <bgColor rgb="FFFFF8E1"/>
      </patternFill>
    </fill>
    <fill>
      <patternFill patternType="solid">
        <fgColor rgb="FFFFFFFF"/>
        <bgColor rgb="FFFFF8E1"/>
      </patternFill>
    </fill>
    <fill>
      <patternFill patternType="solid">
        <fgColor rgb="FFFFF8E1"/>
        <bgColor rgb="FFFFFFFF"/>
      </patternFill>
    </fill>
    <fill>
      <patternFill patternType="solid">
        <fgColor rgb="FFF2C94C"/>
        <bgColor rgb="FFFFCC99"/>
      </patternFill>
    </fill>
  </fills>
  <borders count="7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 style="thin">
        <color rgb="FFBDC3C7"/>
      </right>
      <top style="thin">
        <color rgb="FFBDC3C7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 wrapText="1"/>
    </xf>
    <xf numFmtId="3" fontId="7" fillId="5" borderId="3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7" fillId="6" borderId="3" xfId="0" applyNumberFormat="1" applyFont="1" applyFill="1" applyBorder="1" applyAlignment="1">
      <alignment horizontal="center" vertical="center" wrapText="1"/>
    </xf>
    <xf numFmtId="3" fontId="15" fillId="7" borderId="3" xfId="0" applyNumberFormat="1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1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0" fillId="0" borderId="5" xfId="0" applyBorder="1"/>
    <xf numFmtId="0" fontId="3" fillId="3" borderId="2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0" xfId="0"/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7F8C8D"/>
      <rgbColor rgb="FF9999FF"/>
      <rgbColor rgb="FF993366"/>
      <rgbColor rgb="FFFFF8E1"/>
      <rgbColor rgb="FFEDF2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2C94C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4"/>
  <sheetViews>
    <sheetView tabSelected="1" zoomScaleNormal="100" workbookViewId="0">
      <selection sqref="A1:N1"/>
    </sheetView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44"/>
  <sheetViews>
    <sheetView workbookViewId="0"/>
  </sheetViews>
  <sheetFormatPr defaultColWidth="8.6328125" defaultRowHeight="14.5"/>
  <cols>
    <col min="1" max="1" width="4.453125" customWidth="1"/>
    <col min="2" max="2" width="5" customWidth="1"/>
    <col min="3" max="3" width="9" customWidth="1"/>
    <col min="4" max="4" width="8" customWidth="1"/>
    <col min="5" max="5" width="5.54296875" customWidth="1"/>
    <col min="6" max="6" width="7.453125" customWidth="1"/>
    <col min="7" max="9" width="13" customWidth="1"/>
    <col min="10" max="10" width="6" customWidth="1"/>
    <col min="11" max="11" width="13" customWidth="1"/>
    <col min="12" max="12" width="8" customWidth="1"/>
    <col min="13" max="13" width="6" customWidth="1"/>
    <col min="14" max="14" width="9" customWidth="1"/>
  </cols>
  <sheetData>
    <row r="1" spans="1:14" ht="36" customHeight="1">
      <c r="A1" s="23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21.75" customHeight="1">
      <c r="A2" s="26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21" t="s">
        <v>6</v>
      </c>
      <c r="G2" s="22"/>
      <c r="H2" s="22"/>
      <c r="I2" s="22"/>
      <c r="J2" s="22"/>
      <c r="K2" s="22"/>
      <c r="L2" s="21" t="s">
        <v>7</v>
      </c>
      <c r="M2" s="22"/>
      <c r="N2" s="24" t="s">
        <v>8</v>
      </c>
    </row>
    <row r="3" spans="1:14" ht="28.5" customHeight="1">
      <c r="A3" s="25"/>
      <c r="B3" s="25"/>
      <c r="C3" s="25"/>
      <c r="D3" s="25"/>
      <c r="E3" s="25"/>
      <c r="F3" s="2" t="s">
        <v>9</v>
      </c>
      <c r="G3" s="2" t="s">
        <v>10</v>
      </c>
      <c r="H3" s="2" t="s">
        <v>11</v>
      </c>
      <c r="I3" s="2" t="s">
        <v>12</v>
      </c>
      <c r="J3" s="2" t="s">
        <v>13</v>
      </c>
      <c r="K3" s="2" t="s">
        <v>14</v>
      </c>
      <c r="L3" s="2" t="s">
        <v>4</v>
      </c>
      <c r="M3" s="2" t="s">
        <v>15</v>
      </c>
      <c r="N3" s="25"/>
    </row>
    <row r="4" spans="1:14" ht="19.5" customHeight="1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1:14" ht="19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9.5" customHeigh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4" ht="19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spans="1:14" ht="19.5" customHeight="1">
      <c r="A9" s="5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ht="19.5" customHeight="1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 spans="1:14" ht="19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 ht="19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ht="19.5" customHeight="1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 ht="19.5" customHeigh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ht="19.5" customHeight="1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 ht="19.5" customHeight="1">
      <c r="A17" s="5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ht="19.5" customHeight="1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 ht="19.5" customHeight="1">
      <c r="A19" s="5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ht="19.5" customHeight="1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ht="19.5" customHeight="1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ht="19.5" customHeight="1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 ht="19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ht="19.5" customHeight="1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 ht="19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ht="19.5" customHeight="1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ht="19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ht="19.5" customHeight="1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ht="19.5" customHeight="1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ht="19.5" customHeight="1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 ht="19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ht="19.5" customHeight="1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 ht="19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ht="19.5" customHeight="1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ht="19.5" customHeight="1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ht="19.5" customHeight="1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1:14" ht="19.5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ht="19.5" customHeight="1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ht="19.5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ht="19.5" customHeight="1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9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ht="19.5" customHeight="1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spans="1:14" ht="19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ht="15" customHeight="1">
      <c r="A44" s="27" t="s">
        <v>16</v>
      </c>
      <c r="B44" s="22"/>
      <c r="C44" s="22"/>
      <c r="D44" s="22"/>
      <c r="E44" s="8" t="str">
        <f t="shared" ref="E44:L44" si="0">IF(COUNTA(E4:E43)=0,"",COUNTA(E4:E43))</f>
        <v/>
      </c>
      <c r="F44" s="8" t="str">
        <f t="shared" si="0"/>
        <v/>
      </c>
      <c r="G44" s="8" t="str">
        <f t="shared" si="0"/>
        <v/>
      </c>
      <c r="H44" s="8" t="str">
        <f t="shared" si="0"/>
        <v/>
      </c>
      <c r="I44" s="8" t="str">
        <f t="shared" si="0"/>
        <v/>
      </c>
      <c r="J44" s="8" t="str">
        <f t="shared" si="0"/>
        <v/>
      </c>
      <c r="K44" s="8" t="str">
        <f t="shared" si="0"/>
        <v/>
      </c>
      <c r="L44" s="8" t="str">
        <f t="shared" si="0"/>
        <v/>
      </c>
      <c r="M44" s="8"/>
      <c r="N44" s="8"/>
    </row>
  </sheetData>
  <mergeCells count="10">
    <mergeCell ref="A44:D44"/>
    <mergeCell ref="L2:M2"/>
    <mergeCell ref="A1:N1"/>
    <mergeCell ref="C2:C3"/>
    <mergeCell ref="A2:A3"/>
    <mergeCell ref="B2:B3"/>
    <mergeCell ref="N2:N3"/>
    <mergeCell ref="D2:D3"/>
    <mergeCell ref="F2:K2"/>
    <mergeCell ref="E2:E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2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.81640625" customWidth="1"/>
    <col min="4" max="4" width="8" customWidth="1"/>
    <col min="5" max="5" width="7.81640625" customWidth="1"/>
    <col min="6" max="6" width="8" customWidth="1"/>
    <col min="7" max="7" width="7" customWidth="1"/>
    <col min="8" max="8" width="13" customWidth="1"/>
    <col min="9" max="9" width="9" customWidth="1"/>
  </cols>
  <sheetData>
    <row r="1" spans="1:9" ht="36" customHeight="1">
      <c r="A1" s="28" t="s">
        <v>17</v>
      </c>
      <c r="B1" s="22"/>
      <c r="C1" s="22"/>
      <c r="D1" s="22"/>
      <c r="E1" s="22"/>
      <c r="F1" s="22"/>
      <c r="G1" s="22"/>
      <c r="H1" s="22"/>
      <c r="I1" s="22"/>
    </row>
    <row r="2" spans="1:9" ht="24" customHeight="1">
      <c r="A2" s="9" t="s">
        <v>1</v>
      </c>
      <c r="B2" s="10" t="s">
        <v>2</v>
      </c>
      <c r="C2" s="10" t="s">
        <v>18</v>
      </c>
      <c r="D2" s="10" t="s">
        <v>19</v>
      </c>
      <c r="E2" s="10" t="s">
        <v>15</v>
      </c>
      <c r="F2" s="10" t="s">
        <v>20</v>
      </c>
      <c r="G2" s="21" t="s">
        <v>21</v>
      </c>
      <c r="H2" s="22"/>
      <c r="I2" s="10" t="s">
        <v>8</v>
      </c>
    </row>
    <row r="3" spans="1:9" ht="19.5" customHeight="1">
      <c r="A3" s="3">
        <v>1</v>
      </c>
      <c r="B3" s="4"/>
      <c r="C3" s="4"/>
      <c r="D3" s="4"/>
      <c r="E3" s="4"/>
      <c r="F3" s="4"/>
      <c r="G3" s="4"/>
      <c r="H3" s="4"/>
      <c r="I3" s="4"/>
    </row>
    <row r="4" spans="1:9" ht="19.5" customHeight="1">
      <c r="A4" s="5">
        <v>2</v>
      </c>
      <c r="B4" s="6"/>
      <c r="C4" s="6"/>
      <c r="D4" s="6"/>
      <c r="E4" s="6"/>
      <c r="F4" s="6"/>
      <c r="G4" s="6"/>
      <c r="H4" s="6"/>
      <c r="I4" s="6"/>
    </row>
    <row r="5" spans="1:9" ht="19.5" customHeight="1">
      <c r="A5" s="3">
        <v>3</v>
      </c>
      <c r="B5" s="4"/>
      <c r="C5" s="4"/>
      <c r="D5" s="4"/>
      <c r="E5" s="4"/>
      <c r="F5" s="4"/>
      <c r="G5" s="4"/>
      <c r="H5" s="4"/>
      <c r="I5" s="4"/>
    </row>
    <row r="6" spans="1:9" ht="19.5" customHeight="1">
      <c r="A6" s="5">
        <v>4</v>
      </c>
      <c r="B6" s="6"/>
      <c r="C6" s="6"/>
      <c r="D6" s="6"/>
      <c r="E6" s="6"/>
      <c r="F6" s="6"/>
      <c r="G6" s="6"/>
      <c r="H6" s="6"/>
      <c r="I6" s="6"/>
    </row>
    <row r="7" spans="1:9" ht="19.5" customHeight="1">
      <c r="A7" s="3">
        <v>5</v>
      </c>
      <c r="B7" s="4"/>
      <c r="C7" s="4"/>
      <c r="D7" s="4"/>
      <c r="E7" s="4"/>
      <c r="F7" s="4"/>
      <c r="G7" s="4"/>
      <c r="H7" s="4"/>
      <c r="I7" s="4"/>
    </row>
    <row r="8" spans="1:9" ht="19.5" customHeight="1">
      <c r="A8" s="5">
        <v>6</v>
      </c>
      <c r="B8" s="6"/>
      <c r="C8" s="6"/>
      <c r="D8" s="6"/>
      <c r="E8" s="6"/>
      <c r="F8" s="6"/>
      <c r="G8" s="6"/>
      <c r="H8" s="6"/>
      <c r="I8" s="6"/>
    </row>
    <row r="9" spans="1:9" ht="19.5" customHeight="1">
      <c r="A9" s="3">
        <v>7</v>
      </c>
      <c r="B9" s="4"/>
      <c r="C9" s="4"/>
      <c r="D9" s="4"/>
      <c r="E9" s="4"/>
      <c r="F9" s="4"/>
      <c r="G9" s="4"/>
      <c r="H9" s="4"/>
      <c r="I9" s="4"/>
    </row>
    <row r="10" spans="1:9" ht="19.5" customHeight="1">
      <c r="A10" s="5">
        <v>8</v>
      </c>
      <c r="B10" s="6"/>
      <c r="C10" s="6"/>
      <c r="D10" s="6"/>
      <c r="E10" s="6"/>
      <c r="F10" s="6"/>
      <c r="G10" s="6"/>
      <c r="H10" s="6"/>
      <c r="I10" s="6"/>
    </row>
    <row r="11" spans="1:9" ht="19.5" customHeight="1">
      <c r="A11" s="3">
        <v>9</v>
      </c>
      <c r="B11" s="4"/>
      <c r="C11" s="4"/>
      <c r="D11" s="4"/>
      <c r="E11" s="4"/>
      <c r="F11" s="4"/>
      <c r="G11" s="4"/>
      <c r="H11" s="4"/>
      <c r="I11" s="4"/>
    </row>
    <row r="12" spans="1:9" ht="19.5" customHeight="1">
      <c r="A12" s="5">
        <v>10</v>
      </c>
      <c r="B12" s="6"/>
      <c r="C12" s="6"/>
      <c r="D12" s="6"/>
      <c r="E12" s="6"/>
      <c r="F12" s="6"/>
      <c r="G12" s="6"/>
      <c r="H12" s="6"/>
      <c r="I12" s="6"/>
    </row>
    <row r="13" spans="1:9" ht="19.5" customHeight="1">
      <c r="A13" s="3">
        <v>11</v>
      </c>
      <c r="B13" s="4"/>
      <c r="C13" s="4"/>
      <c r="D13" s="4"/>
      <c r="E13" s="4"/>
      <c r="F13" s="4"/>
      <c r="G13" s="4"/>
      <c r="H13" s="4"/>
      <c r="I13" s="4"/>
    </row>
    <row r="14" spans="1:9" ht="19.5" customHeight="1">
      <c r="A14" s="5">
        <v>12</v>
      </c>
      <c r="B14" s="6"/>
      <c r="C14" s="6"/>
      <c r="D14" s="6"/>
      <c r="E14" s="6"/>
      <c r="F14" s="6"/>
      <c r="G14" s="6"/>
      <c r="H14" s="6"/>
      <c r="I14" s="6"/>
    </row>
    <row r="15" spans="1:9" ht="19.5" customHeight="1">
      <c r="A15" s="3">
        <v>13</v>
      </c>
      <c r="B15" s="4"/>
      <c r="C15" s="4"/>
      <c r="D15" s="4"/>
      <c r="E15" s="4"/>
      <c r="F15" s="4"/>
      <c r="G15" s="4"/>
      <c r="H15" s="4"/>
      <c r="I15" s="4"/>
    </row>
    <row r="16" spans="1:9" ht="19.5" customHeight="1">
      <c r="A16" s="5">
        <v>14</v>
      </c>
      <c r="B16" s="6"/>
      <c r="C16" s="6"/>
      <c r="D16" s="6"/>
      <c r="E16" s="6"/>
      <c r="F16" s="6"/>
      <c r="G16" s="6"/>
      <c r="H16" s="6"/>
      <c r="I16" s="6"/>
    </row>
    <row r="17" spans="1:9" ht="19.5" customHeight="1">
      <c r="A17" s="3">
        <v>15</v>
      </c>
      <c r="B17" s="4"/>
      <c r="C17" s="4"/>
      <c r="D17" s="4"/>
      <c r="E17" s="4"/>
      <c r="F17" s="4"/>
      <c r="G17" s="4"/>
      <c r="H17" s="4"/>
      <c r="I17" s="4"/>
    </row>
    <row r="18" spans="1:9" ht="19.5" customHeight="1">
      <c r="A18" s="5">
        <v>16</v>
      </c>
      <c r="B18" s="6"/>
      <c r="C18" s="6"/>
      <c r="D18" s="6"/>
      <c r="E18" s="6"/>
      <c r="F18" s="6"/>
      <c r="G18" s="6"/>
      <c r="H18" s="6"/>
      <c r="I18" s="6"/>
    </row>
    <row r="19" spans="1:9" ht="19.5" customHeight="1">
      <c r="A19" s="3">
        <v>17</v>
      </c>
      <c r="B19" s="4"/>
      <c r="C19" s="4"/>
      <c r="D19" s="4"/>
      <c r="E19" s="4"/>
      <c r="F19" s="4"/>
      <c r="G19" s="4"/>
      <c r="H19" s="4"/>
      <c r="I19" s="4"/>
    </row>
    <row r="20" spans="1:9" ht="19.5" customHeight="1">
      <c r="A20" s="5">
        <v>18</v>
      </c>
      <c r="B20" s="6"/>
      <c r="C20" s="6"/>
      <c r="D20" s="6"/>
      <c r="E20" s="6"/>
      <c r="F20" s="6"/>
      <c r="G20" s="6"/>
      <c r="H20" s="6"/>
      <c r="I20" s="6"/>
    </row>
    <row r="21" spans="1:9" ht="19.5" customHeight="1">
      <c r="A21" s="3">
        <v>19</v>
      </c>
      <c r="B21" s="4"/>
      <c r="C21" s="4"/>
      <c r="D21" s="4"/>
      <c r="E21" s="4"/>
      <c r="F21" s="4"/>
      <c r="G21" s="4"/>
      <c r="H21" s="4"/>
      <c r="I21" s="4"/>
    </row>
    <row r="22" spans="1:9" ht="19.5" customHeight="1">
      <c r="A22" s="5">
        <v>20</v>
      </c>
      <c r="B22" s="6"/>
      <c r="C22" s="6"/>
      <c r="D22" s="6"/>
      <c r="E22" s="6"/>
      <c r="F22" s="6"/>
      <c r="G22" s="6"/>
      <c r="H22" s="6"/>
      <c r="I22" s="6"/>
    </row>
    <row r="23" spans="1:9" ht="19.5" customHeight="1">
      <c r="A23" s="3">
        <v>21</v>
      </c>
      <c r="B23" s="4"/>
      <c r="C23" s="4"/>
      <c r="D23" s="4"/>
      <c r="E23" s="4"/>
      <c r="F23" s="4"/>
      <c r="G23" s="4"/>
      <c r="H23" s="4"/>
      <c r="I23" s="4"/>
    </row>
    <row r="24" spans="1:9" ht="19.5" customHeight="1">
      <c r="A24" s="5">
        <v>22</v>
      </c>
      <c r="B24" s="6"/>
      <c r="C24" s="6"/>
      <c r="D24" s="6"/>
      <c r="E24" s="6"/>
      <c r="F24" s="6"/>
      <c r="G24" s="6"/>
      <c r="H24" s="6"/>
      <c r="I24" s="6"/>
    </row>
    <row r="25" spans="1:9" ht="19.5" customHeight="1">
      <c r="A25" s="3">
        <v>23</v>
      </c>
      <c r="B25" s="4"/>
      <c r="C25" s="4"/>
      <c r="D25" s="4"/>
      <c r="E25" s="4"/>
      <c r="F25" s="4"/>
      <c r="G25" s="4"/>
      <c r="H25" s="4"/>
      <c r="I25" s="4"/>
    </row>
    <row r="26" spans="1:9" ht="19.5" customHeight="1">
      <c r="A26" s="5">
        <v>24</v>
      </c>
      <c r="B26" s="6"/>
      <c r="C26" s="6"/>
      <c r="D26" s="6"/>
      <c r="E26" s="6"/>
      <c r="F26" s="6"/>
      <c r="G26" s="6"/>
      <c r="H26" s="6"/>
      <c r="I26" s="6"/>
    </row>
    <row r="27" spans="1:9" ht="19.5" customHeight="1">
      <c r="A27" s="3">
        <v>25</v>
      </c>
      <c r="B27" s="4"/>
      <c r="C27" s="4"/>
      <c r="D27" s="4"/>
      <c r="E27" s="4"/>
      <c r="F27" s="4"/>
      <c r="G27" s="4"/>
      <c r="H27" s="4"/>
      <c r="I27" s="4"/>
    </row>
    <row r="28" spans="1:9" ht="19.5" customHeight="1">
      <c r="A28" s="5">
        <v>26</v>
      </c>
      <c r="B28" s="6"/>
      <c r="C28" s="6"/>
      <c r="D28" s="6"/>
      <c r="E28" s="6"/>
      <c r="F28" s="6"/>
      <c r="G28" s="6"/>
      <c r="H28" s="6"/>
      <c r="I28" s="6"/>
    </row>
    <row r="29" spans="1:9" ht="19.5" customHeight="1">
      <c r="A29" s="3">
        <v>27</v>
      </c>
      <c r="B29" s="4"/>
      <c r="C29" s="4"/>
      <c r="D29" s="4"/>
      <c r="E29" s="4"/>
      <c r="F29" s="4"/>
      <c r="G29" s="4"/>
      <c r="H29" s="4"/>
      <c r="I29" s="4"/>
    </row>
    <row r="30" spans="1:9" ht="19.5" customHeight="1">
      <c r="A30" s="5">
        <v>28</v>
      </c>
      <c r="B30" s="6"/>
      <c r="C30" s="6"/>
      <c r="D30" s="6"/>
      <c r="E30" s="6"/>
      <c r="F30" s="6"/>
      <c r="G30" s="6"/>
      <c r="H30" s="6"/>
      <c r="I30" s="6"/>
    </row>
    <row r="31" spans="1:9" ht="19.5" customHeight="1">
      <c r="A31" s="3">
        <v>29</v>
      </c>
      <c r="B31" s="4"/>
      <c r="C31" s="4"/>
      <c r="D31" s="4"/>
      <c r="E31" s="4"/>
      <c r="F31" s="4"/>
      <c r="G31" s="4"/>
      <c r="H31" s="4"/>
      <c r="I31" s="4"/>
    </row>
    <row r="32" spans="1:9" ht="19.5" customHeight="1">
      <c r="A32" s="5">
        <v>30</v>
      </c>
      <c r="B32" s="6"/>
      <c r="C32" s="6"/>
      <c r="D32" s="6"/>
      <c r="E32" s="6"/>
      <c r="F32" s="6"/>
      <c r="G32" s="6"/>
      <c r="H32" s="6"/>
      <c r="I32" s="6"/>
    </row>
    <row r="33" spans="1:9" ht="19.5" customHeight="1">
      <c r="A33" s="3">
        <v>31</v>
      </c>
      <c r="B33" s="4"/>
      <c r="C33" s="4"/>
      <c r="D33" s="4"/>
      <c r="E33" s="4"/>
      <c r="F33" s="4"/>
      <c r="G33" s="4"/>
      <c r="H33" s="4"/>
      <c r="I33" s="4"/>
    </row>
    <row r="34" spans="1:9" ht="19.5" customHeight="1">
      <c r="A34" s="5">
        <v>32</v>
      </c>
      <c r="B34" s="6"/>
      <c r="C34" s="6"/>
      <c r="D34" s="6"/>
      <c r="E34" s="6"/>
      <c r="F34" s="6"/>
      <c r="G34" s="6"/>
      <c r="H34" s="6"/>
      <c r="I34" s="6"/>
    </row>
    <row r="35" spans="1:9" ht="19.5" customHeight="1">
      <c r="A35" s="3">
        <v>33</v>
      </c>
      <c r="B35" s="4"/>
      <c r="C35" s="4"/>
      <c r="D35" s="4"/>
      <c r="E35" s="4"/>
      <c r="F35" s="4"/>
      <c r="G35" s="4"/>
      <c r="H35" s="4"/>
      <c r="I35" s="4"/>
    </row>
    <row r="36" spans="1:9" ht="19.5" customHeight="1">
      <c r="A36" s="5">
        <v>34</v>
      </c>
      <c r="B36" s="6"/>
      <c r="C36" s="6"/>
      <c r="D36" s="6"/>
      <c r="E36" s="6"/>
      <c r="F36" s="6"/>
      <c r="G36" s="6"/>
      <c r="H36" s="6"/>
      <c r="I36" s="6"/>
    </row>
    <row r="37" spans="1:9" ht="19.5" customHeight="1">
      <c r="A37" s="3">
        <v>35</v>
      </c>
      <c r="B37" s="4"/>
      <c r="C37" s="4"/>
      <c r="D37" s="4"/>
      <c r="E37" s="4"/>
      <c r="F37" s="4"/>
      <c r="G37" s="4"/>
      <c r="H37" s="4"/>
      <c r="I37" s="4"/>
    </row>
    <row r="38" spans="1:9" ht="19.5" customHeight="1">
      <c r="A38" s="5">
        <v>36</v>
      </c>
      <c r="B38" s="6"/>
      <c r="C38" s="6"/>
      <c r="D38" s="6"/>
      <c r="E38" s="6"/>
      <c r="F38" s="6"/>
      <c r="G38" s="6"/>
      <c r="H38" s="6"/>
      <c r="I38" s="6"/>
    </row>
    <row r="39" spans="1:9" ht="19.5" customHeight="1">
      <c r="A39" s="3">
        <v>37</v>
      </c>
      <c r="B39" s="4"/>
      <c r="C39" s="4"/>
      <c r="D39" s="4"/>
      <c r="E39" s="4"/>
      <c r="F39" s="4"/>
      <c r="G39" s="4"/>
      <c r="H39" s="4"/>
      <c r="I39" s="4"/>
    </row>
    <row r="40" spans="1:9" ht="19.5" customHeight="1">
      <c r="A40" s="5">
        <v>38</v>
      </c>
      <c r="B40" s="6"/>
      <c r="C40" s="6"/>
      <c r="D40" s="6"/>
      <c r="E40" s="6"/>
      <c r="F40" s="6"/>
      <c r="G40" s="6"/>
      <c r="H40" s="6"/>
      <c r="I40" s="6"/>
    </row>
    <row r="41" spans="1:9" ht="19.5" customHeight="1">
      <c r="A41" s="3">
        <v>39</v>
      </c>
      <c r="B41" s="4"/>
      <c r="C41" s="4"/>
      <c r="D41" s="4"/>
      <c r="E41" s="4"/>
      <c r="F41" s="4"/>
      <c r="G41" s="4"/>
      <c r="H41" s="4"/>
      <c r="I41" s="4"/>
    </row>
    <row r="42" spans="1:9" ht="19.5" customHeight="1">
      <c r="A42" s="5">
        <v>40</v>
      </c>
      <c r="B42" s="6"/>
      <c r="C42" s="6"/>
      <c r="D42" s="6"/>
      <c r="E42" s="6"/>
      <c r="F42" s="6"/>
      <c r="G42" s="6"/>
      <c r="H42" s="6"/>
      <c r="I42" s="6"/>
    </row>
  </sheetData>
  <mergeCells count="2">
    <mergeCell ref="A1:I1"/>
    <mergeCell ref="G2:H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38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8" customWidth="1"/>
    <col min="4" max="4" width="7.81640625" customWidth="1"/>
    <col min="5" max="5" width="8" customWidth="1"/>
    <col min="6" max="6" width="9" customWidth="1"/>
    <col min="7" max="7" width="8.453125" customWidth="1"/>
    <col min="8" max="8" width="13" customWidth="1"/>
    <col min="9" max="9" width="9" customWidth="1"/>
  </cols>
  <sheetData>
    <row r="1" spans="1:9" ht="36" customHeight="1">
      <c r="A1" s="23" t="s">
        <v>22</v>
      </c>
      <c r="B1" s="22"/>
      <c r="C1" s="22"/>
      <c r="D1" s="22"/>
      <c r="E1" s="22"/>
      <c r="F1" s="22"/>
      <c r="G1" s="22"/>
      <c r="H1" s="22"/>
      <c r="I1" s="22"/>
    </row>
    <row r="2" spans="1:9" ht="24" customHeight="1">
      <c r="A2" s="9" t="s">
        <v>1</v>
      </c>
      <c r="B2" s="10" t="s">
        <v>2</v>
      </c>
      <c r="C2" s="10" t="s">
        <v>23</v>
      </c>
      <c r="D2" s="10" t="s">
        <v>18</v>
      </c>
      <c r="E2" s="10" t="s">
        <v>20</v>
      </c>
      <c r="F2" s="10" t="s">
        <v>15</v>
      </c>
      <c r="G2" s="10" t="s">
        <v>24</v>
      </c>
      <c r="H2" s="10" t="s">
        <v>25</v>
      </c>
      <c r="I2" s="10" t="s">
        <v>8</v>
      </c>
    </row>
    <row r="3" spans="1:9" ht="19.5" customHeight="1">
      <c r="A3" s="3">
        <v>1</v>
      </c>
      <c r="B3" s="4" t="str">
        <f>IF(전도대상자!B3="","",전도대상자!B3)</f>
        <v/>
      </c>
      <c r="C3" s="4" t="str">
        <f>IF(전도대상자!D3="","",전도대상자!D3)</f>
        <v/>
      </c>
      <c r="D3" s="4" t="str">
        <f>IF(전도대상자!C3="","",전도대상자!C3)</f>
        <v/>
      </c>
      <c r="E3" s="4" t="str">
        <f>IF(전도대상자!F3="","",전도대상자!F3)</f>
        <v/>
      </c>
      <c r="F3" s="4" t="str">
        <f>IF(전도대상자!E3="","",전도대상자!E3)</f>
        <v/>
      </c>
      <c r="G3" s="4"/>
      <c r="H3" s="4"/>
      <c r="I3" s="4" t="str">
        <f>IF(전도대상자!I3="","",전도대상자!I3)</f>
        <v/>
      </c>
    </row>
    <row r="4" spans="1:9" ht="19.5" customHeight="1">
      <c r="A4" s="5">
        <v>2</v>
      </c>
      <c r="B4" s="6" t="str">
        <f>IF(전도대상자!B4="","",전도대상자!B4)</f>
        <v/>
      </c>
      <c r="C4" s="6" t="str">
        <f>IF(전도대상자!D4="","",전도대상자!D4)</f>
        <v/>
      </c>
      <c r="D4" s="6" t="str">
        <f>IF(전도대상자!C4="","",전도대상자!C4)</f>
        <v/>
      </c>
      <c r="E4" s="6" t="str">
        <f>IF(전도대상자!F4="","",전도대상자!F4)</f>
        <v/>
      </c>
      <c r="F4" s="6" t="str">
        <f>IF(전도대상자!E4="","",전도대상자!E4)</f>
        <v/>
      </c>
      <c r="G4" s="6"/>
      <c r="H4" s="6"/>
      <c r="I4" s="6" t="str">
        <f>IF(전도대상자!I4="","",전도대상자!I4)</f>
        <v/>
      </c>
    </row>
    <row r="5" spans="1:9" ht="19.5" customHeight="1">
      <c r="A5" s="3">
        <v>3</v>
      </c>
      <c r="B5" s="4" t="str">
        <f>IF(전도대상자!B5="","",전도대상자!B5)</f>
        <v/>
      </c>
      <c r="C5" s="4" t="str">
        <f>IF(전도대상자!D5="","",전도대상자!D5)</f>
        <v/>
      </c>
      <c r="D5" s="4" t="str">
        <f>IF(전도대상자!C5="","",전도대상자!C5)</f>
        <v/>
      </c>
      <c r="E5" s="4" t="str">
        <f>IF(전도대상자!F5="","",전도대상자!F5)</f>
        <v/>
      </c>
      <c r="F5" s="4" t="str">
        <f>IF(전도대상자!E5="","",전도대상자!E5)</f>
        <v/>
      </c>
      <c r="G5" s="4"/>
      <c r="H5" s="4"/>
      <c r="I5" s="4" t="str">
        <f>IF(전도대상자!I5="","",전도대상자!I5)</f>
        <v/>
      </c>
    </row>
    <row r="6" spans="1:9" ht="19.5" customHeight="1">
      <c r="A6" s="5">
        <v>4</v>
      </c>
      <c r="B6" s="6" t="str">
        <f>IF(전도대상자!B6="","",전도대상자!B6)</f>
        <v/>
      </c>
      <c r="C6" s="6" t="str">
        <f>IF(전도대상자!D6="","",전도대상자!D6)</f>
        <v/>
      </c>
      <c r="D6" s="6" t="str">
        <f>IF(전도대상자!C6="","",전도대상자!C6)</f>
        <v/>
      </c>
      <c r="E6" s="6" t="str">
        <f>IF(전도대상자!F6="","",전도대상자!F6)</f>
        <v/>
      </c>
      <c r="F6" s="6" t="str">
        <f>IF(전도대상자!E6="","",전도대상자!E6)</f>
        <v/>
      </c>
      <c r="G6" s="6"/>
      <c r="H6" s="6"/>
      <c r="I6" s="6" t="str">
        <f>IF(전도대상자!I6="","",전도대상자!I6)</f>
        <v/>
      </c>
    </row>
    <row r="7" spans="1:9" ht="19.5" customHeight="1">
      <c r="A7" s="3">
        <v>5</v>
      </c>
      <c r="B7" s="4" t="str">
        <f>IF(전도대상자!B7="","",전도대상자!B7)</f>
        <v/>
      </c>
      <c r="C7" s="4" t="str">
        <f>IF(전도대상자!D7="","",전도대상자!D7)</f>
        <v/>
      </c>
      <c r="D7" s="4" t="str">
        <f>IF(전도대상자!C7="","",전도대상자!C7)</f>
        <v/>
      </c>
      <c r="E7" s="4" t="str">
        <f>IF(전도대상자!F7="","",전도대상자!F7)</f>
        <v/>
      </c>
      <c r="F7" s="4" t="str">
        <f>IF(전도대상자!E7="","",전도대상자!E7)</f>
        <v/>
      </c>
      <c r="G7" s="4"/>
      <c r="H7" s="4"/>
      <c r="I7" s="4" t="str">
        <f>IF(전도대상자!I7="","",전도대상자!I7)</f>
        <v/>
      </c>
    </row>
    <row r="8" spans="1:9" ht="19.5" customHeight="1">
      <c r="A8" s="5">
        <v>6</v>
      </c>
      <c r="B8" s="6" t="str">
        <f>IF(전도대상자!B8="","",전도대상자!B8)</f>
        <v/>
      </c>
      <c r="C8" s="6" t="str">
        <f>IF(전도대상자!D8="","",전도대상자!D8)</f>
        <v/>
      </c>
      <c r="D8" s="6" t="str">
        <f>IF(전도대상자!C8="","",전도대상자!C8)</f>
        <v/>
      </c>
      <c r="E8" s="6" t="str">
        <f>IF(전도대상자!F8="","",전도대상자!F8)</f>
        <v/>
      </c>
      <c r="F8" s="6" t="str">
        <f>IF(전도대상자!E8="","",전도대상자!E8)</f>
        <v/>
      </c>
      <c r="G8" s="6"/>
      <c r="H8" s="6"/>
      <c r="I8" s="6" t="str">
        <f>IF(전도대상자!I8="","",전도대상자!I8)</f>
        <v/>
      </c>
    </row>
    <row r="9" spans="1:9" ht="19.5" customHeight="1">
      <c r="A9" s="3">
        <v>7</v>
      </c>
      <c r="B9" s="4" t="str">
        <f>IF(전도대상자!B9="","",전도대상자!B9)</f>
        <v/>
      </c>
      <c r="C9" s="4" t="str">
        <f>IF(전도대상자!D9="","",전도대상자!D9)</f>
        <v/>
      </c>
      <c r="D9" s="4" t="str">
        <f>IF(전도대상자!C9="","",전도대상자!C9)</f>
        <v/>
      </c>
      <c r="E9" s="4" t="str">
        <f>IF(전도대상자!F9="","",전도대상자!F9)</f>
        <v/>
      </c>
      <c r="F9" s="4" t="str">
        <f>IF(전도대상자!E9="","",전도대상자!E9)</f>
        <v/>
      </c>
      <c r="G9" s="4"/>
      <c r="H9" s="4"/>
      <c r="I9" s="4" t="str">
        <f>IF(전도대상자!I9="","",전도대상자!I9)</f>
        <v/>
      </c>
    </row>
    <row r="10" spans="1:9" ht="19.5" customHeight="1">
      <c r="A10" s="5">
        <v>8</v>
      </c>
      <c r="B10" s="6" t="str">
        <f>IF(전도대상자!B10="","",전도대상자!B10)</f>
        <v/>
      </c>
      <c r="C10" s="6" t="str">
        <f>IF(전도대상자!D10="","",전도대상자!D10)</f>
        <v/>
      </c>
      <c r="D10" s="6" t="str">
        <f>IF(전도대상자!C10="","",전도대상자!C10)</f>
        <v/>
      </c>
      <c r="E10" s="6" t="str">
        <f>IF(전도대상자!F10="","",전도대상자!F10)</f>
        <v/>
      </c>
      <c r="F10" s="6" t="str">
        <f>IF(전도대상자!E10="","",전도대상자!E10)</f>
        <v/>
      </c>
      <c r="G10" s="6"/>
      <c r="H10" s="6"/>
      <c r="I10" s="6" t="str">
        <f>IF(전도대상자!I10="","",전도대상자!I10)</f>
        <v/>
      </c>
    </row>
    <row r="11" spans="1:9" ht="19.5" customHeight="1">
      <c r="A11" s="3">
        <v>9</v>
      </c>
      <c r="B11" s="4" t="str">
        <f>IF(전도대상자!B11="","",전도대상자!B11)</f>
        <v/>
      </c>
      <c r="C11" s="4" t="str">
        <f>IF(전도대상자!D11="","",전도대상자!D11)</f>
        <v/>
      </c>
      <c r="D11" s="4" t="str">
        <f>IF(전도대상자!C11="","",전도대상자!C11)</f>
        <v/>
      </c>
      <c r="E11" s="4" t="str">
        <f>IF(전도대상자!F11="","",전도대상자!F11)</f>
        <v/>
      </c>
      <c r="F11" s="4" t="str">
        <f>IF(전도대상자!E11="","",전도대상자!E11)</f>
        <v/>
      </c>
      <c r="G11" s="4"/>
      <c r="H11" s="4"/>
      <c r="I11" s="4" t="str">
        <f>IF(전도대상자!I11="","",전도대상자!I11)</f>
        <v/>
      </c>
    </row>
    <row r="12" spans="1:9" ht="19.5" customHeight="1">
      <c r="A12" s="5">
        <v>10</v>
      </c>
      <c r="B12" s="6" t="str">
        <f>IF(전도대상자!B12="","",전도대상자!B12)</f>
        <v/>
      </c>
      <c r="C12" s="6" t="str">
        <f>IF(전도대상자!D12="","",전도대상자!D12)</f>
        <v/>
      </c>
      <c r="D12" s="6" t="str">
        <f>IF(전도대상자!C12="","",전도대상자!C12)</f>
        <v/>
      </c>
      <c r="E12" s="6" t="str">
        <f>IF(전도대상자!F12="","",전도대상자!F12)</f>
        <v/>
      </c>
      <c r="F12" s="6" t="str">
        <f>IF(전도대상자!E12="","",전도대상자!E12)</f>
        <v/>
      </c>
      <c r="G12" s="6"/>
      <c r="H12" s="6"/>
      <c r="I12" s="6" t="str">
        <f>IF(전도대상자!I12="","",전도대상자!I12)</f>
        <v/>
      </c>
    </row>
    <row r="13" spans="1:9" ht="19.5" customHeight="1">
      <c r="A13" s="3">
        <v>11</v>
      </c>
      <c r="B13" s="4" t="str">
        <f>IF(전도대상자!B13="","",전도대상자!B13)</f>
        <v/>
      </c>
      <c r="C13" s="4" t="str">
        <f>IF(전도대상자!D13="","",전도대상자!D13)</f>
        <v/>
      </c>
      <c r="D13" s="4" t="str">
        <f>IF(전도대상자!C13="","",전도대상자!C13)</f>
        <v/>
      </c>
      <c r="E13" s="4" t="str">
        <f>IF(전도대상자!F13="","",전도대상자!F13)</f>
        <v/>
      </c>
      <c r="F13" s="4" t="str">
        <f>IF(전도대상자!E13="","",전도대상자!E13)</f>
        <v/>
      </c>
      <c r="G13" s="4"/>
      <c r="H13" s="4"/>
      <c r="I13" s="4" t="str">
        <f>IF(전도대상자!I13="","",전도대상자!I13)</f>
        <v/>
      </c>
    </row>
    <row r="14" spans="1:9" ht="19.5" customHeight="1">
      <c r="A14" s="5">
        <v>12</v>
      </c>
      <c r="B14" s="6" t="str">
        <f>IF(전도대상자!B14="","",전도대상자!B14)</f>
        <v/>
      </c>
      <c r="C14" s="6" t="str">
        <f>IF(전도대상자!D14="","",전도대상자!D14)</f>
        <v/>
      </c>
      <c r="D14" s="6" t="str">
        <f>IF(전도대상자!C14="","",전도대상자!C14)</f>
        <v/>
      </c>
      <c r="E14" s="6" t="str">
        <f>IF(전도대상자!F14="","",전도대상자!F14)</f>
        <v/>
      </c>
      <c r="F14" s="6" t="str">
        <f>IF(전도대상자!E14="","",전도대상자!E14)</f>
        <v/>
      </c>
      <c r="G14" s="6"/>
      <c r="H14" s="6"/>
      <c r="I14" s="6" t="str">
        <f>IF(전도대상자!I14="","",전도대상자!I14)</f>
        <v/>
      </c>
    </row>
    <row r="15" spans="1:9" ht="19.5" customHeight="1">
      <c r="A15" s="3">
        <v>13</v>
      </c>
      <c r="B15" s="4" t="str">
        <f>IF(전도대상자!B15="","",전도대상자!B15)</f>
        <v/>
      </c>
      <c r="C15" s="4" t="str">
        <f>IF(전도대상자!D15="","",전도대상자!D15)</f>
        <v/>
      </c>
      <c r="D15" s="4" t="str">
        <f>IF(전도대상자!C15="","",전도대상자!C15)</f>
        <v/>
      </c>
      <c r="E15" s="4" t="str">
        <f>IF(전도대상자!F15="","",전도대상자!F15)</f>
        <v/>
      </c>
      <c r="F15" s="4" t="str">
        <f>IF(전도대상자!E15="","",전도대상자!E15)</f>
        <v/>
      </c>
      <c r="G15" s="4"/>
      <c r="H15" s="4"/>
      <c r="I15" s="4" t="str">
        <f>IF(전도대상자!I15="","",전도대상자!I15)</f>
        <v/>
      </c>
    </row>
    <row r="16" spans="1:9" ht="19.5" customHeight="1">
      <c r="A16" s="5">
        <v>14</v>
      </c>
      <c r="B16" s="6" t="str">
        <f>IF(전도대상자!B16="","",전도대상자!B16)</f>
        <v/>
      </c>
      <c r="C16" s="6" t="str">
        <f>IF(전도대상자!D16="","",전도대상자!D16)</f>
        <v/>
      </c>
      <c r="D16" s="6" t="str">
        <f>IF(전도대상자!C16="","",전도대상자!C16)</f>
        <v/>
      </c>
      <c r="E16" s="6" t="str">
        <f>IF(전도대상자!F16="","",전도대상자!F16)</f>
        <v/>
      </c>
      <c r="F16" s="6" t="str">
        <f>IF(전도대상자!E16="","",전도대상자!E16)</f>
        <v/>
      </c>
      <c r="G16" s="6"/>
      <c r="H16" s="6"/>
      <c r="I16" s="6" t="str">
        <f>IF(전도대상자!I16="","",전도대상자!I16)</f>
        <v/>
      </c>
    </row>
    <row r="17" spans="1:9" ht="19.5" customHeight="1">
      <c r="A17" s="3">
        <v>15</v>
      </c>
      <c r="B17" s="4" t="str">
        <f>IF(전도대상자!B17="","",전도대상자!B17)</f>
        <v/>
      </c>
      <c r="C17" s="4" t="str">
        <f>IF(전도대상자!D17="","",전도대상자!D17)</f>
        <v/>
      </c>
      <c r="D17" s="4" t="str">
        <f>IF(전도대상자!C17="","",전도대상자!C17)</f>
        <v/>
      </c>
      <c r="E17" s="4" t="str">
        <f>IF(전도대상자!F17="","",전도대상자!F17)</f>
        <v/>
      </c>
      <c r="F17" s="4" t="str">
        <f>IF(전도대상자!E17="","",전도대상자!E17)</f>
        <v/>
      </c>
      <c r="G17" s="4"/>
      <c r="H17" s="4"/>
      <c r="I17" s="4" t="str">
        <f>IF(전도대상자!I17="","",전도대상자!I17)</f>
        <v/>
      </c>
    </row>
    <row r="18" spans="1:9" ht="19.5" customHeight="1">
      <c r="A18" s="5">
        <v>16</v>
      </c>
      <c r="B18" s="6" t="str">
        <f>IF(전도대상자!B18="","",전도대상자!B18)</f>
        <v/>
      </c>
      <c r="C18" s="6" t="str">
        <f>IF(전도대상자!D18="","",전도대상자!D18)</f>
        <v/>
      </c>
      <c r="D18" s="6" t="str">
        <f>IF(전도대상자!C18="","",전도대상자!C18)</f>
        <v/>
      </c>
      <c r="E18" s="6" t="str">
        <f>IF(전도대상자!F18="","",전도대상자!F18)</f>
        <v/>
      </c>
      <c r="F18" s="6" t="str">
        <f>IF(전도대상자!E18="","",전도대상자!E18)</f>
        <v/>
      </c>
      <c r="G18" s="6"/>
      <c r="H18" s="6"/>
      <c r="I18" s="6" t="str">
        <f>IF(전도대상자!I18="","",전도대상자!I18)</f>
        <v/>
      </c>
    </row>
    <row r="19" spans="1:9" ht="19.5" customHeight="1">
      <c r="A19" s="3">
        <v>17</v>
      </c>
      <c r="B19" s="4" t="str">
        <f>IF(전도대상자!B19="","",전도대상자!B19)</f>
        <v/>
      </c>
      <c r="C19" s="4" t="str">
        <f>IF(전도대상자!D19="","",전도대상자!D19)</f>
        <v/>
      </c>
      <c r="D19" s="4" t="str">
        <f>IF(전도대상자!C19="","",전도대상자!C19)</f>
        <v/>
      </c>
      <c r="E19" s="4" t="str">
        <f>IF(전도대상자!F19="","",전도대상자!F19)</f>
        <v/>
      </c>
      <c r="F19" s="4" t="str">
        <f>IF(전도대상자!E19="","",전도대상자!E19)</f>
        <v/>
      </c>
      <c r="G19" s="4"/>
      <c r="H19" s="4"/>
      <c r="I19" s="4" t="str">
        <f>IF(전도대상자!I19="","",전도대상자!I19)</f>
        <v/>
      </c>
    </row>
    <row r="20" spans="1:9" ht="19.5" customHeight="1">
      <c r="A20" s="5">
        <v>18</v>
      </c>
      <c r="B20" s="6" t="str">
        <f>IF(전도대상자!B20="","",전도대상자!B20)</f>
        <v/>
      </c>
      <c r="C20" s="6" t="str">
        <f>IF(전도대상자!D20="","",전도대상자!D20)</f>
        <v/>
      </c>
      <c r="D20" s="6" t="str">
        <f>IF(전도대상자!C20="","",전도대상자!C20)</f>
        <v/>
      </c>
      <c r="E20" s="6" t="str">
        <f>IF(전도대상자!F20="","",전도대상자!F20)</f>
        <v/>
      </c>
      <c r="F20" s="6" t="str">
        <f>IF(전도대상자!E20="","",전도대상자!E20)</f>
        <v/>
      </c>
      <c r="G20" s="6"/>
      <c r="H20" s="6"/>
      <c r="I20" s="6" t="str">
        <f>IF(전도대상자!I20="","",전도대상자!I20)</f>
        <v/>
      </c>
    </row>
    <row r="21" spans="1:9" ht="19.5" customHeight="1">
      <c r="A21" s="3">
        <v>19</v>
      </c>
      <c r="B21" s="4" t="str">
        <f>IF(전도대상자!B21="","",전도대상자!B21)</f>
        <v/>
      </c>
      <c r="C21" s="4" t="str">
        <f>IF(전도대상자!D21="","",전도대상자!D21)</f>
        <v/>
      </c>
      <c r="D21" s="4" t="str">
        <f>IF(전도대상자!C21="","",전도대상자!C21)</f>
        <v/>
      </c>
      <c r="E21" s="4" t="str">
        <f>IF(전도대상자!F21="","",전도대상자!F21)</f>
        <v/>
      </c>
      <c r="F21" s="4" t="str">
        <f>IF(전도대상자!E21="","",전도대상자!E21)</f>
        <v/>
      </c>
      <c r="G21" s="4"/>
      <c r="H21" s="4"/>
      <c r="I21" s="4" t="str">
        <f>IF(전도대상자!I21="","",전도대상자!I21)</f>
        <v/>
      </c>
    </row>
    <row r="22" spans="1:9" ht="19.5" customHeight="1">
      <c r="A22" s="5">
        <v>20</v>
      </c>
      <c r="B22" s="6" t="str">
        <f>IF(전도대상자!B22="","",전도대상자!B22)</f>
        <v/>
      </c>
      <c r="C22" s="6" t="str">
        <f>IF(전도대상자!D22="","",전도대상자!D22)</f>
        <v/>
      </c>
      <c r="D22" s="6" t="str">
        <f>IF(전도대상자!C22="","",전도대상자!C22)</f>
        <v/>
      </c>
      <c r="E22" s="6" t="str">
        <f>IF(전도대상자!F22="","",전도대상자!F22)</f>
        <v/>
      </c>
      <c r="F22" s="6" t="str">
        <f>IF(전도대상자!E22="","",전도대상자!E22)</f>
        <v/>
      </c>
      <c r="G22" s="6"/>
      <c r="H22" s="6"/>
      <c r="I22" s="6" t="str">
        <f>IF(전도대상자!I22="","",전도대상자!I22)</f>
        <v/>
      </c>
    </row>
    <row r="23" spans="1:9" ht="19.5" customHeight="1">
      <c r="A23" s="3">
        <v>21</v>
      </c>
      <c r="B23" s="4" t="str">
        <f>IF(전도대상자!B23="","",전도대상자!B23)</f>
        <v/>
      </c>
      <c r="C23" s="4" t="str">
        <f>IF(전도대상자!D23="","",전도대상자!D23)</f>
        <v/>
      </c>
      <c r="D23" s="4" t="str">
        <f>IF(전도대상자!C23="","",전도대상자!C23)</f>
        <v/>
      </c>
      <c r="E23" s="4" t="str">
        <f>IF(전도대상자!F23="","",전도대상자!F23)</f>
        <v/>
      </c>
      <c r="F23" s="4" t="str">
        <f>IF(전도대상자!E23="","",전도대상자!E23)</f>
        <v/>
      </c>
      <c r="G23" s="4"/>
      <c r="H23" s="4"/>
      <c r="I23" s="4" t="str">
        <f>IF(전도대상자!I23="","",전도대상자!I23)</f>
        <v/>
      </c>
    </row>
    <row r="24" spans="1:9" ht="19.5" customHeight="1">
      <c r="A24" s="5">
        <v>22</v>
      </c>
      <c r="B24" s="6" t="str">
        <f>IF(전도대상자!B24="","",전도대상자!B24)</f>
        <v/>
      </c>
      <c r="C24" s="6" t="str">
        <f>IF(전도대상자!D24="","",전도대상자!D24)</f>
        <v/>
      </c>
      <c r="D24" s="6" t="str">
        <f>IF(전도대상자!C24="","",전도대상자!C24)</f>
        <v/>
      </c>
      <c r="E24" s="6" t="str">
        <f>IF(전도대상자!F24="","",전도대상자!F24)</f>
        <v/>
      </c>
      <c r="F24" s="6" t="str">
        <f>IF(전도대상자!E24="","",전도대상자!E24)</f>
        <v/>
      </c>
      <c r="G24" s="6"/>
      <c r="H24" s="6"/>
      <c r="I24" s="6" t="str">
        <f>IF(전도대상자!I24="","",전도대상자!I24)</f>
        <v/>
      </c>
    </row>
    <row r="25" spans="1:9" ht="19.5" customHeight="1">
      <c r="A25" s="3">
        <v>23</v>
      </c>
      <c r="B25" s="4" t="str">
        <f>IF(전도대상자!B25="","",전도대상자!B25)</f>
        <v/>
      </c>
      <c r="C25" s="4" t="str">
        <f>IF(전도대상자!D25="","",전도대상자!D25)</f>
        <v/>
      </c>
      <c r="D25" s="4" t="str">
        <f>IF(전도대상자!C25="","",전도대상자!C25)</f>
        <v/>
      </c>
      <c r="E25" s="4" t="str">
        <f>IF(전도대상자!F25="","",전도대상자!F25)</f>
        <v/>
      </c>
      <c r="F25" s="4" t="str">
        <f>IF(전도대상자!E25="","",전도대상자!E25)</f>
        <v/>
      </c>
      <c r="G25" s="4"/>
      <c r="H25" s="4"/>
      <c r="I25" s="4" t="str">
        <f>IF(전도대상자!I25="","",전도대상자!I25)</f>
        <v/>
      </c>
    </row>
    <row r="26" spans="1:9" ht="19.5" customHeight="1">
      <c r="A26" s="5">
        <v>24</v>
      </c>
      <c r="B26" s="6" t="str">
        <f>IF(전도대상자!B26="","",전도대상자!B26)</f>
        <v/>
      </c>
      <c r="C26" s="6" t="str">
        <f>IF(전도대상자!D26="","",전도대상자!D26)</f>
        <v/>
      </c>
      <c r="D26" s="6" t="str">
        <f>IF(전도대상자!C26="","",전도대상자!C26)</f>
        <v/>
      </c>
      <c r="E26" s="6" t="str">
        <f>IF(전도대상자!F26="","",전도대상자!F26)</f>
        <v/>
      </c>
      <c r="F26" s="6" t="str">
        <f>IF(전도대상자!E26="","",전도대상자!E26)</f>
        <v/>
      </c>
      <c r="G26" s="6"/>
      <c r="H26" s="6"/>
      <c r="I26" s="6" t="str">
        <f>IF(전도대상자!I26="","",전도대상자!I26)</f>
        <v/>
      </c>
    </row>
    <row r="27" spans="1:9" ht="19.5" customHeight="1">
      <c r="A27" s="3">
        <v>25</v>
      </c>
      <c r="B27" s="4" t="str">
        <f>IF(전도대상자!B27="","",전도대상자!B27)</f>
        <v/>
      </c>
      <c r="C27" s="4" t="str">
        <f>IF(전도대상자!D27="","",전도대상자!D27)</f>
        <v/>
      </c>
      <c r="D27" s="4" t="str">
        <f>IF(전도대상자!C27="","",전도대상자!C27)</f>
        <v/>
      </c>
      <c r="E27" s="4" t="str">
        <f>IF(전도대상자!F27="","",전도대상자!F27)</f>
        <v/>
      </c>
      <c r="F27" s="4" t="str">
        <f>IF(전도대상자!E27="","",전도대상자!E27)</f>
        <v/>
      </c>
      <c r="G27" s="4"/>
      <c r="H27" s="4"/>
      <c r="I27" s="4" t="str">
        <f>IF(전도대상자!I27="","",전도대상자!I27)</f>
        <v/>
      </c>
    </row>
    <row r="28" spans="1:9" ht="19.5" customHeight="1">
      <c r="A28" s="5">
        <v>26</v>
      </c>
      <c r="B28" s="6" t="str">
        <f>IF(전도대상자!B28="","",전도대상자!B28)</f>
        <v/>
      </c>
      <c r="C28" s="6" t="str">
        <f>IF(전도대상자!D28="","",전도대상자!D28)</f>
        <v/>
      </c>
      <c r="D28" s="6" t="str">
        <f>IF(전도대상자!C28="","",전도대상자!C28)</f>
        <v/>
      </c>
      <c r="E28" s="6" t="str">
        <f>IF(전도대상자!F28="","",전도대상자!F28)</f>
        <v/>
      </c>
      <c r="F28" s="6" t="str">
        <f>IF(전도대상자!E28="","",전도대상자!E28)</f>
        <v/>
      </c>
      <c r="G28" s="6"/>
      <c r="H28" s="6"/>
      <c r="I28" s="6" t="str">
        <f>IF(전도대상자!I28="","",전도대상자!I28)</f>
        <v/>
      </c>
    </row>
    <row r="29" spans="1:9" ht="19.5" customHeight="1">
      <c r="A29" s="3">
        <v>27</v>
      </c>
      <c r="B29" s="4" t="str">
        <f>IF(전도대상자!B29="","",전도대상자!B29)</f>
        <v/>
      </c>
      <c r="C29" s="4" t="str">
        <f>IF(전도대상자!D29="","",전도대상자!D29)</f>
        <v/>
      </c>
      <c r="D29" s="4" t="str">
        <f>IF(전도대상자!C29="","",전도대상자!C29)</f>
        <v/>
      </c>
      <c r="E29" s="4" t="str">
        <f>IF(전도대상자!F29="","",전도대상자!F29)</f>
        <v/>
      </c>
      <c r="F29" s="4" t="str">
        <f>IF(전도대상자!E29="","",전도대상자!E29)</f>
        <v/>
      </c>
      <c r="G29" s="4"/>
      <c r="H29" s="4"/>
      <c r="I29" s="4" t="str">
        <f>IF(전도대상자!I29="","",전도대상자!I29)</f>
        <v/>
      </c>
    </row>
    <row r="30" spans="1:9" ht="19.5" customHeight="1">
      <c r="A30" s="5">
        <v>28</v>
      </c>
      <c r="B30" s="6" t="str">
        <f>IF(전도대상자!B30="","",전도대상자!B30)</f>
        <v/>
      </c>
      <c r="C30" s="6" t="str">
        <f>IF(전도대상자!D30="","",전도대상자!D30)</f>
        <v/>
      </c>
      <c r="D30" s="6" t="str">
        <f>IF(전도대상자!C30="","",전도대상자!C30)</f>
        <v/>
      </c>
      <c r="E30" s="6" t="str">
        <f>IF(전도대상자!F30="","",전도대상자!F30)</f>
        <v/>
      </c>
      <c r="F30" s="6" t="str">
        <f>IF(전도대상자!E30="","",전도대상자!E30)</f>
        <v/>
      </c>
      <c r="G30" s="6"/>
      <c r="H30" s="6"/>
      <c r="I30" s="6" t="str">
        <f>IF(전도대상자!I30="","",전도대상자!I30)</f>
        <v/>
      </c>
    </row>
    <row r="31" spans="1:9" ht="19.5" customHeight="1">
      <c r="A31" s="3">
        <v>29</v>
      </c>
      <c r="B31" s="4" t="str">
        <f>IF(전도대상자!B31="","",전도대상자!B31)</f>
        <v/>
      </c>
      <c r="C31" s="4" t="str">
        <f>IF(전도대상자!D31="","",전도대상자!D31)</f>
        <v/>
      </c>
      <c r="D31" s="4" t="str">
        <f>IF(전도대상자!C31="","",전도대상자!C31)</f>
        <v/>
      </c>
      <c r="E31" s="4" t="str">
        <f>IF(전도대상자!F31="","",전도대상자!F31)</f>
        <v/>
      </c>
      <c r="F31" s="4" t="str">
        <f>IF(전도대상자!E31="","",전도대상자!E31)</f>
        <v/>
      </c>
      <c r="G31" s="4"/>
      <c r="H31" s="4"/>
      <c r="I31" s="4" t="str">
        <f>IF(전도대상자!I31="","",전도대상자!I31)</f>
        <v/>
      </c>
    </row>
    <row r="32" spans="1:9" ht="19.5" customHeight="1">
      <c r="A32" s="5">
        <v>30</v>
      </c>
      <c r="B32" s="6" t="str">
        <f>IF(전도대상자!B32="","",전도대상자!B32)</f>
        <v/>
      </c>
      <c r="C32" s="6" t="str">
        <f>IF(전도대상자!D32="","",전도대상자!D32)</f>
        <v/>
      </c>
      <c r="D32" s="6" t="str">
        <f>IF(전도대상자!C32="","",전도대상자!C32)</f>
        <v/>
      </c>
      <c r="E32" s="6" t="str">
        <f>IF(전도대상자!F32="","",전도대상자!F32)</f>
        <v/>
      </c>
      <c r="F32" s="6" t="str">
        <f>IF(전도대상자!E32="","",전도대상자!E32)</f>
        <v/>
      </c>
      <c r="G32" s="6"/>
      <c r="H32" s="6"/>
      <c r="I32" s="6" t="str">
        <f>IF(전도대상자!I32="","",전도대상자!I32)</f>
        <v/>
      </c>
    </row>
    <row r="33" spans="1:9" ht="19.5" customHeight="1">
      <c r="A33" s="3">
        <v>31</v>
      </c>
      <c r="B33" s="4" t="str">
        <f>IF(전도대상자!B33="","",전도대상자!B33)</f>
        <v/>
      </c>
      <c r="C33" s="4" t="str">
        <f>IF(전도대상자!D33="","",전도대상자!D33)</f>
        <v/>
      </c>
      <c r="D33" s="4" t="str">
        <f>IF(전도대상자!C33="","",전도대상자!C33)</f>
        <v/>
      </c>
      <c r="E33" s="4" t="str">
        <f>IF(전도대상자!F33="","",전도대상자!F33)</f>
        <v/>
      </c>
      <c r="F33" s="4" t="str">
        <f>IF(전도대상자!E33="","",전도대상자!E33)</f>
        <v/>
      </c>
      <c r="G33" s="4"/>
      <c r="H33" s="4"/>
      <c r="I33" s="4" t="str">
        <f>IF(전도대상자!I33="","",전도대상자!I33)</f>
        <v/>
      </c>
    </row>
    <row r="34" spans="1:9" ht="19.5" customHeight="1">
      <c r="A34" s="5">
        <v>32</v>
      </c>
      <c r="B34" s="6" t="str">
        <f>IF(전도대상자!B34="","",전도대상자!B34)</f>
        <v/>
      </c>
      <c r="C34" s="6" t="str">
        <f>IF(전도대상자!D34="","",전도대상자!D34)</f>
        <v/>
      </c>
      <c r="D34" s="6" t="str">
        <f>IF(전도대상자!C34="","",전도대상자!C34)</f>
        <v/>
      </c>
      <c r="E34" s="6" t="str">
        <f>IF(전도대상자!F34="","",전도대상자!F34)</f>
        <v/>
      </c>
      <c r="F34" s="6" t="str">
        <f>IF(전도대상자!E34="","",전도대상자!E34)</f>
        <v/>
      </c>
      <c r="G34" s="6"/>
      <c r="H34" s="6"/>
      <c r="I34" s="6" t="str">
        <f>IF(전도대상자!I34="","",전도대상자!I34)</f>
        <v/>
      </c>
    </row>
    <row r="35" spans="1:9" ht="19.5" customHeight="1">
      <c r="A35" s="3">
        <v>33</v>
      </c>
      <c r="B35" s="4" t="str">
        <f>IF(전도대상자!B35="","",전도대상자!B35)</f>
        <v/>
      </c>
      <c r="C35" s="4" t="str">
        <f>IF(전도대상자!D35="","",전도대상자!D35)</f>
        <v/>
      </c>
      <c r="D35" s="4" t="str">
        <f>IF(전도대상자!C35="","",전도대상자!C35)</f>
        <v/>
      </c>
      <c r="E35" s="4" t="str">
        <f>IF(전도대상자!F35="","",전도대상자!F35)</f>
        <v/>
      </c>
      <c r="F35" s="4" t="str">
        <f>IF(전도대상자!E35="","",전도대상자!E35)</f>
        <v/>
      </c>
      <c r="G35" s="4"/>
      <c r="H35" s="4"/>
      <c r="I35" s="4" t="str">
        <f>IF(전도대상자!I35="","",전도대상자!I35)</f>
        <v/>
      </c>
    </row>
    <row r="36" spans="1:9" ht="19.5" customHeight="1">
      <c r="A36" s="5">
        <v>34</v>
      </c>
      <c r="B36" s="6" t="str">
        <f>IF(전도대상자!B36="","",전도대상자!B36)</f>
        <v/>
      </c>
      <c r="C36" s="6" t="str">
        <f>IF(전도대상자!D36="","",전도대상자!D36)</f>
        <v/>
      </c>
      <c r="D36" s="6" t="str">
        <f>IF(전도대상자!C36="","",전도대상자!C36)</f>
        <v/>
      </c>
      <c r="E36" s="6" t="str">
        <f>IF(전도대상자!F36="","",전도대상자!F36)</f>
        <v/>
      </c>
      <c r="F36" s="6" t="str">
        <f>IF(전도대상자!E36="","",전도대상자!E36)</f>
        <v/>
      </c>
      <c r="G36" s="6"/>
      <c r="H36" s="6"/>
      <c r="I36" s="6" t="str">
        <f>IF(전도대상자!I36="","",전도대상자!I36)</f>
        <v/>
      </c>
    </row>
    <row r="37" spans="1:9" ht="19.5" customHeight="1">
      <c r="A37" s="3">
        <v>35</v>
      </c>
      <c r="B37" s="4" t="str">
        <f>IF(전도대상자!B37="","",전도대상자!B37)</f>
        <v/>
      </c>
      <c r="C37" s="4" t="str">
        <f>IF(전도대상자!D37="","",전도대상자!D37)</f>
        <v/>
      </c>
      <c r="D37" s="4" t="str">
        <f>IF(전도대상자!C37="","",전도대상자!C37)</f>
        <v/>
      </c>
      <c r="E37" s="4" t="str">
        <f>IF(전도대상자!F37="","",전도대상자!F37)</f>
        <v/>
      </c>
      <c r="F37" s="4" t="str">
        <f>IF(전도대상자!E37="","",전도대상자!E37)</f>
        <v/>
      </c>
      <c r="G37" s="4"/>
      <c r="H37" s="4"/>
      <c r="I37" s="4" t="str">
        <f>IF(전도대상자!I37="","",전도대상자!I37)</f>
        <v/>
      </c>
    </row>
    <row r="38" spans="1:9" ht="15" customHeight="1">
      <c r="A38" s="7">
        <v>36</v>
      </c>
      <c r="B38" t="str">
        <f>IF(전도대상자!B38="","",전도대상자!B38)</f>
        <v/>
      </c>
      <c r="C38" t="str">
        <f>IF(전도대상자!D38="","",전도대상자!D38)</f>
        <v/>
      </c>
      <c r="D38" t="str">
        <f>IF(전도대상자!C38="","",전도대상자!C38)</f>
        <v/>
      </c>
      <c r="E38" t="str">
        <f>IF(전도대상자!F38="","",전도대상자!F38)</f>
        <v/>
      </c>
      <c r="F38" t="str">
        <f>IF(전도대상자!E38="","",전도대상자!E38)</f>
        <v/>
      </c>
      <c r="G38" s="8"/>
      <c r="H38" s="8"/>
      <c r="I38" s="8" t="str">
        <f>IF(전도대상자!I38="","",전도대상자!I38)</f>
        <v/>
      </c>
    </row>
  </sheetData>
  <mergeCells count="1">
    <mergeCell ref="A1:I1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K83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0" customWidth="1"/>
    <col min="6" max="6" width="13" customWidth="1"/>
    <col min="7" max="7" width="8.453125" customWidth="1"/>
    <col min="8" max="11" width="13" customWidth="1"/>
  </cols>
  <sheetData>
    <row r="1" spans="1:11" ht="36" customHeight="1">
      <c r="A1" s="31" t="s">
        <v>26</v>
      </c>
      <c r="B1" s="22"/>
      <c r="C1" s="22"/>
      <c r="D1" s="22"/>
      <c r="E1" s="22"/>
      <c r="F1" s="22"/>
    </row>
    <row r="2" spans="1:11" ht="24" customHeight="1">
      <c r="A2" s="11" t="s">
        <v>1</v>
      </c>
      <c r="B2" s="12" t="s">
        <v>2</v>
      </c>
      <c r="C2" s="12" t="s">
        <v>18</v>
      </c>
      <c r="D2" s="12" t="s">
        <v>19</v>
      </c>
      <c r="E2" s="12" t="s">
        <v>27</v>
      </c>
      <c r="F2" s="12" t="s">
        <v>8</v>
      </c>
      <c r="J2" s="30" t="s">
        <v>28</v>
      </c>
      <c r="K2" s="22"/>
    </row>
    <row r="3" spans="1:11" ht="15" customHeight="1">
      <c r="A3" s="3">
        <v>1</v>
      </c>
      <c r="B3" s="4"/>
      <c r="C3" s="4"/>
      <c r="D3" s="4"/>
      <c r="E3" s="13" t="str">
        <f t="shared" ref="E3:E34" si="0">IF(C3="","",VLOOKUP(C3,$J$3:$K$11,2,0))</f>
        <v/>
      </c>
      <c r="F3" s="4"/>
      <c r="J3" s="14" t="s">
        <v>29</v>
      </c>
      <c r="K3" s="15">
        <v>50000</v>
      </c>
    </row>
    <row r="4" spans="1:11" ht="15" customHeight="1">
      <c r="A4" s="5">
        <v>2</v>
      </c>
      <c r="B4" s="6"/>
      <c r="C4" s="6"/>
      <c r="D4" s="6"/>
      <c r="E4" s="16" t="str">
        <f t="shared" si="0"/>
        <v/>
      </c>
      <c r="F4" s="6"/>
      <c r="J4" s="14" t="s">
        <v>30</v>
      </c>
      <c r="K4" s="15">
        <v>70000</v>
      </c>
    </row>
    <row r="5" spans="1:11" ht="15" customHeight="1">
      <c r="A5" s="3">
        <v>3</v>
      </c>
      <c r="B5" s="4"/>
      <c r="C5" s="4"/>
      <c r="D5" s="4"/>
      <c r="E5" s="13" t="str">
        <f t="shared" si="0"/>
        <v/>
      </c>
      <c r="F5" s="4"/>
      <c r="J5" s="14" t="s">
        <v>31</v>
      </c>
      <c r="K5" s="15">
        <v>70000</v>
      </c>
    </row>
    <row r="6" spans="1:11" ht="15" customHeight="1">
      <c r="A6" s="5">
        <v>4</v>
      </c>
      <c r="B6" s="6"/>
      <c r="C6" s="6"/>
      <c r="D6" s="6"/>
      <c r="E6" s="16" t="str">
        <f t="shared" si="0"/>
        <v/>
      </c>
      <c r="F6" s="6"/>
      <c r="J6" s="14" t="s">
        <v>32</v>
      </c>
      <c r="K6" s="15">
        <v>70000</v>
      </c>
    </row>
    <row r="7" spans="1:11" ht="15" customHeight="1">
      <c r="A7" s="3">
        <v>5</v>
      </c>
      <c r="B7" s="4"/>
      <c r="C7" s="4"/>
      <c r="D7" s="4"/>
      <c r="E7" s="13" t="str">
        <f t="shared" si="0"/>
        <v/>
      </c>
      <c r="F7" s="4"/>
      <c r="J7" s="14" t="s">
        <v>33</v>
      </c>
      <c r="K7" s="15">
        <v>50000</v>
      </c>
    </row>
    <row r="8" spans="1:11" ht="15" customHeight="1">
      <c r="A8" s="5">
        <v>6</v>
      </c>
      <c r="B8" s="6"/>
      <c r="C8" s="6"/>
      <c r="D8" s="6"/>
      <c r="E8" s="16" t="str">
        <f t="shared" si="0"/>
        <v/>
      </c>
      <c r="F8" s="6"/>
      <c r="J8" s="14" t="s">
        <v>34</v>
      </c>
      <c r="K8" s="15">
        <v>0</v>
      </c>
    </row>
    <row r="9" spans="1:11" ht="15" customHeight="1">
      <c r="A9" s="3">
        <v>7</v>
      </c>
      <c r="B9" s="4"/>
      <c r="C9" s="4"/>
      <c r="D9" s="4"/>
      <c r="E9" s="13" t="str">
        <f t="shared" si="0"/>
        <v/>
      </c>
      <c r="F9" s="4"/>
      <c r="J9" s="14" t="s">
        <v>35</v>
      </c>
      <c r="K9" s="15">
        <v>0</v>
      </c>
    </row>
    <row r="10" spans="1:11" ht="15" customHeight="1">
      <c r="A10" s="5">
        <v>8</v>
      </c>
      <c r="B10" s="6"/>
      <c r="C10" s="6"/>
      <c r="D10" s="6"/>
      <c r="E10" s="16" t="str">
        <f t="shared" si="0"/>
        <v/>
      </c>
      <c r="F10" s="6"/>
      <c r="J10" s="14" t="s">
        <v>36</v>
      </c>
      <c r="K10" s="15">
        <v>0</v>
      </c>
    </row>
    <row r="11" spans="1:11" ht="15" customHeight="1">
      <c r="A11" s="3">
        <v>9</v>
      </c>
      <c r="B11" s="4"/>
      <c r="C11" s="4"/>
      <c r="D11" s="4"/>
      <c r="E11" s="13" t="str">
        <f t="shared" si="0"/>
        <v/>
      </c>
      <c r="F11" s="4"/>
      <c r="J11" s="14" t="s">
        <v>37</v>
      </c>
      <c r="K11" s="15">
        <v>0</v>
      </c>
    </row>
    <row r="12" spans="1:11" ht="15" customHeight="1">
      <c r="A12" s="5">
        <v>10</v>
      </c>
      <c r="B12" s="6"/>
      <c r="C12" s="6"/>
      <c r="D12" s="6"/>
      <c r="E12" s="16" t="str">
        <f t="shared" si="0"/>
        <v/>
      </c>
      <c r="F12" s="6"/>
    </row>
    <row r="13" spans="1:11" ht="15" customHeight="1">
      <c r="A13" s="3">
        <v>11</v>
      </c>
      <c r="B13" s="4"/>
      <c r="C13" s="4"/>
      <c r="D13" s="4"/>
      <c r="E13" s="13" t="str">
        <f t="shared" si="0"/>
        <v/>
      </c>
      <c r="F13" s="4"/>
    </row>
    <row r="14" spans="1:11" ht="15" customHeight="1">
      <c r="A14" s="5">
        <v>12</v>
      </c>
      <c r="B14" s="6"/>
      <c r="C14" s="6"/>
      <c r="D14" s="6"/>
      <c r="E14" s="16" t="str">
        <f t="shared" si="0"/>
        <v/>
      </c>
      <c r="F14" s="6"/>
    </row>
    <row r="15" spans="1:11" ht="15" customHeight="1">
      <c r="A15" s="3">
        <v>13</v>
      </c>
      <c r="B15" s="4"/>
      <c r="C15" s="4"/>
      <c r="D15" s="4"/>
      <c r="E15" s="13" t="str">
        <f t="shared" si="0"/>
        <v/>
      </c>
      <c r="F15" s="4"/>
    </row>
    <row r="16" spans="1:11" ht="15" customHeight="1">
      <c r="A16" s="5">
        <v>14</v>
      </c>
      <c r="B16" s="6"/>
      <c r="C16" s="6"/>
      <c r="D16" s="6"/>
      <c r="E16" s="16" t="str">
        <f t="shared" si="0"/>
        <v/>
      </c>
      <c r="F16" s="6"/>
    </row>
    <row r="17" spans="1:6" ht="15" customHeight="1">
      <c r="A17" s="3">
        <v>15</v>
      </c>
      <c r="B17" s="4"/>
      <c r="C17" s="4"/>
      <c r="D17" s="4"/>
      <c r="E17" s="13" t="str">
        <f t="shared" si="0"/>
        <v/>
      </c>
      <c r="F17" s="4"/>
    </row>
    <row r="18" spans="1:6" ht="15" customHeight="1">
      <c r="A18" s="5">
        <v>16</v>
      </c>
      <c r="B18" s="6"/>
      <c r="C18" s="6"/>
      <c r="D18" s="6"/>
      <c r="E18" s="16" t="str">
        <f t="shared" si="0"/>
        <v/>
      </c>
      <c r="F18" s="6"/>
    </row>
    <row r="19" spans="1:6" ht="15" customHeight="1">
      <c r="A19" s="3">
        <v>17</v>
      </c>
      <c r="B19" s="4"/>
      <c r="C19" s="4"/>
      <c r="D19" s="4"/>
      <c r="E19" s="13" t="str">
        <f t="shared" si="0"/>
        <v/>
      </c>
      <c r="F19" s="4"/>
    </row>
    <row r="20" spans="1:6" ht="15" customHeight="1">
      <c r="A20" s="5">
        <v>18</v>
      </c>
      <c r="B20" s="6"/>
      <c r="C20" s="6"/>
      <c r="D20" s="6"/>
      <c r="E20" s="16" t="str">
        <f t="shared" si="0"/>
        <v/>
      </c>
      <c r="F20" s="6"/>
    </row>
    <row r="21" spans="1:6" ht="15" customHeight="1">
      <c r="A21" s="3">
        <v>19</v>
      </c>
      <c r="B21" s="4"/>
      <c r="C21" s="4"/>
      <c r="D21" s="4"/>
      <c r="E21" s="13" t="str">
        <f t="shared" si="0"/>
        <v/>
      </c>
      <c r="F21" s="4"/>
    </row>
    <row r="22" spans="1:6" ht="15" customHeight="1">
      <c r="A22" s="5">
        <v>20</v>
      </c>
      <c r="B22" s="6"/>
      <c r="C22" s="6"/>
      <c r="D22" s="6"/>
      <c r="E22" s="16" t="str">
        <f t="shared" si="0"/>
        <v/>
      </c>
      <c r="F22" s="6"/>
    </row>
    <row r="23" spans="1:6" ht="15" customHeight="1">
      <c r="A23" s="3">
        <v>21</v>
      </c>
      <c r="B23" s="4"/>
      <c r="C23" s="4"/>
      <c r="D23" s="4"/>
      <c r="E23" s="13" t="str">
        <f t="shared" si="0"/>
        <v/>
      </c>
      <c r="F23" s="4"/>
    </row>
    <row r="24" spans="1:6" ht="15" customHeight="1">
      <c r="A24" s="5">
        <v>22</v>
      </c>
      <c r="B24" s="6"/>
      <c r="C24" s="6"/>
      <c r="D24" s="6"/>
      <c r="E24" s="16" t="str">
        <f t="shared" si="0"/>
        <v/>
      </c>
      <c r="F24" s="6"/>
    </row>
    <row r="25" spans="1:6" ht="15" customHeight="1">
      <c r="A25" s="3">
        <v>23</v>
      </c>
      <c r="B25" s="4"/>
      <c r="C25" s="4"/>
      <c r="D25" s="4"/>
      <c r="E25" s="13" t="str">
        <f t="shared" si="0"/>
        <v/>
      </c>
      <c r="F25" s="4"/>
    </row>
    <row r="26" spans="1:6" ht="15" customHeight="1">
      <c r="A26" s="5">
        <v>24</v>
      </c>
      <c r="B26" s="6"/>
      <c r="C26" s="6"/>
      <c r="D26" s="6"/>
      <c r="E26" s="16" t="str">
        <f t="shared" si="0"/>
        <v/>
      </c>
      <c r="F26" s="6"/>
    </row>
    <row r="27" spans="1:6" ht="15" customHeight="1">
      <c r="A27" s="3">
        <v>25</v>
      </c>
      <c r="B27" s="4"/>
      <c r="C27" s="4"/>
      <c r="D27" s="4"/>
      <c r="E27" s="13" t="str">
        <f t="shared" si="0"/>
        <v/>
      </c>
      <c r="F27" s="4"/>
    </row>
    <row r="28" spans="1:6" ht="15" customHeight="1">
      <c r="A28" s="5">
        <v>26</v>
      </c>
      <c r="B28" s="6"/>
      <c r="C28" s="6"/>
      <c r="D28" s="6"/>
      <c r="E28" s="16" t="str">
        <f t="shared" si="0"/>
        <v/>
      </c>
      <c r="F28" s="6"/>
    </row>
    <row r="29" spans="1:6" ht="15" customHeight="1">
      <c r="A29" s="3">
        <v>27</v>
      </c>
      <c r="B29" s="4"/>
      <c r="C29" s="4"/>
      <c r="D29" s="4"/>
      <c r="E29" s="13" t="str">
        <f t="shared" si="0"/>
        <v/>
      </c>
      <c r="F29" s="4"/>
    </row>
    <row r="30" spans="1:6" ht="15" customHeight="1">
      <c r="A30" s="5">
        <v>28</v>
      </c>
      <c r="B30" s="6"/>
      <c r="C30" s="6"/>
      <c r="D30" s="6"/>
      <c r="E30" s="16" t="str">
        <f t="shared" si="0"/>
        <v/>
      </c>
      <c r="F30" s="6"/>
    </row>
    <row r="31" spans="1:6" ht="15" customHeight="1">
      <c r="A31" s="3">
        <v>29</v>
      </c>
      <c r="B31" s="4"/>
      <c r="C31" s="4"/>
      <c r="D31" s="4"/>
      <c r="E31" s="13" t="str">
        <f t="shared" si="0"/>
        <v/>
      </c>
      <c r="F31" s="4"/>
    </row>
    <row r="32" spans="1:6" ht="15" customHeight="1">
      <c r="A32" s="5">
        <v>30</v>
      </c>
      <c r="B32" s="6"/>
      <c r="C32" s="6"/>
      <c r="D32" s="6"/>
      <c r="E32" s="16" t="str">
        <f t="shared" si="0"/>
        <v/>
      </c>
      <c r="F32" s="6"/>
    </row>
    <row r="33" spans="1:6" ht="15" customHeight="1">
      <c r="A33" s="3">
        <v>31</v>
      </c>
      <c r="B33" s="4"/>
      <c r="C33" s="4"/>
      <c r="D33" s="4"/>
      <c r="E33" s="13" t="str">
        <f t="shared" si="0"/>
        <v/>
      </c>
      <c r="F33" s="4"/>
    </row>
    <row r="34" spans="1:6" ht="15" customHeight="1">
      <c r="A34" s="5">
        <v>32</v>
      </c>
      <c r="B34" s="6"/>
      <c r="C34" s="6"/>
      <c r="D34" s="6"/>
      <c r="E34" s="16" t="str">
        <f t="shared" si="0"/>
        <v/>
      </c>
      <c r="F34" s="6"/>
    </row>
    <row r="35" spans="1:6" ht="15" customHeight="1">
      <c r="A35" s="3">
        <v>33</v>
      </c>
      <c r="B35" s="4"/>
      <c r="C35" s="4"/>
      <c r="D35" s="4"/>
      <c r="E35" s="13" t="str">
        <f t="shared" ref="E35:E66" si="1">IF(C35="","",VLOOKUP(C35,$J$3:$K$11,2,0))</f>
        <v/>
      </c>
      <c r="F35" s="4"/>
    </row>
    <row r="36" spans="1:6" ht="15" customHeight="1">
      <c r="A36" s="5">
        <v>34</v>
      </c>
      <c r="B36" s="6"/>
      <c r="C36" s="6"/>
      <c r="D36" s="6"/>
      <c r="E36" s="16" t="str">
        <f t="shared" si="1"/>
        <v/>
      </c>
      <c r="F36" s="6"/>
    </row>
    <row r="37" spans="1:6" ht="15" customHeight="1">
      <c r="A37" s="3">
        <v>35</v>
      </c>
      <c r="B37" s="4"/>
      <c r="C37" s="4"/>
      <c r="D37" s="4"/>
      <c r="E37" s="13" t="str">
        <f t="shared" si="1"/>
        <v/>
      </c>
      <c r="F37" s="4"/>
    </row>
    <row r="38" spans="1:6" ht="15" customHeight="1">
      <c r="A38" s="5">
        <v>36</v>
      </c>
      <c r="B38" s="6"/>
      <c r="C38" s="6"/>
      <c r="D38" s="6"/>
      <c r="E38" s="16" t="str">
        <f t="shared" si="1"/>
        <v/>
      </c>
      <c r="F38" s="6"/>
    </row>
    <row r="39" spans="1:6" ht="15" customHeight="1">
      <c r="A39" s="3">
        <v>37</v>
      </c>
      <c r="B39" s="4"/>
      <c r="C39" s="4"/>
      <c r="D39" s="4"/>
      <c r="E39" s="13" t="str">
        <f t="shared" si="1"/>
        <v/>
      </c>
      <c r="F39" s="4"/>
    </row>
    <row r="40" spans="1:6" ht="15" customHeight="1">
      <c r="A40" s="5">
        <v>38</v>
      </c>
      <c r="B40" s="6"/>
      <c r="C40" s="6"/>
      <c r="D40" s="6"/>
      <c r="E40" s="16" t="str">
        <f t="shared" si="1"/>
        <v/>
      </c>
      <c r="F40" s="6"/>
    </row>
    <row r="41" spans="1:6" ht="15" customHeight="1">
      <c r="A41" s="3">
        <v>39</v>
      </c>
      <c r="B41" s="4"/>
      <c r="C41" s="4"/>
      <c r="D41" s="4"/>
      <c r="E41" s="13" t="str">
        <f t="shared" si="1"/>
        <v/>
      </c>
      <c r="F41" s="4"/>
    </row>
    <row r="42" spans="1:6" ht="15" customHeight="1">
      <c r="A42" s="5">
        <v>40</v>
      </c>
      <c r="B42" s="6"/>
      <c r="C42" s="6"/>
      <c r="D42" s="6"/>
      <c r="E42" s="16" t="str">
        <f t="shared" si="1"/>
        <v/>
      </c>
      <c r="F42" s="6"/>
    </row>
    <row r="43" spans="1:6" ht="15" customHeight="1">
      <c r="A43" s="3">
        <v>41</v>
      </c>
      <c r="B43" s="4"/>
      <c r="C43" s="4"/>
      <c r="D43" s="4"/>
      <c r="E43" s="13" t="str">
        <f t="shared" si="1"/>
        <v/>
      </c>
      <c r="F43" s="4"/>
    </row>
    <row r="44" spans="1:6" ht="15" customHeight="1">
      <c r="A44" s="5">
        <v>42</v>
      </c>
      <c r="B44" s="6"/>
      <c r="C44" s="6"/>
      <c r="D44" s="6"/>
      <c r="E44" s="16" t="str">
        <f t="shared" si="1"/>
        <v/>
      </c>
      <c r="F44" s="6"/>
    </row>
    <row r="45" spans="1:6" ht="15" customHeight="1">
      <c r="A45" s="3">
        <v>43</v>
      </c>
      <c r="B45" s="4"/>
      <c r="C45" s="4"/>
      <c r="D45" s="4"/>
      <c r="E45" s="13" t="str">
        <f t="shared" si="1"/>
        <v/>
      </c>
      <c r="F45" s="4"/>
    </row>
    <row r="46" spans="1:6" ht="15" customHeight="1">
      <c r="A46" s="5">
        <v>44</v>
      </c>
      <c r="B46" s="6"/>
      <c r="C46" s="6"/>
      <c r="D46" s="6"/>
      <c r="E46" s="16" t="str">
        <f t="shared" si="1"/>
        <v/>
      </c>
      <c r="F46" s="6"/>
    </row>
    <row r="47" spans="1:6" ht="15" customHeight="1">
      <c r="A47" s="3">
        <v>45</v>
      </c>
      <c r="B47" s="4"/>
      <c r="C47" s="4"/>
      <c r="D47" s="4"/>
      <c r="E47" s="13" t="str">
        <f t="shared" si="1"/>
        <v/>
      </c>
      <c r="F47" s="4"/>
    </row>
    <row r="48" spans="1:6" ht="15" customHeight="1">
      <c r="A48" s="5">
        <v>46</v>
      </c>
      <c r="B48" s="6"/>
      <c r="C48" s="6"/>
      <c r="D48" s="6"/>
      <c r="E48" s="16" t="str">
        <f t="shared" si="1"/>
        <v/>
      </c>
      <c r="F48" s="6"/>
    </row>
    <row r="49" spans="1:6" ht="15" customHeight="1">
      <c r="A49" s="3">
        <v>47</v>
      </c>
      <c r="B49" s="4"/>
      <c r="C49" s="4"/>
      <c r="D49" s="4"/>
      <c r="E49" s="13" t="str">
        <f t="shared" si="1"/>
        <v/>
      </c>
      <c r="F49" s="4"/>
    </row>
    <row r="50" spans="1:6" ht="15" customHeight="1">
      <c r="A50" s="5">
        <v>48</v>
      </c>
      <c r="B50" s="6"/>
      <c r="C50" s="6"/>
      <c r="D50" s="6"/>
      <c r="E50" s="16" t="str">
        <f t="shared" si="1"/>
        <v/>
      </c>
      <c r="F50" s="6"/>
    </row>
    <row r="51" spans="1:6" ht="15" customHeight="1">
      <c r="A51" s="3">
        <v>49</v>
      </c>
      <c r="B51" s="4"/>
      <c r="C51" s="4"/>
      <c r="D51" s="4"/>
      <c r="E51" s="13" t="str">
        <f t="shared" si="1"/>
        <v/>
      </c>
      <c r="F51" s="4"/>
    </row>
    <row r="52" spans="1:6" ht="15" customHeight="1">
      <c r="A52" s="5">
        <v>50</v>
      </c>
      <c r="B52" s="6"/>
      <c r="C52" s="6"/>
      <c r="D52" s="6"/>
      <c r="E52" s="16" t="str">
        <f t="shared" si="1"/>
        <v/>
      </c>
      <c r="F52" s="6"/>
    </row>
    <row r="53" spans="1:6" ht="15" customHeight="1">
      <c r="A53" s="3">
        <v>51</v>
      </c>
      <c r="B53" s="4"/>
      <c r="C53" s="4"/>
      <c r="D53" s="4"/>
      <c r="E53" s="13" t="str">
        <f t="shared" si="1"/>
        <v/>
      </c>
      <c r="F53" s="4"/>
    </row>
    <row r="54" spans="1:6" ht="15" customHeight="1">
      <c r="A54" s="5">
        <v>52</v>
      </c>
      <c r="B54" s="6"/>
      <c r="C54" s="6"/>
      <c r="D54" s="6"/>
      <c r="E54" s="16" t="str">
        <f t="shared" si="1"/>
        <v/>
      </c>
      <c r="F54" s="6"/>
    </row>
    <row r="55" spans="1:6" ht="15" customHeight="1">
      <c r="A55" s="3">
        <v>53</v>
      </c>
      <c r="B55" s="4"/>
      <c r="C55" s="4"/>
      <c r="D55" s="4"/>
      <c r="E55" s="13" t="str">
        <f t="shared" si="1"/>
        <v/>
      </c>
      <c r="F55" s="4"/>
    </row>
    <row r="56" spans="1:6" ht="15" customHeight="1">
      <c r="A56" s="5">
        <v>54</v>
      </c>
      <c r="B56" s="6"/>
      <c r="C56" s="6"/>
      <c r="D56" s="6"/>
      <c r="E56" s="16" t="str">
        <f t="shared" si="1"/>
        <v/>
      </c>
      <c r="F56" s="6"/>
    </row>
    <row r="57" spans="1:6" ht="15" customHeight="1">
      <c r="A57" s="3">
        <v>55</v>
      </c>
      <c r="B57" s="4"/>
      <c r="C57" s="4"/>
      <c r="D57" s="4"/>
      <c r="E57" s="13" t="str">
        <f t="shared" si="1"/>
        <v/>
      </c>
      <c r="F57" s="4"/>
    </row>
    <row r="58" spans="1:6" ht="15" customHeight="1">
      <c r="A58" s="5">
        <v>56</v>
      </c>
      <c r="B58" s="6"/>
      <c r="C58" s="6"/>
      <c r="D58" s="6"/>
      <c r="E58" s="16" t="str">
        <f t="shared" si="1"/>
        <v/>
      </c>
      <c r="F58" s="6"/>
    </row>
    <row r="59" spans="1:6" ht="15" customHeight="1">
      <c r="A59" s="3">
        <v>57</v>
      </c>
      <c r="B59" s="4"/>
      <c r="C59" s="4"/>
      <c r="D59" s="4"/>
      <c r="E59" s="13" t="str">
        <f t="shared" si="1"/>
        <v/>
      </c>
      <c r="F59" s="4"/>
    </row>
    <row r="60" spans="1:6" ht="15" customHeight="1">
      <c r="A60" s="5">
        <v>58</v>
      </c>
      <c r="B60" s="6"/>
      <c r="C60" s="6"/>
      <c r="D60" s="6"/>
      <c r="E60" s="16" t="str">
        <f t="shared" si="1"/>
        <v/>
      </c>
      <c r="F60" s="6"/>
    </row>
    <row r="61" spans="1:6" ht="15" customHeight="1">
      <c r="A61" s="3">
        <v>59</v>
      </c>
      <c r="B61" s="4"/>
      <c r="C61" s="4"/>
      <c r="D61" s="4"/>
      <c r="E61" s="13" t="str">
        <f t="shared" si="1"/>
        <v/>
      </c>
      <c r="F61" s="4"/>
    </row>
    <row r="62" spans="1:6" ht="15" customHeight="1">
      <c r="A62" s="5">
        <v>60</v>
      </c>
      <c r="B62" s="6"/>
      <c r="C62" s="6"/>
      <c r="D62" s="6"/>
      <c r="E62" s="16" t="str">
        <f t="shared" si="1"/>
        <v/>
      </c>
      <c r="F62" s="6"/>
    </row>
    <row r="63" spans="1:6" ht="15" customHeight="1">
      <c r="A63" s="3">
        <v>61</v>
      </c>
      <c r="B63" s="4"/>
      <c r="C63" s="4"/>
      <c r="D63" s="4"/>
      <c r="E63" s="13" t="str">
        <f t="shared" si="1"/>
        <v/>
      </c>
      <c r="F63" s="4"/>
    </row>
    <row r="64" spans="1:6" ht="15" customHeight="1">
      <c r="A64" s="5">
        <v>62</v>
      </c>
      <c r="B64" s="6"/>
      <c r="C64" s="6"/>
      <c r="D64" s="6"/>
      <c r="E64" s="16" t="str">
        <f t="shared" si="1"/>
        <v/>
      </c>
      <c r="F64" s="6"/>
    </row>
    <row r="65" spans="1:6" ht="15" customHeight="1">
      <c r="A65" s="3">
        <v>63</v>
      </c>
      <c r="B65" s="4"/>
      <c r="C65" s="4"/>
      <c r="D65" s="4"/>
      <c r="E65" s="13" t="str">
        <f t="shared" si="1"/>
        <v/>
      </c>
      <c r="F65" s="4"/>
    </row>
    <row r="66" spans="1:6" ht="15" customHeight="1">
      <c r="A66" s="5">
        <v>64</v>
      </c>
      <c r="B66" s="6"/>
      <c r="C66" s="6"/>
      <c r="D66" s="6"/>
      <c r="E66" s="16" t="str">
        <f t="shared" si="1"/>
        <v/>
      </c>
      <c r="F66" s="6"/>
    </row>
    <row r="67" spans="1:6" ht="15" customHeight="1">
      <c r="A67" s="3">
        <v>65</v>
      </c>
      <c r="B67" s="4"/>
      <c r="C67" s="4"/>
      <c r="D67" s="4"/>
      <c r="E67" s="13" t="str">
        <f t="shared" ref="E67:E82" si="2">IF(C67="","",VLOOKUP(C67,$J$3:$K$11,2,0))</f>
        <v/>
      </c>
      <c r="F67" s="4"/>
    </row>
    <row r="68" spans="1:6" ht="15" customHeight="1">
      <c r="A68" s="5">
        <v>66</v>
      </c>
      <c r="B68" s="6"/>
      <c r="C68" s="6"/>
      <c r="D68" s="6"/>
      <c r="E68" s="16" t="str">
        <f t="shared" si="2"/>
        <v/>
      </c>
      <c r="F68" s="6"/>
    </row>
    <row r="69" spans="1:6" ht="15" customHeight="1">
      <c r="A69" s="3">
        <v>67</v>
      </c>
      <c r="B69" s="4"/>
      <c r="C69" s="4"/>
      <c r="D69" s="4"/>
      <c r="E69" s="13" t="str">
        <f t="shared" si="2"/>
        <v/>
      </c>
      <c r="F69" s="4"/>
    </row>
    <row r="70" spans="1:6" ht="15" customHeight="1">
      <c r="A70" s="5">
        <v>68</v>
      </c>
      <c r="B70" s="6"/>
      <c r="C70" s="6"/>
      <c r="D70" s="6"/>
      <c r="E70" s="16" t="str">
        <f t="shared" si="2"/>
        <v/>
      </c>
      <c r="F70" s="6"/>
    </row>
    <row r="71" spans="1:6" ht="15" customHeight="1">
      <c r="A71" s="3">
        <v>69</v>
      </c>
      <c r="B71" s="4"/>
      <c r="C71" s="4"/>
      <c r="D71" s="4"/>
      <c r="E71" s="13" t="str">
        <f t="shared" si="2"/>
        <v/>
      </c>
      <c r="F71" s="4"/>
    </row>
    <row r="72" spans="1:6" ht="15" customHeight="1">
      <c r="A72" s="5">
        <v>70</v>
      </c>
      <c r="B72" s="6"/>
      <c r="C72" s="6"/>
      <c r="D72" s="6"/>
      <c r="E72" s="16" t="str">
        <f t="shared" si="2"/>
        <v/>
      </c>
      <c r="F72" s="6"/>
    </row>
    <row r="73" spans="1:6" ht="15" customHeight="1">
      <c r="A73" s="3">
        <v>71</v>
      </c>
      <c r="B73" s="4"/>
      <c r="C73" s="4"/>
      <c r="D73" s="4"/>
      <c r="E73" s="13" t="str">
        <f t="shared" si="2"/>
        <v/>
      </c>
      <c r="F73" s="4"/>
    </row>
    <row r="74" spans="1:6" ht="15" customHeight="1">
      <c r="A74" s="5">
        <v>72</v>
      </c>
      <c r="B74" s="6"/>
      <c r="C74" s="6"/>
      <c r="D74" s="6"/>
      <c r="E74" s="16" t="str">
        <f t="shared" si="2"/>
        <v/>
      </c>
      <c r="F74" s="6"/>
    </row>
    <row r="75" spans="1:6" ht="15" customHeight="1">
      <c r="A75" s="3">
        <v>73</v>
      </c>
      <c r="B75" s="4"/>
      <c r="C75" s="4"/>
      <c r="D75" s="4"/>
      <c r="E75" s="13" t="str">
        <f t="shared" si="2"/>
        <v/>
      </c>
      <c r="F75" s="4"/>
    </row>
    <row r="76" spans="1:6" ht="15" customHeight="1">
      <c r="A76" s="5">
        <v>74</v>
      </c>
      <c r="B76" s="6"/>
      <c r="C76" s="6"/>
      <c r="D76" s="6"/>
      <c r="E76" s="16" t="str">
        <f t="shared" si="2"/>
        <v/>
      </c>
      <c r="F76" s="6"/>
    </row>
    <row r="77" spans="1:6" ht="15" customHeight="1">
      <c r="A77" s="3">
        <v>75</v>
      </c>
      <c r="B77" s="4"/>
      <c r="C77" s="4"/>
      <c r="D77" s="4"/>
      <c r="E77" s="13" t="str">
        <f t="shared" si="2"/>
        <v/>
      </c>
      <c r="F77" s="4"/>
    </row>
    <row r="78" spans="1:6" ht="15" customHeight="1">
      <c r="A78" s="5">
        <v>76</v>
      </c>
      <c r="B78" s="6"/>
      <c r="C78" s="6"/>
      <c r="D78" s="6"/>
      <c r="E78" s="16" t="str">
        <f t="shared" si="2"/>
        <v/>
      </c>
      <c r="F78" s="6"/>
    </row>
    <row r="79" spans="1:6" ht="15" customHeight="1">
      <c r="A79" s="3">
        <v>77</v>
      </c>
      <c r="B79" s="4"/>
      <c r="C79" s="4"/>
      <c r="D79" s="4"/>
      <c r="E79" s="13" t="str">
        <f t="shared" si="2"/>
        <v/>
      </c>
      <c r="F79" s="4"/>
    </row>
    <row r="80" spans="1:6" ht="15" customHeight="1">
      <c r="A80" s="5">
        <v>78</v>
      </c>
      <c r="B80" s="6"/>
      <c r="C80" s="6"/>
      <c r="D80" s="6"/>
      <c r="E80" s="16" t="str">
        <f t="shared" si="2"/>
        <v/>
      </c>
      <c r="F80" s="6"/>
    </row>
    <row r="81" spans="1:6" ht="15" customHeight="1">
      <c r="A81" s="3">
        <v>79</v>
      </c>
      <c r="B81" s="4"/>
      <c r="C81" s="4"/>
      <c r="D81" s="4"/>
      <c r="E81" s="13" t="str">
        <f t="shared" si="2"/>
        <v/>
      </c>
      <c r="F81" s="4"/>
    </row>
    <row r="82" spans="1:6" ht="15" customHeight="1">
      <c r="A82" s="5">
        <v>80</v>
      </c>
      <c r="B82" s="6"/>
      <c r="C82" s="6"/>
      <c r="D82" s="6"/>
      <c r="E82" s="16" t="str">
        <f t="shared" si="2"/>
        <v/>
      </c>
      <c r="F82" s="6"/>
    </row>
    <row r="83" spans="1:6" ht="15" customHeight="1">
      <c r="A83" s="29" t="s">
        <v>16</v>
      </c>
      <c r="B83" s="22"/>
      <c r="C83" s="22"/>
      <c r="D83" s="22"/>
      <c r="E83" s="17" t="str">
        <f>IF(SUM(E3:E82)=0,"",SUM(E3:E82))</f>
        <v/>
      </c>
      <c r="F83" s="18"/>
    </row>
  </sheetData>
  <mergeCells count="3">
    <mergeCell ref="A83:D83"/>
    <mergeCell ref="J2:K2"/>
    <mergeCell ref="A1:F1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M31"/>
  <sheetViews>
    <sheetView zoomScaleNormal="100" workbookViewId="0"/>
  </sheetViews>
  <sheetFormatPr defaultColWidth="8.6328125" defaultRowHeight="14.5"/>
  <cols>
    <col min="1" max="1" width="7.81640625" customWidth="1"/>
    <col min="2" max="2" width="4.453125" customWidth="1"/>
    <col min="3" max="13" width="13" customWidth="1"/>
  </cols>
  <sheetData>
    <row r="1" spans="1:13" ht="36" customHeight="1">
      <c r="A1" s="23" t="s">
        <v>38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3" ht="24" customHeight="1">
      <c r="A2" s="24" t="s">
        <v>2</v>
      </c>
      <c r="B2" s="21" t="s">
        <v>39</v>
      </c>
      <c r="C2" s="22"/>
      <c r="D2" s="24" t="s">
        <v>40</v>
      </c>
      <c r="E2" s="32"/>
      <c r="F2" s="21" t="s">
        <v>41</v>
      </c>
      <c r="G2" s="22"/>
      <c r="H2" s="21" t="s">
        <v>42</v>
      </c>
      <c r="I2" s="22"/>
      <c r="J2" s="21" t="s">
        <v>43</v>
      </c>
      <c r="K2" s="22"/>
      <c r="L2" s="1"/>
    </row>
    <row r="3" spans="1:13" ht="24" customHeight="1">
      <c r="A3" s="25"/>
      <c r="B3" s="2" t="s">
        <v>44</v>
      </c>
      <c r="C3" s="2" t="s">
        <v>45</v>
      </c>
      <c r="D3" t="s">
        <v>44</v>
      </c>
      <c r="E3" t="s">
        <v>45</v>
      </c>
      <c r="F3" s="2" t="s">
        <v>44</v>
      </c>
      <c r="G3" s="2" t="s">
        <v>45</v>
      </c>
      <c r="H3" s="2" t="s">
        <v>44</v>
      </c>
      <c r="I3" s="2" t="s">
        <v>45</v>
      </c>
      <c r="J3" s="2" t="s">
        <v>44</v>
      </c>
      <c r="K3" s="2" t="s">
        <v>45</v>
      </c>
      <c r="L3" s="2"/>
      <c r="M3" s="2"/>
    </row>
    <row r="4" spans="1:13" ht="21.75" customHeight="1">
      <c r="A4" s="4" t="s">
        <v>46</v>
      </c>
      <c r="B4" s="4" t="str">
        <f>IF(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=0,"",COUNTIFS(구역1!F4:F43,"1호차",구역1!E4:E43,"*"&amp;$B31&amp;"*")+COUNTIFS(구역1!F4:F43,"2호차",구역1!E4:E43,"*"&amp;$B31&amp;"*")+COUNTIFS(구역1!F4:F43,"3호차",구역1!E4:E43,"*"&amp;$B31&amp;"*")+COUNTIFS(구역1!F4:F43,"4호차",구역1!E4:E43,"*"&amp;$B31&amp;"*")+COUNTIFS(구역1!F4:F43,"5호차",구역1!E4:E43,"*"&amp;$B31&amp;"*")+COUNTIFS(구역1!F4:F43,"6호차",구역1!E4:E43,"*"&amp;$B31&amp;"*")+COUNTIFS(구역1!F4:F43,"7호차",구역1!E4:E43,"*"&amp;$B31&amp;"*")+COUNTIFS(구역1!F4:F43,"8호차",구역1!E4:E43,"*"&amp;$B31&amp;"*")+COUNTIFS(구역1!F4:F43,"9호차",구역1!E4:E43,"*"&amp;$B31&amp;"*")+COUNTIFS(구역1!F4:F43,"10호차",구역1!E4:E43,"*"&amp;$B31&amp;"*"))</f>
        <v/>
      </c>
      <c r="C4" s="4" t="str">
        <f>IF(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=0,"",COUNTIFS(구역1!G4:G43,"1호차",구역1!E4:E43,"*"&amp;$B31&amp;"*")+COUNTIFS(구역1!G4:G43,"2호차",구역1!E4:E43,"*"&amp;$B31&amp;"*")+COUNTIFS(구역1!G4:G43,"3호차",구역1!E4:E43,"*"&amp;$B31&amp;"*")+COUNTIFS(구역1!G4:G43,"4호차",구역1!E4:E43,"*"&amp;$B31&amp;"*")+COUNTIFS(구역1!G4:G43,"5호차",구역1!E4:E43,"*"&amp;$B31&amp;"*")+COUNTIFS(구역1!G4:G43,"6호차",구역1!E4:E43,"*"&amp;$B31&amp;"*")+COUNTIFS(구역1!G4:G43,"7호차",구역1!E4:E43,"*"&amp;$B31&amp;"*")+COUNTIFS(구역1!G4:G43,"8호차",구역1!E4:E43,"*"&amp;$B31&amp;"*")+COUNTIFS(구역1!G4:G43,"9호차",구역1!E4:E43,"*"&amp;$B31&amp;"*")+COUNTIFS(구역1!G4:G43,"10호차",구역1!E4:E43,"*"&amp;$B31&amp;"*"))</f>
        <v/>
      </c>
      <c r="D4" s="4" t="str">
        <f>IF(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=0,"",COUNTIFS(구역1!F4:F43,"교회차1",구역1!E4:E43,"*"&amp;$B31&amp;"*")+COUNTIFS(구역1!F4:F43,"교회차2",구역1!E4:E43,"*"&amp;$B31&amp;"*")+COUNTIFS(구역1!F4:F43,"교회차3",구역1!E4:E43,"*"&amp;$B31&amp;"*")+COUNTIFS(구역1!F4:F43,"교회차4",구역1!E4:E43,"*"&amp;$B31&amp;"*")+COUNTIFS(구역1!F4:F43,"교회차5",구역1!E4:E43,"*"&amp;$B31&amp;"*")+COUNTIFS(구역1!H4:H43,"*교회차*",구역1!E4:E43,"*"&amp;$B31&amp;"*"))</f>
        <v/>
      </c>
      <c r="E4" s="4" t="str">
        <f>IF(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=0,"",COUNTIFS(구역1!G4:G43,"교회차1",구역1!E4:E43,"*"&amp;$B31&amp;"*")+COUNTIFS(구역1!G4:G43,"교회차2",구역1!E4:E43,"*"&amp;$B31&amp;"*")+COUNTIFS(구역1!G4:G43,"교회차3",구역1!E4:E43,"*"&amp;$B31&amp;"*")+COUNTIFS(구역1!G4:G43,"교회차4",구역1!E4:E43,"*"&amp;$B31&amp;"*")+COUNTIFS(구역1!G4:G43,"교회차5",구역1!E4:E43,"*"&amp;$B31&amp;"*")+COUNTIFS(구역1!I4:I43,"*교회차*",구역1!E4:E43,"*"&amp;$B31&amp;"*"))</f>
        <v/>
      </c>
      <c r="F4" s="4" t="str">
        <f>IF(COUNTIFS(구역1!F4:F43,"타교회",구역1!E4:E43,"*"&amp;$B31&amp;"*")+COUNTIFS(구역1!H4:H43,"*타교회*",구역1!E4:E43,"*"&amp;$B31&amp;"*")=0,"",COUNTIFS(구역1!F4:F43,"타교회",구역1!E4:E43,"*"&amp;$B31&amp;"*")+COUNTIFS(구역1!H4:H43,"*타교회*",구역1!E4:E43,"*"&amp;$B31&amp;"*"))</f>
        <v/>
      </c>
      <c r="G4" s="4" t="str">
        <f>IF(COUNTIFS(구역1!G4:G43,"타교회",구역1!E4:E43,"*"&amp;$B31&amp;"*")+COUNTIFS(구역1!I4:I43,"*타교회*",구역1!E4:E43,"*"&amp;$B31&amp;"*")=0,"",COUNTIFS(구역1!G4:G43,"타교회",구역1!E4:E43,"*"&amp;$B31&amp;"*")+COUNTIFS(구역1!I4:I43,"*타교회*",구역1!E4:E43,"*"&amp;$B31&amp;"*"))</f>
        <v/>
      </c>
      <c r="H4" s="4" t="str">
        <f>IF(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=0,"",COUNTIFS(구역1!F4:F43,"개인차",구역1!E4:E43,"*"&amp;$B31&amp;"*")+(COUNTIFS(구역1!H4:H43,"?*",구역1!E4:E43,"*"&amp;$B31&amp;"*")-COUNTIFS(구역1!H4:H43,"*교회차*",구역1!E4:E43,"*"&amp;$B31&amp;"*")-COUNTIFS(구역1!H4:H43,"*타교회*",구역1!E4:E43,"*"&amp;$B31&amp;"*")-COUNTIFS(구역1!H4:H43,"*대중교통*",구역1!E4:E43,"*"&amp;$B31&amp;"*")))</f>
        <v/>
      </c>
      <c r="I4" s="4" t="str">
        <f>IF(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=0,"",COUNTIFS(구역1!G4:G43,"개인차",구역1!E4:E43,"*"&amp;$B31&amp;"*")+(COUNTIFS(구역1!I4:I43,"?*",구역1!E4:E43,"*"&amp;$B31&amp;"*")-COUNTIFS(구역1!I4:I43,"*교회차*",구역1!E4:E43,"*"&amp;$B31&amp;"*")-COUNTIFS(구역1!I4:I43,"*타교회*",구역1!E4:E43,"*"&amp;$B31&amp;"*")-COUNTIFS(구역1!I4:I43,"*대중교통*",구역1!E4:E43,"*"&amp;$B31&amp;"*")))</f>
        <v/>
      </c>
      <c r="J4" s="4" t="str">
        <f>IF(COUNTIFS(구역1!F4:F43,"대중교통",구역1!E4:E43,"*"&amp;$B31&amp;"*")+COUNTIFS(구역1!H4:H43,"*대중교통*",구역1!E4:E43,"*"&amp;$B31&amp;"*")=0,"",COUNTIFS(구역1!F4:F43,"대중교통",구역1!E4:E43,"*"&amp;$B31&amp;"*")+COUNTIFS(구역1!H4:H43,"*대중교통*",구역1!E4:E43,"*"&amp;$B31&amp;"*"))</f>
        <v/>
      </c>
      <c r="K4" s="4" t="str">
        <f>IF(COUNTIFS(구역1!G4:G43,"대중교통",구역1!E4:E43,"*"&amp;$B31&amp;"*")+COUNTIFS(구역1!I4:I43,"*대중교통*",구역1!E4:E43,"*"&amp;$B31&amp;"*")=0,"",COUNTIFS(구역1!G4:G43,"대중교통",구역1!E4:E43,"*"&amp;$B31&amp;"*")+COUNTIFS(구역1!I4:I43,"*대중교통*",구역1!E4:E43,"*"&amp;$B31&amp;"*"))</f>
        <v/>
      </c>
      <c r="L4" s="4"/>
      <c r="M4" s="4"/>
    </row>
    <row r="5" spans="1:13" ht="21.75" customHeight="1">
      <c r="A5" s="6" t="s">
        <v>47</v>
      </c>
      <c r="B5" s="6" t="str">
        <f>IF(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=0,"",COUNTIFS(구역2!F4:F43,"1호차",구역2!E4:E43,"*"&amp;$B31&amp;"*")+COUNTIFS(구역2!F4:F43,"2호차",구역2!E4:E43,"*"&amp;$B31&amp;"*")+COUNTIFS(구역2!F4:F43,"3호차",구역2!E4:E43,"*"&amp;$B31&amp;"*")+COUNTIFS(구역2!F4:F43,"4호차",구역2!E4:E43,"*"&amp;$B31&amp;"*")+COUNTIFS(구역2!F4:F43,"5호차",구역2!E4:E43,"*"&amp;$B31&amp;"*")+COUNTIFS(구역2!F4:F43,"6호차",구역2!E4:E43,"*"&amp;$B31&amp;"*")+COUNTIFS(구역2!F4:F43,"7호차",구역2!E4:E43,"*"&amp;$B31&amp;"*")+COUNTIFS(구역2!F4:F43,"8호차",구역2!E4:E43,"*"&amp;$B31&amp;"*")+COUNTIFS(구역2!F4:F43,"9호차",구역2!E4:E43,"*"&amp;$B31&amp;"*")+COUNTIFS(구역2!F4:F43,"10호차",구역2!E4:E43,"*"&amp;$B31&amp;"*"))</f>
        <v/>
      </c>
      <c r="C5" s="6" t="str">
        <f>IF(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=0,"",COUNTIFS(구역2!G4:G43,"1호차",구역2!E4:E43,"*"&amp;$B31&amp;"*")+COUNTIFS(구역2!G4:G43,"2호차",구역2!E4:E43,"*"&amp;$B31&amp;"*")+COUNTIFS(구역2!G4:G43,"3호차",구역2!E4:E43,"*"&amp;$B31&amp;"*")+COUNTIFS(구역2!G4:G43,"4호차",구역2!E4:E43,"*"&amp;$B31&amp;"*")+COUNTIFS(구역2!G4:G43,"5호차",구역2!E4:E43,"*"&amp;$B31&amp;"*")+COUNTIFS(구역2!G4:G43,"6호차",구역2!E4:E43,"*"&amp;$B31&amp;"*")+COUNTIFS(구역2!G4:G43,"7호차",구역2!E4:E43,"*"&amp;$B31&amp;"*")+COUNTIFS(구역2!G4:G43,"8호차",구역2!E4:E43,"*"&amp;$B31&amp;"*")+COUNTIFS(구역2!G4:G43,"9호차",구역2!E4:E43,"*"&amp;$B31&amp;"*")+COUNTIFS(구역2!G4:G43,"10호차",구역2!E4:E43,"*"&amp;$B31&amp;"*"))</f>
        <v/>
      </c>
      <c r="D5" s="6" t="str">
        <f>IF(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=0,"",COUNTIFS(구역2!F4:F43,"교회차1",구역2!E4:E43,"*"&amp;$B31&amp;"*")+COUNTIFS(구역2!F4:F43,"교회차2",구역2!E4:E43,"*"&amp;$B31&amp;"*")+COUNTIFS(구역2!F4:F43,"교회차3",구역2!E4:E43,"*"&amp;$B31&amp;"*")+COUNTIFS(구역2!F4:F43,"교회차4",구역2!E4:E43,"*"&amp;$B31&amp;"*")+COUNTIFS(구역2!F4:F43,"교회차5",구역2!E4:E43,"*"&amp;$B31&amp;"*")+COUNTIFS(구역2!H4:H43,"*교회차*",구역2!E4:E43,"*"&amp;$B31&amp;"*"))</f>
        <v/>
      </c>
      <c r="E5" s="6" t="str">
        <f>IF(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=0,"",COUNTIFS(구역2!G4:G43,"교회차1",구역2!E4:E43,"*"&amp;$B31&amp;"*")+COUNTIFS(구역2!G4:G43,"교회차2",구역2!E4:E43,"*"&amp;$B31&amp;"*")+COUNTIFS(구역2!G4:G43,"교회차3",구역2!E4:E43,"*"&amp;$B31&amp;"*")+COUNTIFS(구역2!G4:G43,"교회차4",구역2!E4:E43,"*"&amp;$B31&amp;"*")+COUNTIFS(구역2!G4:G43,"교회차5",구역2!E4:E43,"*"&amp;$B31&amp;"*")+COUNTIFS(구역2!I4:I43,"*교회차*",구역2!E4:E43,"*"&amp;$B31&amp;"*"))</f>
        <v/>
      </c>
      <c r="F5" s="6" t="str">
        <f>IF(COUNTIFS(구역2!F4:F43,"타교회",구역2!E4:E43,"*"&amp;$B31&amp;"*")+COUNTIFS(구역2!H4:H43,"*타교회*",구역2!E4:E43,"*"&amp;$B31&amp;"*")=0,"",COUNTIFS(구역2!F4:F43,"타교회",구역2!E4:E43,"*"&amp;$B31&amp;"*")+COUNTIFS(구역2!H4:H43,"*타교회*",구역2!E4:E43,"*"&amp;$B31&amp;"*"))</f>
        <v/>
      </c>
      <c r="G5" s="6" t="str">
        <f>IF(COUNTIFS(구역2!G4:G43,"타교회",구역2!E4:E43,"*"&amp;$B31&amp;"*")+COUNTIFS(구역2!I4:I43,"*타교회*",구역2!E4:E43,"*"&amp;$B31&amp;"*")=0,"",COUNTIFS(구역2!G4:G43,"타교회",구역2!E4:E43,"*"&amp;$B31&amp;"*")+COUNTIFS(구역2!I4:I43,"*타교회*",구역2!E4:E43,"*"&amp;$B31&amp;"*"))</f>
        <v/>
      </c>
      <c r="H5" s="6" t="str">
        <f>IF(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=0,"",COUNTIFS(구역2!F4:F43,"개인차",구역2!E4:E43,"*"&amp;$B31&amp;"*")+(COUNTIFS(구역2!H4:H43,"?*",구역2!E4:E43,"*"&amp;$B31&amp;"*")-COUNTIFS(구역2!H4:H43,"*교회차*",구역2!E4:E43,"*"&amp;$B31&amp;"*")-COUNTIFS(구역2!H4:H43,"*타교회*",구역2!E4:E43,"*"&amp;$B31&amp;"*")-COUNTIFS(구역2!H4:H43,"*대중교통*",구역2!E4:E43,"*"&amp;$B31&amp;"*")))</f>
        <v/>
      </c>
      <c r="I5" s="6" t="str">
        <f>IF(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=0,"",COUNTIFS(구역2!G4:G43,"개인차",구역2!E4:E43,"*"&amp;$B31&amp;"*")+(COUNTIFS(구역2!I4:I43,"?*",구역2!E4:E43,"*"&amp;$B31&amp;"*")-COUNTIFS(구역2!I4:I43,"*교회차*",구역2!E4:E43,"*"&amp;$B31&amp;"*")-COUNTIFS(구역2!I4:I43,"*타교회*",구역2!E4:E43,"*"&amp;$B31&amp;"*")-COUNTIFS(구역2!I4:I43,"*대중교통*",구역2!E4:E43,"*"&amp;$B31&amp;"*")))</f>
        <v/>
      </c>
      <c r="J5" s="6" t="str">
        <f>IF(COUNTIFS(구역2!F4:F43,"대중교통",구역2!E4:E43,"*"&amp;$B31&amp;"*")+COUNTIFS(구역2!H4:H43,"*대중교통*",구역2!E4:E43,"*"&amp;$B31&amp;"*")=0,"",COUNTIFS(구역2!F4:F43,"대중교통",구역2!E4:E43,"*"&amp;$B31&amp;"*")+COUNTIFS(구역2!H4:H43,"*대중교통*",구역2!E4:E43,"*"&amp;$B31&amp;"*"))</f>
        <v/>
      </c>
      <c r="K5" s="6" t="str">
        <f>IF(COUNTIFS(구역2!G4:G43,"대중교통",구역2!E4:E43,"*"&amp;$B31&amp;"*")+COUNTIFS(구역2!I4:I43,"*대중교통*",구역2!E4:E43,"*"&amp;$B31&amp;"*")=0,"",COUNTIFS(구역2!G4:G43,"대중교통",구역2!E4:E43,"*"&amp;$B31&amp;"*")+COUNTIFS(구역2!I4:I43,"*대중교통*",구역2!E4:E43,"*"&amp;$B31&amp;"*"))</f>
        <v/>
      </c>
      <c r="L5" s="6"/>
      <c r="M5" s="6"/>
    </row>
    <row r="6" spans="1:13" ht="21.75" customHeight="1">
      <c r="A6" s="4" t="s">
        <v>48</v>
      </c>
      <c r="B6" s="4" t="str">
        <f>IF(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=0,"",COUNTIFS(구역3!F4:F43,"1호차",구역3!E4:E43,"*"&amp;$B31&amp;"*")+COUNTIFS(구역3!F4:F43,"2호차",구역3!E4:E43,"*"&amp;$B31&amp;"*")+COUNTIFS(구역3!F4:F43,"3호차",구역3!E4:E43,"*"&amp;$B31&amp;"*")+COUNTIFS(구역3!F4:F43,"4호차",구역3!E4:E43,"*"&amp;$B31&amp;"*")+COUNTIFS(구역3!F4:F43,"5호차",구역3!E4:E43,"*"&amp;$B31&amp;"*")+COUNTIFS(구역3!F4:F43,"6호차",구역3!E4:E43,"*"&amp;$B31&amp;"*")+COUNTIFS(구역3!F4:F43,"7호차",구역3!E4:E43,"*"&amp;$B31&amp;"*")+COUNTIFS(구역3!F4:F43,"8호차",구역3!E4:E43,"*"&amp;$B31&amp;"*")+COUNTIFS(구역3!F4:F43,"9호차",구역3!E4:E43,"*"&amp;$B31&amp;"*")+COUNTIFS(구역3!F4:F43,"10호차",구역3!E4:E43,"*"&amp;$B31&amp;"*"))</f>
        <v/>
      </c>
      <c r="C6" s="4" t="str">
        <f>IF(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=0,"",COUNTIFS(구역3!G4:G43,"1호차",구역3!E4:E43,"*"&amp;$B31&amp;"*")+COUNTIFS(구역3!G4:G43,"2호차",구역3!E4:E43,"*"&amp;$B31&amp;"*")+COUNTIFS(구역3!G4:G43,"3호차",구역3!E4:E43,"*"&amp;$B31&amp;"*")+COUNTIFS(구역3!G4:G43,"4호차",구역3!E4:E43,"*"&amp;$B31&amp;"*")+COUNTIFS(구역3!G4:G43,"5호차",구역3!E4:E43,"*"&amp;$B31&amp;"*")+COUNTIFS(구역3!G4:G43,"6호차",구역3!E4:E43,"*"&amp;$B31&amp;"*")+COUNTIFS(구역3!G4:G43,"7호차",구역3!E4:E43,"*"&amp;$B31&amp;"*")+COUNTIFS(구역3!G4:G43,"8호차",구역3!E4:E43,"*"&amp;$B31&amp;"*")+COUNTIFS(구역3!G4:G43,"9호차",구역3!E4:E43,"*"&amp;$B31&amp;"*")+COUNTIFS(구역3!G4:G43,"10호차",구역3!E4:E43,"*"&amp;$B31&amp;"*"))</f>
        <v/>
      </c>
      <c r="D6" s="4" t="str">
        <f>IF(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=0,"",COUNTIFS(구역3!F4:F43,"교회차1",구역3!E4:E43,"*"&amp;$B31&amp;"*")+COUNTIFS(구역3!F4:F43,"교회차2",구역3!E4:E43,"*"&amp;$B31&amp;"*")+COUNTIFS(구역3!F4:F43,"교회차3",구역3!E4:E43,"*"&amp;$B31&amp;"*")+COUNTIFS(구역3!F4:F43,"교회차4",구역3!E4:E43,"*"&amp;$B31&amp;"*")+COUNTIFS(구역3!F4:F43,"교회차5",구역3!E4:E43,"*"&amp;$B31&amp;"*")+COUNTIFS(구역3!H4:H43,"*교회차*",구역3!E4:E43,"*"&amp;$B31&amp;"*"))</f>
        <v/>
      </c>
      <c r="E6" s="4" t="str">
        <f>IF(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=0,"",COUNTIFS(구역3!G4:G43,"교회차1",구역3!E4:E43,"*"&amp;$B31&amp;"*")+COUNTIFS(구역3!G4:G43,"교회차2",구역3!E4:E43,"*"&amp;$B31&amp;"*")+COUNTIFS(구역3!G4:G43,"교회차3",구역3!E4:E43,"*"&amp;$B31&amp;"*")+COUNTIFS(구역3!G4:G43,"교회차4",구역3!E4:E43,"*"&amp;$B31&amp;"*")+COUNTIFS(구역3!G4:G43,"교회차5",구역3!E4:E43,"*"&amp;$B31&amp;"*")+COUNTIFS(구역3!I4:I43,"*교회차*",구역3!E4:E43,"*"&amp;$B31&amp;"*"))</f>
        <v/>
      </c>
      <c r="F6" s="4" t="str">
        <f>IF(COUNTIFS(구역3!F4:F43,"타교회",구역3!E4:E43,"*"&amp;$B31&amp;"*")+COUNTIFS(구역3!H4:H43,"*타교회*",구역3!E4:E43,"*"&amp;$B31&amp;"*")=0,"",COUNTIFS(구역3!F4:F43,"타교회",구역3!E4:E43,"*"&amp;$B31&amp;"*")+COUNTIFS(구역3!H4:H43,"*타교회*",구역3!E4:E43,"*"&amp;$B31&amp;"*"))</f>
        <v/>
      </c>
      <c r="G6" s="4" t="str">
        <f>IF(COUNTIFS(구역3!G4:G43,"타교회",구역3!E4:E43,"*"&amp;$B31&amp;"*")+COUNTIFS(구역3!I4:I43,"*타교회*",구역3!E4:E43,"*"&amp;$B31&amp;"*")=0,"",COUNTIFS(구역3!G4:G43,"타교회",구역3!E4:E43,"*"&amp;$B31&amp;"*")+COUNTIFS(구역3!I4:I43,"*타교회*",구역3!E4:E43,"*"&amp;$B31&amp;"*"))</f>
        <v/>
      </c>
      <c r="H6" s="4" t="str">
        <f>IF(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=0,"",COUNTIFS(구역3!F4:F43,"개인차",구역3!E4:E43,"*"&amp;$B31&amp;"*")+(COUNTIFS(구역3!H4:H43,"?*",구역3!E4:E43,"*"&amp;$B31&amp;"*")-COUNTIFS(구역3!H4:H43,"*교회차*",구역3!E4:E43,"*"&amp;$B31&amp;"*")-COUNTIFS(구역3!H4:H43,"*타교회*",구역3!E4:E43,"*"&amp;$B31&amp;"*")-COUNTIFS(구역3!H4:H43,"*대중교통*",구역3!E4:E43,"*"&amp;$B31&amp;"*")))</f>
        <v/>
      </c>
      <c r="I6" s="4" t="str">
        <f>IF(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=0,"",COUNTIFS(구역3!G4:G43,"개인차",구역3!E4:E43,"*"&amp;$B31&amp;"*")+(COUNTIFS(구역3!I4:I43,"?*",구역3!E4:E43,"*"&amp;$B31&amp;"*")-COUNTIFS(구역3!I4:I43,"*교회차*",구역3!E4:E43,"*"&amp;$B31&amp;"*")-COUNTIFS(구역3!I4:I43,"*타교회*",구역3!E4:E43,"*"&amp;$B31&amp;"*")-COUNTIFS(구역3!I4:I43,"*대중교통*",구역3!E4:E43,"*"&amp;$B31&amp;"*")))</f>
        <v/>
      </c>
      <c r="J6" s="4" t="str">
        <f>IF(COUNTIFS(구역3!F4:F43,"대중교통",구역3!E4:E43,"*"&amp;$B31&amp;"*")+COUNTIFS(구역3!H4:H43,"*대중교통*",구역3!E4:E43,"*"&amp;$B31&amp;"*")=0,"",COUNTIFS(구역3!F4:F43,"대중교통",구역3!E4:E43,"*"&amp;$B31&amp;"*")+COUNTIFS(구역3!H4:H43,"*대중교통*",구역3!E4:E43,"*"&amp;$B31&amp;"*"))</f>
        <v/>
      </c>
      <c r="K6" s="4" t="str">
        <f>IF(COUNTIFS(구역3!G4:G43,"대중교통",구역3!E4:E43,"*"&amp;$B31&amp;"*")+COUNTIFS(구역3!I4:I43,"*대중교통*",구역3!E4:E43,"*"&amp;$B31&amp;"*")=0,"",COUNTIFS(구역3!G4:G43,"대중교통",구역3!E4:E43,"*"&amp;$B31&amp;"*")+COUNTIFS(구역3!I4:I43,"*대중교통*",구역3!E4:E43,"*"&amp;$B31&amp;"*"))</f>
        <v/>
      </c>
      <c r="L6" s="4"/>
      <c r="M6" s="4"/>
    </row>
    <row r="7" spans="1:13" ht="21.75" customHeight="1">
      <c r="A7" s="6" t="s">
        <v>49</v>
      </c>
      <c r="B7" s="6" t="str">
        <f>IF(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=0,"",COUNTIFS(구역4!F4:F43,"1호차",구역4!E4:E43,"*"&amp;$B31&amp;"*")+COUNTIFS(구역4!F4:F43,"2호차",구역4!E4:E43,"*"&amp;$B31&amp;"*")+COUNTIFS(구역4!F4:F43,"3호차",구역4!E4:E43,"*"&amp;$B31&amp;"*")+COUNTIFS(구역4!F4:F43,"4호차",구역4!E4:E43,"*"&amp;$B31&amp;"*")+COUNTIFS(구역4!F4:F43,"5호차",구역4!E4:E43,"*"&amp;$B31&amp;"*")+COUNTIFS(구역4!F4:F43,"6호차",구역4!E4:E43,"*"&amp;$B31&amp;"*")+COUNTIFS(구역4!F4:F43,"7호차",구역4!E4:E43,"*"&amp;$B31&amp;"*")+COUNTIFS(구역4!F4:F43,"8호차",구역4!E4:E43,"*"&amp;$B31&amp;"*")+COUNTIFS(구역4!F4:F43,"9호차",구역4!E4:E43,"*"&amp;$B31&amp;"*")+COUNTIFS(구역4!F4:F43,"10호차",구역4!E4:E43,"*"&amp;$B31&amp;"*"))</f>
        <v/>
      </c>
      <c r="C7" s="6" t="str">
        <f>IF(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=0,"",COUNTIFS(구역4!G4:G43,"1호차",구역4!E4:E43,"*"&amp;$B31&amp;"*")+COUNTIFS(구역4!G4:G43,"2호차",구역4!E4:E43,"*"&amp;$B31&amp;"*")+COUNTIFS(구역4!G4:G43,"3호차",구역4!E4:E43,"*"&amp;$B31&amp;"*")+COUNTIFS(구역4!G4:G43,"4호차",구역4!E4:E43,"*"&amp;$B31&amp;"*")+COUNTIFS(구역4!G4:G43,"5호차",구역4!E4:E43,"*"&amp;$B31&amp;"*")+COUNTIFS(구역4!G4:G43,"6호차",구역4!E4:E43,"*"&amp;$B31&amp;"*")+COUNTIFS(구역4!G4:G43,"7호차",구역4!E4:E43,"*"&amp;$B31&amp;"*")+COUNTIFS(구역4!G4:G43,"8호차",구역4!E4:E43,"*"&amp;$B31&amp;"*")+COUNTIFS(구역4!G4:G43,"9호차",구역4!E4:E43,"*"&amp;$B31&amp;"*")+COUNTIFS(구역4!G4:G43,"10호차",구역4!E4:E43,"*"&amp;$B31&amp;"*"))</f>
        <v/>
      </c>
      <c r="D7" s="6" t="str">
        <f>IF(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=0,"",COUNTIFS(구역4!F4:F43,"교회차1",구역4!E4:E43,"*"&amp;$B31&amp;"*")+COUNTIFS(구역4!F4:F43,"교회차2",구역4!E4:E43,"*"&amp;$B31&amp;"*")+COUNTIFS(구역4!F4:F43,"교회차3",구역4!E4:E43,"*"&amp;$B31&amp;"*")+COUNTIFS(구역4!F4:F43,"교회차4",구역4!E4:E43,"*"&amp;$B31&amp;"*")+COUNTIFS(구역4!F4:F43,"교회차5",구역4!E4:E43,"*"&amp;$B31&amp;"*")+COUNTIFS(구역4!H4:H43,"*교회차*",구역4!E4:E43,"*"&amp;$B31&amp;"*"))</f>
        <v/>
      </c>
      <c r="E7" s="6" t="str">
        <f>IF(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=0,"",COUNTIFS(구역4!G4:G43,"교회차1",구역4!E4:E43,"*"&amp;$B31&amp;"*")+COUNTIFS(구역4!G4:G43,"교회차2",구역4!E4:E43,"*"&amp;$B31&amp;"*")+COUNTIFS(구역4!G4:G43,"교회차3",구역4!E4:E43,"*"&amp;$B31&amp;"*")+COUNTIFS(구역4!G4:G43,"교회차4",구역4!E4:E43,"*"&amp;$B31&amp;"*")+COUNTIFS(구역4!G4:G43,"교회차5",구역4!E4:E43,"*"&amp;$B31&amp;"*")+COUNTIFS(구역4!I4:I43,"*교회차*",구역4!E4:E43,"*"&amp;$B31&amp;"*"))</f>
        <v/>
      </c>
      <c r="F7" s="6" t="str">
        <f>IF(COUNTIFS(구역4!F4:F43,"타교회",구역4!E4:E43,"*"&amp;$B31&amp;"*")+COUNTIFS(구역4!H4:H43,"*타교회*",구역4!E4:E43,"*"&amp;$B31&amp;"*")=0,"",COUNTIFS(구역4!F4:F43,"타교회",구역4!E4:E43,"*"&amp;$B31&amp;"*")+COUNTIFS(구역4!H4:H43,"*타교회*",구역4!E4:E43,"*"&amp;$B31&amp;"*"))</f>
        <v/>
      </c>
      <c r="G7" s="6" t="str">
        <f>IF(COUNTIFS(구역4!G4:G43,"타교회",구역4!E4:E43,"*"&amp;$B31&amp;"*")+COUNTIFS(구역4!I4:I43,"*타교회*",구역4!E4:E43,"*"&amp;$B31&amp;"*")=0,"",COUNTIFS(구역4!G4:G43,"타교회",구역4!E4:E43,"*"&amp;$B31&amp;"*")+COUNTIFS(구역4!I4:I43,"*타교회*",구역4!E4:E43,"*"&amp;$B31&amp;"*"))</f>
        <v/>
      </c>
      <c r="H7" s="6" t="str">
        <f>IF(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=0,"",COUNTIFS(구역4!F4:F43,"개인차",구역4!E4:E43,"*"&amp;$B31&amp;"*")+(COUNTIFS(구역4!H4:H43,"?*",구역4!E4:E43,"*"&amp;$B31&amp;"*")-COUNTIFS(구역4!H4:H43,"*교회차*",구역4!E4:E43,"*"&amp;$B31&amp;"*")-COUNTIFS(구역4!H4:H43,"*타교회*",구역4!E4:E43,"*"&amp;$B31&amp;"*")-COUNTIFS(구역4!H4:H43,"*대중교통*",구역4!E4:E43,"*"&amp;$B31&amp;"*")))</f>
        <v/>
      </c>
      <c r="I7" s="6" t="str">
        <f>IF(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=0,"",COUNTIFS(구역4!G4:G43,"개인차",구역4!E4:E43,"*"&amp;$B31&amp;"*")+(COUNTIFS(구역4!I4:I43,"?*",구역4!E4:E43,"*"&amp;$B31&amp;"*")-COUNTIFS(구역4!I4:I43,"*교회차*",구역4!E4:E43,"*"&amp;$B31&amp;"*")-COUNTIFS(구역4!I4:I43,"*타교회*",구역4!E4:E43,"*"&amp;$B31&amp;"*")-COUNTIFS(구역4!I4:I43,"*대중교통*",구역4!E4:E43,"*"&amp;$B31&amp;"*")))</f>
        <v/>
      </c>
      <c r="J7" s="6" t="str">
        <f>IF(COUNTIFS(구역4!F4:F43,"대중교통",구역4!E4:E43,"*"&amp;$B31&amp;"*")+COUNTIFS(구역4!H4:H43,"*대중교통*",구역4!E4:E43,"*"&amp;$B31&amp;"*")=0,"",COUNTIFS(구역4!F4:F43,"대중교통",구역4!E4:E43,"*"&amp;$B31&amp;"*")+COUNTIFS(구역4!H4:H43,"*대중교통*",구역4!E4:E43,"*"&amp;$B31&amp;"*"))</f>
        <v/>
      </c>
      <c r="K7" s="6" t="str">
        <f>IF(COUNTIFS(구역4!G4:G43,"대중교통",구역4!E4:E43,"*"&amp;$B31&amp;"*")+COUNTIFS(구역4!I4:I43,"*대중교통*",구역4!E4:E43,"*"&amp;$B31&amp;"*")=0,"",COUNTIFS(구역4!G4:G43,"대중교통",구역4!E4:E43,"*"&amp;$B31&amp;"*")+COUNTIFS(구역4!I4:I43,"*대중교통*",구역4!E4:E43,"*"&amp;$B31&amp;"*"))</f>
        <v/>
      </c>
      <c r="L7" s="6"/>
      <c r="M7" s="6"/>
    </row>
    <row r="8" spans="1:13" ht="21.75" customHeight="1">
      <c r="A8" s="4" t="s">
        <v>50</v>
      </c>
      <c r="B8" s="4" t="str">
        <f>IF(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=0,"",COUNTIFS(구역5!F4:F43,"1호차",구역5!E4:E43,"*"&amp;$B31&amp;"*")+COUNTIFS(구역5!F4:F43,"2호차",구역5!E4:E43,"*"&amp;$B31&amp;"*")+COUNTIFS(구역5!F4:F43,"3호차",구역5!E4:E43,"*"&amp;$B31&amp;"*")+COUNTIFS(구역5!F4:F43,"4호차",구역5!E4:E43,"*"&amp;$B31&amp;"*")+COUNTIFS(구역5!F4:F43,"5호차",구역5!E4:E43,"*"&amp;$B31&amp;"*")+COUNTIFS(구역5!F4:F43,"6호차",구역5!E4:E43,"*"&amp;$B31&amp;"*")+COUNTIFS(구역5!F4:F43,"7호차",구역5!E4:E43,"*"&amp;$B31&amp;"*")+COUNTIFS(구역5!F4:F43,"8호차",구역5!E4:E43,"*"&amp;$B31&amp;"*")+COUNTIFS(구역5!F4:F43,"9호차",구역5!E4:E43,"*"&amp;$B31&amp;"*")+COUNTIFS(구역5!F4:F43,"10호차",구역5!E4:E43,"*"&amp;$B31&amp;"*"))</f>
        <v/>
      </c>
      <c r="C8" s="4" t="str">
        <f>IF(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=0,"",COUNTIFS(구역5!G4:G43,"1호차",구역5!E4:E43,"*"&amp;$B31&amp;"*")+COUNTIFS(구역5!G4:G43,"2호차",구역5!E4:E43,"*"&amp;$B31&amp;"*")+COUNTIFS(구역5!G4:G43,"3호차",구역5!E4:E43,"*"&amp;$B31&amp;"*")+COUNTIFS(구역5!G4:G43,"4호차",구역5!E4:E43,"*"&amp;$B31&amp;"*")+COUNTIFS(구역5!G4:G43,"5호차",구역5!E4:E43,"*"&amp;$B31&amp;"*")+COUNTIFS(구역5!G4:G43,"6호차",구역5!E4:E43,"*"&amp;$B31&amp;"*")+COUNTIFS(구역5!G4:G43,"7호차",구역5!E4:E43,"*"&amp;$B31&amp;"*")+COUNTIFS(구역5!G4:G43,"8호차",구역5!E4:E43,"*"&amp;$B31&amp;"*")+COUNTIFS(구역5!G4:G43,"9호차",구역5!E4:E43,"*"&amp;$B31&amp;"*")+COUNTIFS(구역5!G4:G43,"10호차",구역5!E4:E43,"*"&amp;$B31&amp;"*"))</f>
        <v/>
      </c>
      <c r="D8" s="4" t="str">
        <f>IF(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=0,"",COUNTIFS(구역5!F4:F43,"교회차1",구역5!E4:E43,"*"&amp;$B31&amp;"*")+COUNTIFS(구역5!F4:F43,"교회차2",구역5!E4:E43,"*"&amp;$B31&amp;"*")+COUNTIFS(구역5!F4:F43,"교회차3",구역5!E4:E43,"*"&amp;$B31&amp;"*")+COUNTIFS(구역5!F4:F43,"교회차4",구역5!E4:E43,"*"&amp;$B31&amp;"*")+COUNTIFS(구역5!F4:F43,"교회차5",구역5!E4:E43,"*"&amp;$B31&amp;"*")+COUNTIFS(구역5!H4:H43,"*교회차*",구역5!E4:E43,"*"&amp;$B31&amp;"*"))</f>
        <v/>
      </c>
      <c r="E8" s="4" t="str">
        <f>IF(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=0,"",COUNTIFS(구역5!G4:G43,"교회차1",구역5!E4:E43,"*"&amp;$B31&amp;"*")+COUNTIFS(구역5!G4:G43,"교회차2",구역5!E4:E43,"*"&amp;$B31&amp;"*")+COUNTIFS(구역5!G4:G43,"교회차3",구역5!E4:E43,"*"&amp;$B31&amp;"*")+COUNTIFS(구역5!G4:G43,"교회차4",구역5!E4:E43,"*"&amp;$B31&amp;"*")+COUNTIFS(구역5!G4:G43,"교회차5",구역5!E4:E43,"*"&amp;$B31&amp;"*")+COUNTIFS(구역5!I4:I43,"*교회차*",구역5!E4:E43,"*"&amp;$B31&amp;"*"))</f>
        <v/>
      </c>
      <c r="F8" s="4" t="str">
        <f>IF(COUNTIFS(구역5!F4:F43,"타교회",구역5!E4:E43,"*"&amp;$B31&amp;"*")+COUNTIFS(구역5!H4:H43,"*타교회*",구역5!E4:E43,"*"&amp;$B31&amp;"*")=0,"",COUNTIFS(구역5!F4:F43,"타교회",구역5!E4:E43,"*"&amp;$B31&amp;"*")+COUNTIFS(구역5!H4:H43,"*타교회*",구역5!E4:E43,"*"&amp;$B31&amp;"*"))</f>
        <v/>
      </c>
      <c r="G8" s="4" t="str">
        <f>IF(COUNTIFS(구역5!G4:G43,"타교회",구역5!E4:E43,"*"&amp;$B31&amp;"*")+COUNTIFS(구역5!I4:I43,"*타교회*",구역5!E4:E43,"*"&amp;$B31&amp;"*")=0,"",COUNTIFS(구역5!G4:G43,"타교회",구역5!E4:E43,"*"&amp;$B31&amp;"*")+COUNTIFS(구역5!I4:I43,"*타교회*",구역5!E4:E43,"*"&amp;$B31&amp;"*"))</f>
        <v/>
      </c>
      <c r="H8" s="4" t="str">
        <f>IF(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=0,"",COUNTIFS(구역5!F4:F43,"개인차",구역5!E4:E43,"*"&amp;$B31&amp;"*")+(COUNTIFS(구역5!H4:H43,"?*",구역5!E4:E43,"*"&amp;$B31&amp;"*")-COUNTIFS(구역5!H4:H43,"*교회차*",구역5!E4:E43,"*"&amp;$B31&amp;"*")-COUNTIFS(구역5!H4:H43,"*타교회*",구역5!E4:E43,"*"&amp;$B31&amp;"*")-COUNTIFS(구역5!H4:H43,"*대중교통*",구역5!E4:E43,"*"&amp;$B31&amp;"*")))</f>
        <v/>
      </c>
      <c r="I8" s="4" t="str">
        <f>IF(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=0,"",COUNTIFS(구역5!G4:G43,"개인차",구역5!E4:E43,"*"&amp;$B31&amp;"*")+(COUNTIFS(구역5!I4:I43,"?*",구역5!E4:E43,"*"&amp;$B31&amp;"*")-COUNTIFS(구역5!I4:I43,"*교회차*",구역5!E4:E43,"*"&amp;$B31&amp;"*")-COUNTIFS(구역5!I4:I43,"*타교회*",구역5!E4:E43,"*"&amp;$B31&amp;"*")-COUNTIFS(구역5!I4:I43,"*대중교통*",구역5!E4:E43,"*"&amp;$B31&amp;"*")))</f>
        <v/>
      </c>
      <c r="J8" s="4" t="str">
        <f>IF(COUNTIFS(구역5!F4:F43,"대중교통",구역5!E4:E43,"*"&amp;$B31&amp;"*")+COUNTIFS(구역5!H4:H43,"*대중교통*",구역5!E4:E43,"*"&amp;$B31&amp;"*")=0,"",COUNTIFS(구역5!F4:F43,"대중교통",구역5!E4:E43,"*"&amp;$B31&amp;"*")+COUNTIFS(구역5!H4:H43,"*대중교통*",구역5!E4:E43,"*"&amp;$B31&amp;"*"))</f>
        <v/>
      </c>
      <c r="K8" s="4" t="str">
        <f>IF(COUNTIFS(구역5!G4:G43,"대중교통",구역5!E4:E43,"*"&amp;$B31&amp;"*")+COUNTIFS(구역5!I4:I43,"*대중교통*",구역5!E4:E43,"*"&amp;$B31&amp;"*")=0,"",COUNTIFS(구역5!G4:G43,"대중교통",구역5!E4:E43,"*"&amp;$B31&amp;"*")+COUNTIFS(구역5!I4:I43,"*대중교통*",구역5!E4:E43,"*"&amp;$B31&amp;"*"))</f>
        <v/>
      </c>
      <c r="L8" s="4"/>
      <c r="M8" s="4"/>
    </row>
    <row r="9" spans="1:13" ht="21.75" customHeight="1">
      <c r="A9" s="6" t="s">
        <v>51</v>
      </c>
      <c r="B9" s="6" t="str">
        <f>IF(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=0,"",COUNTIFS(구역6!F4:F43,"1호차",구역6!E4:E43,"*"&amp;$B31&amp;"*")+COUNTIFS(구역6!F4:F43,"2호차",구역6!E4:E43,"*"&amp;$B31&amp;"*")+COUNTIFS(구역6!F4:F43,"3호차",구역6!E4:E43,"*"&amp;$B31&amp;"*")+COUNTIFS(구역6!F4:F43,"4호차",구역6!E4:E43,"*"&amp;$B31&amp;"*")+COUNTIFS(구역6!F4:F43,"5호차",구역6!E4:E43,"*"&amp;$B31&amp;"*")+COUNTIFS(구역6!F4:F43,"6호차",구역6!E4:E43,"*"&amp;$B31&amp;"*")+COUNTIFS(구역6!F4:F43,"7호차",구역6!E4:E43,"*"&amp;$B31&amp;"*")+COUNTIFS(구역6!F4:F43,"8호차",구역6!E4:E43,"*"&amp;$B31&amp;"*")+COUNTIFS(구역6!F4:F43,"9호차",구역6!E4:E43,"*"&amp;$B31&amp;"*")+COUNTIFS(구역6!F4:F43,"10호차",구역6!E4:E43,"*"&amp;$B31&amp;"*"))</f>
        <v/>
      </c>
      <c r="C9" s="6" t="str">
        <f>IF(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=0,"",COUNTIFS(구역6!G4:G43,"1호차",구역6!E4:E43,"*"&amp;$B31&amp;"*")+COUNTIFS(구역6!G4:G43,"2호차",구역6!E4:E43,"*"&amp;$B31&amp;"*")+COUNTIFS(구역6!G4:G43,"3호차",구역6!E4:E43,"*"&amp;$B31&amp;"*")+COUNTIFS(구역6!G4:G43,"4호차",구역6!E4:E43,"*"&amp;$B31&amp;"*")+COUNTIFS(구역6!G4:G43,"5호차",구역6!E4:E43,"*"&amp;$B31&amp;"*")+COUNTIFS(구역6!G4:G43,"6호차",구역6!E4:E43,"*"&amp;$B31&amp;"*")+COUNTIFS(구역6!G4:G43,"7호차",구역6!E4:E43,"*"&amp;$B31&amp;"*")+COUNTIFS(구역6!G4:G43,"8호차",구역6!E4:E43,"*"&amp;$B31&amp;"*")+COUNTIFS(구역6!G4:G43,"9호차",구역6!E4:E43,"*"&amp;$B31&amp;"*")+COUNTIFS(구역6!G4:G43,"10호차",구역6!E4:E43,"*"&amp;$B31&amp;"*"))</f>
        <v/>
      </c>
      <c r="D9" s="6" t="str">
        <f>IF(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=0,"",COUNTIFS(구역6!F4:F43,"교회차1",구역6!E4:E43,"*"&amp;$B31&amp;"*")+COUNTIFS(구역6!F4:F43,"교회차2",구역6!E4:E43,"*"&amp;$B31&amp;"*")+COUNTIFS(구역6!F4:F43,"교회차3",구역6!E4:E43,"*"&amp;$B31&amp;"*")+COUNTIFS(구역6!F4:F43,"교회차4",구역6!E4:E43,"*"&amp;$B31&amp;"*")+COUNTIFS(구역6!F4:F43,"교회차5",구역6!E4:E43,"*"&amp;$B31&amp;"*")+COUNTIFS(구역6!H4:H43,"*교회차*",구역6!E4:E43,"*"&amp;$B31&amp;"*"))</f>
        <v/>
      </c>
      <c r="E9" s="6" t="str">
        <f>IF(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=0,"",COUNTIFS(구역6!G4:G43,"교회차1",구역6!E4:E43,"*"&amp;$B31&amp;"*")+COUNTIFS(구역6!G4:G43,"교회차2",구역6!E4:E43,"*"&amp;$B31&amp;"*")+COUNTIFS(구역6!G4:G43,"교회차3",구역6!E4:E43,"*"&amp;$B31&amp;"*")+COUNTIFS(구역6!G4:G43,"교회차4",구역6!E4:E43,"*"&amp;$B31&amp;"*")+COUNTIFS(구역6!G4:G43,"교회차5",구역6!E4:E43,"*"&amp;$B31&amp;"*")+COUNTIFS(구역6!I4:I43,"*교회차*",구역6!E4:E43,"*"&amp;$B31&amp;"*"))</f>
        <v/>
      </c>
      <c r="F9" s="6" t="str">
        <f>IF(COUNTIFS(구역6!F4:F43,"타교회",구역6!E4:E43,"*"&amp;$B31&amp;"*")+COUNTIFS(구역6!H4:H43,"*타교회*",구역6!E4:E43,"*"&amp;$B31&amp;"*")=0,"",COUNTIFS(구역6!F4:F43,"타교회",구역6!E4:E43,"*"&amp;$B31&amp;"*")+COUNTIFS(구역6!H4:H43,"*타교회*",구역6!E4:E43,"*"&amp;$B31&amp;"*"))</f>
        <v/>
      </c>
      <c r="G9" s="6" t="str">
        <f>IF(COUNTIFS(구역6!G4:G43,"타교회",구역6!E4:E43,"*"&amp;$B31&amp;"*")+COUNTIFS(구역6!I4:I43,"*타교회*",구역6!E4:E43,"*"&amp;$B31&amp;"*")=0,"",COUNTIFS(구역6!G4:G43,"타교회",구역6!E4:E43,"*"&amp;$B31&amp;"*")+COUNTIFS(구역6!I4:I43,"*타교회*",구역6!E4:E43,"*"&amp;$B31&amp;"*"))</f>
        <v/>
      </c>
      <c r="H9" s="6" t="str">
        <f>IF(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=0,"",COUNTIFS(구역6!F4:F43,"개인차",구역6!E4:E43,"*"&amp;$B31&amp;"*")+(COUNTIFS(구역6!H4:H43,"?*",구역6!E4:E43,"*"&amp;$B31&amp;"*")-COUNTIFS(구역6!H4:H43,"*교회차*",구역6!E4:E43,"*"&amp;$B31&amp;"*")-COUNTIFS(구역6!H4:H43,"*타교회*",구역6!E4:E43,"*"&amp;$B31&amp;"*")-COUNTIFS(구역6!H4:H43,"*대중교통*",구역6!E4:E43,"*"&amp;$B31&amp;"*")))</f>
        <v/>
      </c>
      <c r="I9" s="6" t="str">
        <f>IF(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=0,"",COUNTIFS(구역6!G4:G43,"개인차",구역6!E4:E43,"*"&amp;$B31&amp;"*")+(COUNTIFS(구역6!I4:I43,"?*",구역6!E4:E43,"*"&amp;$B31&amp;"*")-COUNTIFS(구역6!I4:I43,"*교회차*",구역6!E4:E43,"*"&amp;$B31&amp;"*")-COUNTIFS(구역6!I4:I43,"*타교회*",구역6!E4:E43,"*"&amp;$B31&amp;"*")-COUNTIFS(구역6!I4:I43,"*대중교통*",구역6!E4:E43,"*"&amp;$B31&amp;"*")))</f>
        <v/>
      </c>
      <c r="J9" s="6" t="str">
        <f>IF(COUNTIFS(구역6!F4:F43,"대중교통",구역6!E4:E43,"*"&amp;$B31&amp;"*")+COUNTIFS(구역6!H4:H43,"*대중교통*",구역6!E4:E43,"*"&amp;$B31&amp;"*")=0,"",COUNTIFS(구역6!F4:F43,"대중교통",구역6!E4:E43,"*"&amp;$B31&amp;"*")+COUNTIFS(구역6!H4:H43,"*대중교통*",구역6!E4:E43,"*"&amp;$B31&amp;"*"))</f>
        <v/>
      </c>
      <c r="K9" s="6" t="str">
        <f>IF(COUNTIFS(구역6!G4:G43,"대중교통",구역6!E4:E43,"*"&amp;$B31&amp;"*")+COUNTIFS(구역6!I4:I43,"*대중교통*",구역6!E4:E43,"*"&amp;$B31&amp;"*")=0,"",COUNTIFS(구역6!G4:G43,"대중교통",구역6!E4:E43,"*"&amp;$B31&amp;"*")+COUNTIFS(구역6!I4:I43,"*대중교통*",구역6!E4:E43,"*"&amp;$B31&amp;"*"))</f>
        <v/>
      </c>
      <c r="L9" s="6"/>
      <c r="M9" s="6"/>
    </row>
    <row r="10" spans="1:13" ht="21.75" customHeight="1">
      <c r="A10" s="4" t="s">
        <v>52</v>
      </c>
      <c r="B10" s="4" t="str">
        <f>IF(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=0,"",COUNTIFS(구역7!F4:F43,"1호차",구역7!E4:E43,"*"&amp;$B31&amp;"*")+COUNTIFS(구역7!F4:F43,"2호차",구역7!E4:E43,"*"&amp;$B31&amp;"*")+COUNTIFS(구역7!F4:F43,"3호차",구역7!E4:E43,"*"&amp;$B31&amp;"*")+COUNTIFS(구역7!F4:F43,"4호차",구역7!E4:E43,"*"&amp;$B31&amp;"*")+COUNTIFS(구역7!F4:F43,"5호차",구역7!E4:E43,"*"&amp;$B31&amp;"*")+COUNTIFS(구역7!F4:F43,"6호차",구역7!E4:E43,"*"&amp;$B31&amp;"*")+COUNTIFS(구역7!F4:F43,"7호차",구역7!E4:E43,"*"&amp;$B31&amp;"*")+COUNTIFS(구역7!F4:F43,"8호차",구역7!E4:E43,"*"&amp;$B31&amp;"*")+COUNTIFS(구역7!F4:F43,"9호차",구역7!E4:E43,"*"&amp;$B31&amp;"*")+COUNTIFS(구역7!F4:F43,"10호차",구역7!E4:E43,"*"&amp;$B31&amp;"*"))</f>
        <v/>
      </c>
      <c r="C10" s="4" t="str">
        <f>IF(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=0,"",COUNTIFS(구역7!G4:G43,"1호차",구역7!E4:E43,"*"&amp;$B31&amp;"*")+COUNTIFS(구역7!G4:G43,"2호차",구역7!E4:E43,"*"&amp;$B31&amp;"*")+COUNTIFS(구역7!G4:G43,"3호차",구역7!E4:E43,"*"&amp;$B31&amp;"*")+COUNTIFS(구역7!G4:G43,"4호차",구역7!E4:E43,"*"&amp;$B31&amp;"*")+COUNTIFS(구역7!G4:G43,"5호차",구역7!E4:E43,"*"&amp;$B31&amp;"*")+COUNTIFS(구역7!G4:G43,"6호차",구역7!E4:E43,"*"&amp;$B31&amp;"*")+COUNTIFS(구역7!G4:G43,"7호차",구역7!E4:E43,"*"&amp;$B31&amp;"*")+COUNTIFS(구역7!G4:G43,"8호차",구역7!E4:E43,"*"&amp;$B31&amp;"*")+COUNTIFS(구역7!G4:G43,"9호차",구역7!E4:E43,"*"&amp;$B31&amp;"*")+COUNTIFS(구역7!G4:G43,"10호차",구역7!E4:E43,"*"&amp;$B31&amp;"*"))</f>
        <v/>
      </c>
      <c r="D10" s="4" t="str">
        <f>IF(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=0,"",COUNTIFS(구역7!F4:F43,"교회차1",구역7!E4:E43,"*"&amp;$B31&amp;"*")+COUNTIFS(구역7!F4:F43,"교회차2",구역7!E4:E43,"*"&amp;$B31&amp;"*")+COUNTIFS(구역7!F4:F43,"교회차3",구역7!E4:E43,"*"&amp;$B31&amp;"*")+COUNTIFS(구역7!F4:F43,"교회차4",구역7!E4:E43,"*"&amp;$B31&amp;"*")+COUNTIFS(구역7!F4:F43,"교회차5",구역7!E4:E43,"*"&amp;$B31&amp;"*")+COUNTIFS(구역7!H4:H43,"*교회차*",구역7!E4:E43,"*"&amp;$B31&amp;"*"))</f>
        <v/>
      </c>
      <c r="E10" s="4" t="str">
        <f>IF(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=0,"",COUNTIFS(구역7!G4:G43,"교회차1",구역7!E4:E43,"*"&amp;$B31&amp;"*")+COUNTIFS(구역7!G4:G43,"교회차2",구역7!E4:E43,"*"&amp;$B31&amp;"*")+COUNTIFS(구역7!G4:G43,"교회차3",구역7!E4:E43,"*"&amp;$B31&amp;"*")+COUNTIFS(구역7!G4:G43,"교회차4",구역7!E4:E43,"*"&amp;$B31&amp;"*")+COUNTIFS(구역7!G4:G43,"교회차5",구역7!E4:E43,"*"&amp;$B31&amp;"*")+COUNTIFS(구역7!I4:I43,"*교회차*",구역7!E4:E43,"*"&amp;$B31&amp;"*"))</f>
        <v/>
      </c>
      <c r="F10" s="4" t="str">
        <f>IF(COUNTIFS(구역7!F4:F43,"타교회",구역7!E4:E43,"*"&amp;$B31&amp;"*")+COUNTIFS(구역7!H4:H43,"*타교회*",구역7!E4:E43,"*"&amp;$B31&amp;"*")=0,"",COUNTIFS(구역7!F4:F43,"타교회",구역7!E4:E43,"*"&amp;$B31&amp;"*")+COUNTIFS(구역7!H4:H43,"*타교회*",구역7!E4:E43,"*"&amp;$B31&amp;"*"))</f>
        <v/>
      </c>
      <c r="G10" s="4" t="str">
        <f>IF(COUNTIFS(구역7!G4:G43,"타교회",구역7!E4:E43,"*"&amp;$B31&amp;"*")+COUNTIFS(구역7!I4:I43,"*타교회*",구역7!E4:E43,"*"&amp;$B31&amp;"*")=0,"",COUNTIFS(구역7!G4:G43,"타교회",구역7!E4:E43,"*"&amp;$B31&amp;"*")+COUNTIFS(구역7!I4:I43,"*타교회*",구역7!E4:E43,"*"&amp;$B31&amp;"*"))</f>
        <v/>
      </c>
      <c r="H10" s="4" t="str">
        <f>IF(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=0,"",COUNTIFS(구역7!F4:F43,"개인차",구역7!E4:E43,"*"&amp;$B31&amp;"*")+(COUNTIFS(구역7!H4:H43,"?*",구역7!E4:E43,"*"&amp;$B31&amp;"*")-COUNTIFS(구역7!H4:H43,"*교회차*",구역7!E4:E43,"*"&amp;$B31&amp;"*")-COUNTIFS(구역7!H4:H43,"*타교회*",구역7!E4:E43,"*"&amp;$B31&amp;"*")-COUNTIFS(구역7!H4:H43,"*대중교통*",구역7!E4:E43,"*"&amp;$B31&amp;"*")))</f>
        <v/>
      </c>
      <c r="I10" s="4" t="str">
        <f>IF(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=0,"",COUNTIFS(구역7!G4:G43,"개인차",구역7!E4:E43,"*"&amp;$B31&amp;"*")+(COUNTIFS(구역7!I4:I43,"?*",구역7!E4:E43,"*"&amp;$B31&amp;"*")-COUNTIFS(구역7!I4:I43,"*교회차*",구역7!E4:E43,"*"&amp;$B31&amp;"*")-COUNTIFS(구역7!I4:I43,"*타교회*",구역7!E4:E43,"*"&amp;$B31&amp;"*")-COUNTIFS(구역7!I4:I43,"*대중교통*",구역7!E4:E43,"*"&amp;$B31&amp;"*")))</f>
        <v/>
      </c>
      <c r="J10" s="4" t="str">
        <f>IF(COUNTIFS(구역7!F4:F43,"대중교통",구역7!E4:E43,"*"&amp;$B31&amp;"*")+COUNTIFS(구역7!H4:H43,"*대중교통*",구역7!E4:E43,"*"&amp;$B31&amp;"*")=0,"",COUNTIFS(구역7!F4:F43,"대중교통",구역7!E4:E43,"*"&amp;$B31&amp;"*")+COUNTIFS(구역7!H4:H43,"*대중교통*",구역7!E4:E43,"*"&amp;$B31&amp;"*"))</f>
        <v/>
      </c>
      <c r="K10" s="4" t="str">
        <f>IF(COUNTIFS(구역7!G4:G43,"대중교통",구역7!E4:E43,"*"&amp;$B31&amp;"*")+COUNTIFS(구역7!I4:I43,"*대중교통*",구역7!E4:E43,"*"&amp;$B31&amp;"*")=0,"",COUNTIFS(구역7!G4:G43,"대중교통",구역7!E4:E43,"*"&amp;$B31&amp;"*")+COUNTIFS(구역7!I4:I43,"*대중교통*",구역7!E4:E43,"*"&amp;$B31&amp;"*"))</f>
        <v/>
      </c>
      <c r="L10" s="4"/>
      <c r="M10" s="4"/>
    </row>
    <row r="11" spans="1:13" ht="21.75" customHeight="1">
      <c r="A11" s="6" t="s">
        <v>53</v>
      </c>
      <c r="B11" s="6" t="str">
        <f>IF(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=0,"",COUNTIFS(구역8!F4:F43,"1호차",구역8!E4:E43,"*"&amp;$B31&amp;"*")+COUNTIFS(구역8!F4:F43,"2호차",구역8!E4:E43,"*"&amp;$B31&amp;"*")+COUNTIFS(구역8!F4:F43,"3호차",구역8!E4:E43,"*"&amp;$B31&amp;"*")+COUNTIFS(구역8!F4:F43,"4호차",구역8!E4:E43,"*"&amp;$B31&amp;"*")+COUNTIFS(구역8!F4:F43,"5호차",구역8!E4:E43,"*"&amp;$B31&amp;"*")+COUNTIFS(구역8!F4:F43,"6호차",구역8!E4:E43,"*"&amp;$B31&amp;"*")+COUNTIFS(구역8!F4:F43,"7호차",구역8!E4:E43,"*"&amp;$B31&amp;"*")+COUNTIFS(구역8!F4:F43,"8호차",구역8!E4:E43,"*"&amp;$B31&amp;"*")+COUNTIFS(구역8!F4:F43,"9호차",구역8!E4:E43,"*"&amp;$B31&amp;"*")+COUNTIFS(구역8!F4:F43,"10호차",구역8!E4:E43,"*"&amp;$B31&amp;"*"))</f>
        <v/>
      </c>
      <c r="C11" s="6" t="str">
        <f>IF(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=0,"",COUNTIFS(구역8!G4:G43,"1호차",구역8!E4:E43,"*"&amp;$B31&amp;"*")+COUNTIFS(구역8!G4:G43,"2호차",구역8!E4:E43,"*"&amp;$B31&amp;"*")+COUNTIFS(구역8!G4:G43,"3호차",구역8!E4:E43,"*"&amp;$B31&amp;"*")+COUNTIFS(구역8!G4:G43,"4호차",구역8!E4:E43,"*"&amp;$B31&amp;"*")+COUNTIFS(구역8!G4:G43,"5호차",구역8!E4:E43,"*"&amp;$B31&amp;"*")+COUNTIFS(구역8!G4:G43,"6호차",구역8!E4:E43,"*"&amp;$B31&amp;"*")+COUNTIFS(구역8!G4:G43,"7호차",구역8!E4:E43,"*"&amp;$B31&amp;"*")+COUNTIFS(구역8!G4:G43,"8호차",구역8!E4:E43,"*"&amp;$B31&amp;"*")+COUNTIFS(구역8!G4:G43,"9호차",구역8!E4:E43,"*"&amp;$B31&amp;"*")+COUNTIFS(구역8!G4:G43,"10호차",구역8!E4:E43,"*"&amp;$B31&amp;"*"))</f>
        <v/>
      </c>
      <c r="D11" s="6" t="str">
        <f>IF(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=0,"",COUNTIFS(구역8!F4:F43,"교회차1",구역8!E4:E43,"*"&amp;$B31&amp;"*")+COUNTIFS(구역8!F4:F43,"교회차2",구역8!E4:E43,"*"&amp;$B31&amp;"*")+COUNTIFS(구역8!F4:F43,"교회차3",구역8!E4:E43,"*"&amp;$B31&amp;"*")+COUNTIFS(구역8!F4:F43,"교회차4",구역8!E4:E43,"*"&amp;$B31&amp;"*")+COUNTIFS(구역8!F4:F43,"교회차5",구역8!E4:E43,"*"&amp;$B31&amp;"*")+COUNTIFS(구역8!H4:H43,"*교회차*",구역8!E4:E43,"*"&amp;$B31&amp;"*"))</f>
        <v/>
      </c>
      <c r="E11" s="6" t="str">
        <f>IF(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=0,"",COUNTIFS(구역8!G4:G43,"교회차1",구역8!E4:E43,"*"&amp;$B31&amp;"*")+COUNTIFS(구역8!G4:G43,"교회차2",구역8!E4:E43,"*"&amp;$B31&amp;"*")+COUNTIFS(구역8!G4:G43,"교회차3",구역8!E4:E43,"*"&amp;$B31&amp;"*")+COUNTIFS(구역8!G4:G43,"교회차4",구역8!E4:E43,"*"&amp;$B31&amp;"*")+COUNTIFS(구역8!G4:G43,"교회차5",구역8!E4:E43,"*"&amp;$B31&amp;"*")+COUNTIFS(구역8!I4:I43,"*교회차*",구역8!E4:E43,"*"&amp;$B31&amp;"*"))</f>
        <v/>
      </c>
      <c r="F11" s="6" t="str">
        <f>IF(COUNTIFS(구역8!F4:F43,"타교회",구역8!E4:E43,"*"&amp;$B31&amp;"*")+COUNTIFS(구역8!H4:H43,"*타교회*",구역8!E4:E43,"*"&amp;$B31&amp;"*")=0,"",COUNTIFS(구역8!F4:F43,"타교회",구역8!E4:E43,"*"&amp;$B31&amp;"*")+COUNTIFS(구역8!H4:H43,"*타교회*",구역8!E4:E43,"*"&amp;$B31&amp;"*"))</f>
        <v/>
      </c>
      <c r="G11" s="6" t="str">
        <f>IF(COUNTIFS(구역8!G4:G43,"타교회",구역8!E4:E43,"*"&amp;$B31&amp;"*")+COUNTIFS(구역8!I4:I43,"*타교회*",구역8!E4:E43,"*"&amp;$B31&amp;"*")=0,"",COUNTIFS(구역8!G4:G43,"타교회",구역8!E4:E43,"*"&amp;$B31&amp;"*")+COUNTIFS(구역8!I4:I43,"*타교회*",구역8!E4:E43,"*"&amp;$B31&amp;"*"))</f>
        <v/>
      </c>
      <c r="H11" s="6" t="str">
        <f>IF(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=0,"",COUNTIFS(구역8!F4:F43,"개인차",구역8!E4:E43,"*"&amp;$B31&amp;"*")+(COUNTIFS(구역8!H4:H43,"?*",구역8!E4:E43,"*"&amp;$B31&amp;"*")-COUNTIFS(구역8!H4:H43,"*교회차*",구역8!E4:E43,"*"&amp;$B31&amp;"*")-COUNTIFS(구역8!H4:H43,"*타교회*",구역8!E4:E43,"*"&amp;$B31&amp;"*")-COUNTIFS(구역8!H4:H43,"*대중교통*",구역8!E4:E43,"*"&amp;$B31&amp;"*")))</f>
        <v/>
      </c>
      <c r="I11" s="6" t="str">
        <f>IF(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=0,"",COUNTIFS(구역8!G4:G43,"개인차",구역8!E4:E43,"*"&amp;$B31&amp;"*")+(COUNTIFS(구역8!I4:I43,"?*",구역8!E4:E43,"*"&amp;$B31&amp;"*")-COUNTIFS(구역8!I4:I43,"*교회차*",구역8!E4:E43,"*"&amp;$B31&amp;"*")-COUNTIFS(구역8!I4:I43,"*타교회*",구역8!E4:E43,"*"&amp;$B31&amp;"*")-COUNTIFS(구역8!I4:I43,"*대중교통*",구역8!E4:E43,"*"&amp;$B31&amp;"*")))</f>
        <v/>
      </c>
      <c r="J11" s="6" t="str">
        <f>IF(COUNTIFS(구역8!F4:F43,"대중교통",구역8!E4:E43,"*"&amp;$B31&amp;"*")+COUNTIFS(구역8!H4:H43,"*대중교통*",구역8!E4:E43,"*"&amp;$B31&amp;"*")=0,"",COUNTIFS(구역8!F4:F43,"대중교통",구역8!E4:E43,"*"&amp;$B31&amp;"*")+COUNTIFS(구역8!H4:H43,"*대중교통*",구역8!E4:E43,"*"&amp;$B31&amp;"*"))</f>
        <v/>
      </c>
      <c r="K11" s="6" t="str">
        <f>IF(COUNTIFS(구역8!G4:G43,"대중교통",구역8!E4:E43,"*"&amp;$B31&amp;"*")+COUNTIFS(구역8!I4:I43,"*대중교통*",구역8!E4:E43,"*"&amp;$B31&amp;"*")=0,"",COUNTIFS(구역8!G4:G43,"대중교통",구역8!E4:E43,"*"&amp;$B31&amp;"*")+COUNTIFS(구역8!I4:I43,"*대중교통*",구역8!E4:E43,"*"&amp;$B31&amp;"*"))</f>
        <v/>
      </c>
      <c r="L11" s="6"/>
      <c r="M11" s="6"/>
    </row>
    <row r="12" spans="1:13" ht="21.75" customHeight="1">
      <c r="A12" s="4" t="s">
        <v>54</v>
      </c>
      <c r="B12" s="4" t="str">
        <f>IF(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=0,"",COUNTIFS(구역9!F4:F43,"1호차",구역9!E4:E43,"*"&amp;$B31&amp;"*")+COUNTIFS(구역9!F4:F43,"2호차",구역9!E4:E43,"*"&amp;$B31&amp;"*")+COUNTIFS(구역9!F4:F43,"3호차",구역9!E4:E43,"*"&amp;$B31&amp;"*")+COUNTIFS(구역9!F4:F43,"4호차",구역9!E4:E43,"*"&amp;$B31&amp;"*")+COUNTIFS(구역9!F4:F43,"5호차",구역9!E4:E43,"*"&amp;$B31&amp;"*")+COUNTIFS(구역9!F4:F43,"6호차",구역9!E4:E43,"*"&amp;$B31&amp;"*")+COUNTIFS(구역9!F4:F43,"7호차",구역9!E4:E43,"*"&amp;$B31&amp;"*")+COUNTIFS(구역9!F4:F43,"8호차",구역9!E4:E43,"*"&amp;$B31&amp;"*")+COUNTIFS(구역9!F4:F43,"9호차",구역9!E4:E43,"*"&amp;$B31&amp;"*")+COUNTIFS(구역9!F4:F43,"10호차",구역9!E4:E43,"*"&amp;$B31&amp;"*"))</f>
        <v/>
      </c>
      <c r="C12" s="4" t="str">
        <f>IF(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=0,"",COUNTIFS(구역9!G4:G43,"1호차",구역9!E4:E43,"*"&amp;$B31&amp;"*")+COUNTIFS(구역9!G4:G43,"2호차",구역9!E4:E43,"*"&amp;$B31&amp;"*")+COUNTIFS(구역9!G4:G43,"3호차",구역9!E4:E43,"*"&amp;$B31&amp;"*")+COUNTIFS(구역9!G4:G43,"4호차",구역9!E4:E43,"*"&amp;$B31&amp;"*")+COUNTIFS(구역9!G4:G43,"5호차",구역9!E4:E43,"*"&amp;$B31&amp;"*")+COUNTIFS(구역9!G4:G43,"6호차",구역9!E4:E43,"*"&amp;$B31&amp;"*")+COUNTIFS(구역9!G4:G43,"7호차",구역9!E4:E43,"*"&amp;$B31&amp;"*")+COUNTIFS(구역9!G4:G43,"8호차",구역9!E4:E43,"*"&amp;$B31&amp;"*")+COUNTIFS(구역9!G4:G43,"9호차",구역9!E4:E43,"*"&amp;$B31&amp;"*")+COUNTIFS(구역9!G4:G43,"10호차",구역9!E4:E43,"*"&amp;$B31&amp;"*"))</f>
        <v/>
      </c>
      <c r="D12" s="4" t="str">
        <f>IF(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=0,"",COUNTIFS(구역9!F4:F43,"교회차1",구역9!E4:E43,"*"&amp;$B31&amp;"*")+COUNTIFS(구역9!F4:F43,"교회차2",구역9!E4:E43,"*"&amp;$B31&amp;"*")+COUNTIFS(구역9!F4:F43,"교회차3",구역9!E4:E43,"*"&amp;$B31&amp;"*")+COUNTIFS(구역9!F4:F43,"교회차4",구역9!E4:E43,"*"&amp;$B31&amp;"*")+COUNTIFS(구역9!F4:F43,"교회차5",구역9!E4:E43,"*"&amp;$B31&amp;"*")+COUNTIFS(구역9!H4:H43,"*교회차*",구역9!E4:E43,"*"&amp;$B31&amp;"*"))</f>
        <v/>
      </c>
      <c r="E12" s="4" t="str">
        <f>IF(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=0,"",COUNTIFS(구역9!G4:G43,"교회차1",구역9!E4:E43,"*"&amp;$B31&amp;"*")+COUNTIFS(구역9!G4:G43,"교회차2",구역9!E4:E43,"*"&amp;$B31&amp;"*")+COUNTIFS(구역9!G4:G43,"교회차3",구역9!E4:E43,"*"&amp;$B31&amp;"*")+COUNTIFS(구역9!G4:G43,"교회차4",구역9!E4:E43,"*"&amp;$B31&amp;"*")+COUNTIFS(구역9!G4:G43,"교회차5",구역9!E4:E43,"*"&amp;$B31&amp;"*")+COUNTIFS(구역9!I4:I43,"*교회차*",구역9!E4:E43,"*"&amp;$B31&amp;"*"))</f>
        <v/>
      </c>
      <c r="F12" s="4" t="str">
        <f>IF(COUNTIFS(구역9!F4:F43,"타교회",구역9!E4:E43,"*"&amp;$B31&amp;"*")+COUNTIFS(구역9!H4:H43,"*타교회*",구역9!E4:E43,"*"&amp;$B31&amp;"*")=0,"",COUNTIFS(구역9!F4:F43,"타교회",구역9!E4:E43,"*"&amp;$B31&amp;"*")+COUNTIFS(구역9!H4:H43,"*타교회*",구역9!E4:E43,"*"&amp;$B31&amp;"*"))</f>
        <v/>
      </c>
      <c r="G12" s="4" t="str">
        <f>IF(COUNTIFS(구역9!G4:G43,"타교회",구역9!E4:E43,"*"&amp;$B31&amp;"*")+COUNTIFS(구역9!I4:I43,"*타교회*",구역9!E4:E43,"*"&amp;$B31&amp;"*")=0,"",COUNTIFS(구역9!G4:G43,"타교회",구역9!E4:E43,"*"&amp;$B31&amp;"*")+COUNTIFS(구역9!I4:I43,"*타교회*",구역9!E4:E43,"*"&amp;$B31&amp;"*"))</f>
        <v/>
      </c>
      <c r="H12" s="4" t="str">
        <f>IF(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=0,"",COUNTIFS(구역9!F4:F43,"개인차",구역9!E4:E43,"*"&amp;$B31&amp;"*")+(COUNTIFS(구역9!H4:H43,"?*",구역9!E4:E43,"*"&amp;$B31&amp;"*")-COUNTIFS(구역9!H4:H43,"*교회차*",구역9!E4:E43,"*"&amp;$B31&amp;"*")-COUNTIFS(구역9!H4:H43,"*타교회*",구역9!E4:E43,"*"&amp;$B31&amp;"*")-COUNTIFS(구역9!H4:H43,"*대중교통*",구역9!E4:E43,"*"&amp;$B31&amp;"*")))</f>
        <v/>
      </c>
      <c r="I12" s="4" t="str">
        <f>IF(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=0,"",COUNTIFS(구역9!G4:G43,"개인차",구역9!E4:E43,"*"&amp;$B31&amp;"*")+(COUNTIFS(구역9!I4:I43,"?*",구역9!E4:E43,"*"&amp;$B31&amp;"*")-COUNTIFS(구역9!I4:I43,"*교회차*",구역9!E4:E43,"*"&amp;$B31&amp;"*")-COUNTIFS(구역9!I4:I43,"*타교회*",구역9!E4:E43,"*"&amp;$B31&amp;"*")-COUNTIFS(구역9!I4:I43,"*대중교통*",구역9!E4:E43,"*"&amp;$B31&amp;"*")))</f>
        <v/>
      </c>
      <c r="J12" s="4" t="str">
        <f>IF(COUNTIFS(구역9!F4:F43,"대중교통",구역9!E4:E43,"*"&amp;$B31&amp;"*")+COUNTIFS(구역9!H4:H43,"*대중교통*",구역9!E4:E43,"*"&amp;$B31&amp;"*")=0,"",COUNTIFS(구역9!F4:F43,"대중교통",구역9!E4:E43,"*"&amp;$B31&amp;"*")+COUNTIFS(구역9!H4:H43,"*대중교통*",구역9!E4:E43,"*"&amp;$B31&amp;"*"))</f>
        <v/>
      </c>
      <c r="K12" s="4" t="str">
        <f>IF(COUNTIFS(구역9!G4:G43,"대중교통",구역9!E4:E43,"*"&amp;$B31&amp;"*")+COUNTIFS(구역9!I4:I43,"*대중교통*",구역9!E4:E43,"*"&amp;$B31&amp;"*")=0,"",COUNTIFS(구역9!G4:G43,"대중교통",구역9!E4:E43,"*"&amp;$B31&amp;"*")+COUNTIFS(구역9!I4:I43,"*대중교통*",구역9!E4:E43,"*"&amp;$B31&amp;"*"))</f>
        <v/>
      </c>
      <c r="L12" s="4"/>
      <c r="M12" s="4"/>
    </row>
    <row r="13" spans="1:13" ht="21.75" customHeight="1">
      <c r="A13" s="6" t="s">
        <v>55</v>
      </c>
      <c r="B13" s="6" t="str">
        <f>IF(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=0,"",COUNTIFS(구역10!F4:F43,"1호차",구역10!E4:E43,"*"&amp;$B31&amp;"*")+COUNTIFS(구역10!F4:F43,"2호차",구역10!E4:E43,"*"&amp;$B31&amp;"*")+COUNTIFS(구역10!F4:F43,"3호차",구역10!E4:E43,"*"&amp;$B31&amp;"*")+COUNTIFS(구역10!F4:F43,"4호차",구역10!E4:E43,"*"&amp;$B31&amp;"*")+COUNTIFS(구역10!F4:F43,"5호차",구역10!E4:E43,"*"&amp;$B31&amp;"*")+COUNTIFS(구역10!F4:F43,"6호차",구역10!E4:E43,"*"&amp;$B31&amp;"*")+COUNTIFS(구역10!F4:F43,"7호차",구역10!E4:E43,"*"&amp;$B31&amp;"*")+COUNTIFS(구역10!F4:F43,"8호차",구역10!E4:E43,"*"&amp;$B31&amp;"*")+COUNTIFS(구역10!F4:F43,"9호차",구역10!E4:E43,"*"&amp;$B31&amp;"*")+COUNTIFS(구역10!F4:F43,"10호차",구역10!E4:E43,"*"&amp;$B31&amp;"*"))</f>
        <v/>
      </c>
      <c r="C13" s="6" t="str">
        <f>IF(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=0,"",COUNTIFS(구역10!G4:G43,"1호차",구역10!E4:E43,"*"&amp;$B31&amp;"*")+COUNTIFS(구역10!G4:G43,"2호차",구역10!E4:E43,"*"&amp;$B31&amp;"*")+COUNTIFS(구역10!G4:G43,"3호차",구역10!E4:E43,"*"&amp;$B31&amp;"*")+COUNTIFS(구역10!G4:G43,"4호차",구역10!E4:E43,"*"&amp;$B31&amp;"*")+COUNTIFS(구역10!G4:G43,"5호차",구역10!E4:E43,"*"&amp;$B31&amp;"*")+COUNTIFS(구역10!G4:G43,"6호차",구역10!E4:E43,"*"&amp;$B31&amp;"*")+COUNTIFS(구역10!G4:G43,"7호차",구역10!E4:E43,"*"&amp;$B31&amp;"*")+COUNTIFS(구역10!G4:G43,"8호차",구역10!E4:E43,"*"&amp;$B31&amp;"*")+COUNTIFS(구역10!G4:G43,"9호차",구역10!E4:E43,"*"&amp;$B31&amp;"*")+COUNTIFS(구역10!G4:G43,"10호차",구역10!E4:E43,"*"&amp;$B31&amp;"*"))</f>
        <v/>
      </c>
      <c r="D13" s="6" t="str">
        <f>IF(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=0,"",COUNTIFS(구역10!F4:F43,"교회차1",구역10!E4:E43,"*"&amp;$B31&amp;"*")+COUNTIFS(구역10!F4:F43,"교회차2",구역10!E4:E43,"*"&amp;$B31&amp;"*")+COUNTIFS(구역10!F4:F43,"교회차3",구역10!E4:E43,"*"&amp;$B31&amp;"*")+COUNTIFS(구역10!F4:F43,"교회차4",구역10!E4:E43,"*"&amp;$B31&amp;"*")+COUNTIFS(구역10!F4:F43,"교회차5",구역10!E4:E43,"*"&amp;$B31&amp;"*")+COUNTIFS(구역10!H4:H43,"*교회차*",구역10!E4:E43,"*"&amp;$B31&amp;"*"))</f>
        <v/>
      </c>
      <c r="E13" s="6" t="str">
        <f>IF(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=0,"",COUNTIFS(구역10!G4:G43,"교회차1",구역10!E4:E43,"*"&amp;$B31&amp;"*")+COUNTIFS(구역10!G4:G43,"교회차2",구역10!E4:E43,"*"&amp;$B31&amp;"*")+COUNTIFS(구역10!G4:G43,"교회차3",구역10!E4:E43,"*"&amp;$B31&amp;"*")+COUNTIFS(구역10!G4:G43,"교회차4",구역10!E4:E43,"*"&amp;$B31&amp;"*")+COUNTIFS(구역10!G4:G43,"교회차5",구역10!E4:E43,"*"&amp;$B31&amp;"*")+COUNTIFS(구역10!I4:I43,"*교회차*",구역10!E4:E43,"*"&amp;$B31&amp;"*"))</f>
        <v/>
      </c>
      <c r="F13" s="6" t="str">
        <f>IF(COUNTIFS(구역10!F4:F43,"타교회",구역10!E4:E43,"*"&amp;$B31&amp;"*")+COUNTIFS(구역10!H4:H43,"*타교회*",구역10!E4:E43,"*"&amp;$B31&amp;"*")=0,"",COUNTIFS(구역10!F4:F43,"타교회",구역10!E4:E43,"*"&amp;$B31&amp;"*")+COUNTIFS(구역10!H4:H43,"*타교회*",구역10!E4:E43,"*"&amp;$B31&amp;"*"))</f>
        <v/>
      </c>
      <c r="G13" s="6" t="str">
        <f>IF(COUNTIFS(구역10!G4:G43,"타교회",구역10!E4:E43,"*"&amp;$B31&amp;"*")+COUNTIFS(구역10!I4:I43,"*타교회*",구역10!E4:E43,"*"&amp;$B31&amp;"*")=0,"",COUNTIFS(구역10!G4:G43,"타교회",구역10!E4:E43,"*"&amp;$B31&amp;"*")+COUNTIFS(구역10!I4:I43,"*타교회*",구역10!E4:E43,"*"&amp;$B31&amp;"*"))</f>
        <v/>
      </c>
      <c r="H13" s="6" t="str">
        <f>IF(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=0,"",COUNTIFS(구역10!F4:F43,"개인차",구역10!E4:E43,"*"&amp;$B31&amp;"*")+(COUNTIFS(구역10!H4:H43,"?*",구역10!E4:E43,"*"&amp;$B31&amp;"*")-COUNTIFS(구역10!H4:H43,"*교회차*",구역10!E4:E43,"*"&amp;$B31&amp;"*")-COUNTIFS(구역10!H4:H43,"*타교회*",구역10!E4:E43,"*"&amp;$B31&amp;"*")-COUNTIFS(구역10!H4:H43,"*대중교통*",구역10!E4:E43,"*"&amp;$B31&amp;"*")))</f>
        <v/>
      </c>
      <c r="I13" s="6" t="str">
        <f>IF(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=0,"",COUNTIFS(구역10!G4:G43,"개인차",구역10!E4:E43,"*"&amp;$B31&amp;"*")+(COUNTIFS(구역10!I4:I43,"?*",구역10!E4:E43,"*"&amp;$B31&amp;"*")-COUNTIFS(구역10!I4:I43,"*교회차*",구역10!E4:E43,"*"&amp;$B31&amp;"*")-COUNTIFS(구역10!I4:I43,"*타교회*",구역10!E4:E43,"*"&amp;$B31&amp;"*")-COUNTIFS(구역10!I4:I43,"*대중교통*",구역10!E4:E43,"*"&amp;$B31&amp;"*")))</f>
        <v/>
      </c>
      <c r="J13" s="6" t="str">
        <f>IF(COUNTIFS(구역10!F4:F43,"대중교통",구역10!E4:E43,"*"&amp;$B31&amp;"*")+COUNTIFS(구역10!H4:H43,"*대중교통*",구역10!E4:E43,"*"&amp;$B31&amp;"*")=0,"",COUNTIFS(구역10!F4:F43,"대중교통",구역10!E4:E43,"*"&amp;$B31&amp;"*")+COUNTIFS(구역10!H4:H43,"*대중교통*",구역10!E4:E43,"*"&amp;$B31&amp;"*"))</f>
        <v/>
      </c>
      <c r="K13" s="6" t="str">
        <f>IF(COUNTIFS(구역10!G4:G43,"대중교통",구역10!E4:E43,"*"&amp;$B31&amp;"*")+COUNTIFS(구역10!I4:I43,"*대중교통*",구역10!E4:E43,"*"&amp;$B31&amp;"*")=0,"",COUNTIFS(구역10!G4:G43,"대중교통",구역10!E4:E43,"*"&amp;$B31&amp;"*")+COUNTIFS(구역10!I4:I43,"*대중교통*",구역10!E4:E43,"*"&amp;$B31&amp;"*"))</f>
        <v/>
      </c>
      <c r="L13" s="6"/>
      <c r="M13" s="6"/>
    </row>
    <row r="14" spans="1:13" ht="15" customHeight="1">
      <c r="A14" s="19" t="s">
        <v>56</v>
      </c>
      <c r="B14" s="19" t="str">
        <f>IF(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=0,"",COUNTIFS(구역11!F4:F43,"1호차",구역11!E4:E43,"*"&amp;$B31&amp;"*")+COUNTIFS(구역11!F4:F43,"2호차",구역11!E4:E43,"*"&amp;$B31&amp;"*")+COUNTIFS(구역11!F4:F43,"3호차",구역11!E4:E43,"*"&amp;$B31&amp;"*")+COUNTIFS(구역11!F4:F43,"4호차",구역11!E4:E43,"*"&amp;$B31&amp;"*")+COUNTIFS(구역11!F4:F43,"5호차",구역11!E4:E43,"*"&amp;$B31&amp;"*")+COUNTIFS(구역11!F4:F43,"6호차",구역11!E4:E43,"*"&amp;$B31&amp;"*")+COUNTIFS(구역11!F4:F43,"7호차",구역11!E4:E43,"*"&amp;$B31&amp;"*")+COUNTIFS(구역11!F4:F43,"8호차",구역11!E4:E43,"*"&amp;$B31&amp;"*")+COUNTIFS(구역11!F4:F43,"9호차",구역11!E4:E43,"*"&amp;$B31&amp;"*")+COUNTIFS(구역11!F4:F43,"10호차",구역11!E4:E43,"*"&amp;$B31&amp;"*"))</f>
        <v/>
      </c>
      <c r="C14" s="19" t="str">
        <f>IF(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=0,"",COUNTIFS(구역11!G4:G43,"1호차",구역11!E4:E43,"*"&amp;$B31&amp;"*")+COUNTIFS(구역11!G4:G43,"2호차",구역11!E4:E43,"*"&amp;$B31&amp;"*")+COUNTIFS(구역11!G4:G43,"3호차",구역11!E4:E43,"*"&amp;$B31&amp;"*")+COUNTIFS(구역11!G4:G43,"4호차",구역11!E4:E43,"*"&amp;$B31&amp;"*")+COUNTIFS(구역11!G4:G43,"5호차",구역11!E4:E43,"*"&amp;$B31&amp;"*")+COUNTIFS(구역11!G4:G43,"6호차",구역11!E4:E43,"*"&amp;$B31&amp;"*")+COUNTIFS(구역11!G4:G43,"7호차",구역11!E4:E43,"*"&amp;$B31&amp;"*")+COUNTIFS(구역11!G4:G43,"8호차",구역11!E4:E43,"*"&amp;$B31&amp;"*")+COUNTIFS(구역11!G4:G43,"9호차",구역11!E4:E43,"*"&amp;$B31&amp;"*")+COUNTIFS(구역11!G4:G43,"10호차",구역11!E4:E43,"*"&amp;$B31&amp;"*"))</f>
        <v/>
      </c>
      <c r="D14" s="19" t="str">
        <f>IF(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=0,"",COUNTIFS(구역11!F4:F43,"교회차1",구역11!E4:E43,"*"&amp;$B31&amp;"*")+COUNTIFS(구역11!F4:F43,"교회차2",구역11!E4:E43,"*"&amp;$B31&amp;"*")+COUNTIFS(구역11!F4:F43,"교회차3",구역11!E4:E43,"*"&amp;$B31&amp;"*")+COUNTIFS(구역11!F4:F43,"교회차4",구역11!E4:E43,"*"&amp;$B31&amp;"*")+COUNTIFS(구역11!F4:F43,"교회차5",구역11!E4:E43,"*"&amp;$B31&amp;"*")+COUNTIFS(구역11!H4:H43,"*교회차*",구역11!E4:E43,"*"&amp;$B31&amp;"*"))</f>
        <v/>
      </c>
      <c r="E14" s="19" t="str">
        <f>IF(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=0,"",COUNTIFS(구역11!G4:G43,"교회차1",구역11!E4:E43,"*"&amp;$B31&amp;"*")+COUNTIFS(구역11!G4:G43,"교회차2",구역11!E4:E43,"*"&amp;$B31&amp;"*")+COUNTIFS(구역11!G4:G43,"교회차3",구역11!E4:E43,"*"&amp;$B31&amp;"*")+COUNTIFS(구역11!G4:G43,"교회차4",구역11!E4:E43,"*"&amp;$B31&amp;"*")+COUNTIFS(구역11!G4:G43,"교회차5",구역11!E4:E43,"*"&amp;$B31&amp;"*")+COUNTIFS(구역11!I4:I43,"*교회차*",구역11!E4:E43,"*"&amp;$B31&amp;"*"))</f>
        <v/>
      </c>
      <c r="F14" s="19" t="str">
        <f>IF(COUNTIFS(구역11!F4:F43,"타교회",구역11!E4:E43,"*"&amp;$B31&amp;"*")+COUNTIFS(구역11!H4:H43,"*타교회*",구역11!E4:E43,"*"&amp;$B31&amp;"*")=0,"",COUNTIFS(구역11!F4:F43,"타교회",구역11!E4:E43,"*"&amp;$B31&amp;"*")+COUNTIFS(구역11!H4:H43,"*타교회*",구역11!E4:E43,"*"&amp;$B31&amp;"*"))</f>
        <v/>
      </c>
      <c r="G14" s="19" t="str">
        <f>IF(COUNTIFS(구역11!G4:G43,"타교회",구역11!E4:E43,"*"&amp;$B31&amp;"*")+COUNTIFS(구역11!I4:I43,"*타교회*",구역11!E4:E43,"*"&amp;$B31&amp;"*")=0,"",COUNTIFS(구역11!G4:G43,"타교회",구역11!E4:E43,"*"&amp;$B31&amp;"*")+COUNTIFS(구역11!I4:I43,"*타교회*",구역11!E4:E43,"*"&amp;$B31&amp;"*"))</f>
        <v/>
      </c>
      <c r="H14" s="19" t="str">
        <f>IF(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=0,"",COUNTIFS(구역11!F4:F43,"개인차",구역11!E4:E43,"*"&amp;$B31&amp;"*")+(COUNTIFS(구역11!H4:H43,"?*",구역11!E4:E43,"*"&amp;$B31&amp;"*")-COUNTIFS(구역11!H4:H43,"*교회차*",구역11!E4:E43,"*"&amp;$B31&amp;"*")-COUNTIFS(구역11!H4:H43,"*타교회*",구역11!E4:E43,"*"&amp;$B31&amp;"*")-COUNTIFS(구역11!H4:H43,"*대중교통*",구역11!E4:E43,"*"&amp;$B31&amp;"*")))</f>
        <v/>
      </c>
      <c r="I14" s="19" t="str">
        <f>IF(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=0,"",COUNTIFS(구역11!G4:G43,"개인차",구역11!E4:E43,"*"&amp;$B31&amp;"*")+(COUNTIFS(구역11!I4:I43,"?*",구역11!E4:E43,"*"&amp;$B31&amp;"*")-COUNTIFS(구역11!I4:I43,"*교회차*",구역11!E4:E43,"*"&amp;$B31&amp;"*")-COUNTIFS(구역11!I4:I43,"*타교회*",구역11!E4:E43,"*"&amp;$B31&amp;"*")-COUNTIFS(구역11!I4:I43,"*대중교통*",구역11!E4:E43,"*"&amp;$B31&amp;"*")))</f>
        <v/>
      </c>
      <c r="J14" s="19" t="str">
        <f>IF(COUNTIFS(구역11!F4:F43,"대중교통",구역11!E4:E43,"*"&amp;$B31&amp;"*")+COUNTIFS(구역11!H4:H43,"*대중교통*",구역11!E4:E43,"*"&amp;$B31&amp;"*")=0,"",COUNTIFS(구역11!F4:F43,"대중교통",구역11!E4:E43,"*"&amp;$B31&amp;"*")+COUNTIFS(구역11!H4:H43,"*대중교통*",구역11!E4:E43,"*"&amp;$B31&amp;"*"))</f>
        <v/>
      </c>
      <c r="K14" s="19" t="str">
        <f>IF(COUNTIFS(구역11!G4:G43,"대중교통",구역11!E4:E43,"*"&amp;$B31&amp;"*")+COUNTIFS(구역11!I4:I43,"*대중교통*",구역11!E4:E43,"*"&amp;$B31&amp;"*")=0,"",COUNTIFS(구역11!G4:G43,"대중교통",구역11!E4:E43,"*"&amp;$B31&amp;"*")+COUNTIFS(구역11!I4:I43,"*대중교통*",구역11!E4:E43,"*"&amp;$B31&amp;"*"))</f>
        <v/>
      </c>
      <c r="L14" s="19"/>
      <c r="M14" s="19"/>
    </row>
    <row r="15" spans="1:13">
      <c r="A15" t="s">
        <v>57</v>
      </c>
      <c r="B15" t="str">
        <f>IF(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=0,"",COUNTIFS(구역12!F4:F43,"1호차",구역12!E4:E43,"*"&amp;$B31&amp;"*")+COUNTIFS(구역12!F4:F43,"2호차",구역12!E4:E43,"*"&amp;$B31&amp;"*")+COUNTIFS(구역12!F4:F43,"3호차",구역12!E4:E43,"*"&amp;$B31&amp;"*")+COUNTIFS(구역12!F4:F43,"4호차",구역12!E4:E43,"*"&amp;$B31&amp;"*")+COUNTIFS(구역12!F4:F43,"5호차",구역12!E4:E43,"*"&amp;$B31&amp;"*")+COUNTIFS(구역12!F4:F43,"6호차",구역12!E4:E43,"*"&amp;$B31&amp;"*")+COUNTIFS(구역12!F4:F43,"7호차",구역12!E4:E43,"*"&amp;$B31&amp;"*")+COUNTIFS(구역12!F4:F43,"8호차",구역12!E4:E43,"*"&amp;$B31&amp;"*")+COUNTIFS(구역12!F4:F43,"9호차",구역12!E4:E43,"*"&amp;$B31&amp;"*")+COUNTIFS(구역12!F4:F43,"10호차",구역12!E4:E43,"*"&amp;$B31&amp;"*"))</f>
        <v/>
      </c>
      <c r="C15" t="str">
        <f>IF(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=0,"",COUNTIFS(구역12!G4:G43,"1호차",구역12!E4:E43,"*"&amp;$B31&amp;"*")+COUNTIFS(구역12!G4:G43,"2호차",구역12!E4:E43,"*"&amp;$B31&amp;"*")+COUNTIFS(구역12!G4:G43,"3호차",구역12!E4:E43,"*"&amp;$B31&amp;"*")+COUNTIFS(구역12!G4:G43,"4호차",구역12!E4:E43,"*"&amp;$B31&amp;"*")+COUNTIFS(구역12!G4:G43,"5호차",구역12!E4:E43,"*"&amp;$B31&amp;"*")+COUNTIFS(구역12!G4:G43,"6호차",구역12!E4:E43,"*"&amp;$B31&amp;"*")+COUNTIFS(구역12!G4:G43,"7호차",구역12!E4:E43,"*"&amp;$B31&amp;"*")+COUNTIFS(구역12!G4:G43,"8호차",구역12!E4:E43,"*"&amp;$B31&amp;"*")+COUNTIFS(구역12!G4:G43,"9호차",구역12!E4:E43,"*"&amp;$B31&amp;"*")+COUNTIFS(구역12!G4:G43,"10호차",구역12!E4:E43,"*"&amp;$B31&amp;"*"))</f>
        <v/>
      </c>
      <c r="D15" t="str">
        <f>IF(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=0,"",COUNTIFS(구역12!F4:F43,"교회차1",구역12!E4:E43,"*"&amp;$B31&amp;"*")+COUNTIFS(구역12!F4:F43,"교회차2",구역12!E4:E43,"*"&amp;$B31&amp;"*")+COUNTIFS(구역12!F4:F43,"교회차3",구역12!E4:E43,"*"&amp;$B31&amp;"*")+COUNTIFS(구역12!F4:F43,"교회차4",구역12!E4:E43,"*"&amp;$B31&amp;"*")+COUNTIFS(구역12!F4:F43,"교회차5",구역12!E4:E43,"*"&amp;$B31&amp;"*")+COUNTIFS(구역12!H4:H43,"*교회차*",구역12!E4:E43,"*"&amp;$B31&amp;"*"))</f>
        <v/>
      </c>
      <c r="E15" t="str">
        <f>IF(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=0,"",COUNTIFS(구역12!G4:G43,"교회차1",구역12!E4:E43,"*"&amp;$B31&amp;"*")+COUNTIFS(구역12!G4:G43,"교회차2",구역12!E4:E43,"*"&amp;$B31&amp;"*")+COUNTIFS(구역12!G4:G43,"교회차3",구역12!E4:E43,"*"&amp;$B31&amp;"*")+COUNTIFS(구역12!G4:G43,"교회차4",구역12!E4:E43,"*"&amp;$B31&amp;"*")+COUNTIFS(구역12!G4:G43,"교회차5",구역12!E4:E43,"*"&amp;$B31&amp;"*")+COUNTIFS(구역12!I4:I43,"*교회차*",구역12!E4:E43,"*"&amp;$B31&amp;"*"))</f>
        <v/>
      </c>
      <c r="F15" t="str">
        <f>IF(COUNTIFS(구역12!F4:F43,"타교회",구역12!E4:E43,"*"&amp;$B31&amp;"*")+COUNTIFS(구역12!H4:H43,"*타교회*",구역12!E4:E43,"*"&amp;$B31&amp;"*")=0,"",COUNTIFS(구역12!F4:F43,"타교회",구역12!E4:E43,"*"&amp;$B31&amp;"*")+COUNTIFS(구역12!H4:H43,"*타교회*",구역12!E4:E43,"*"&amp;$B31&amp;"*"))</f>
        <v/>
      </c>
      <c r="G15" t="str">
        <f>IF(COUNTIFS(구역12!G4:G43,"타교회",구역12!E4:E43,"*"&amp;$B31&amp;"*")+COUNTIFS(구역12!I4:I43,"*타교회*",구역12!E4:E43,"*"&amp;$B31&amp;"*")=0,"",COUNTIFS(구역12!G4:G43,"타교회",구역12!E4:E43,"*"&amp;$B31&amp;"*")+COUNTIFS(구역12!I4:I43,"*타교회*",구역12!E4:E43,"*"&amp;$B31&amp;"*"))</f>
        <v/>
      </c>
      <c r="H15" t="str">
        <f>IF(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=0,"",COUNTIFS(구역12!F4:F43,"개인차",구역12!E4:E43,"*"&amp;$B31&amp;"*")+(COUNTIFS(구역12!H4:H43,"?*",구역12!E4:E43,"*"&amp;$B31&amp;"*")-COUNTIFS(구역12!H4:H43,"*교회차*",구역12!E4:E43,"*"&amp;$B31&amp;"*")-COUNTIFS(구역12!H4:H43,"*타교회*",구역12!E4:E43,"*"&amp;$B31&amp;"*")-COUNTIFS(구역12!H4:H43,"*대중교통*",구역12!E4:E43,"*"&amp;$B31&amp;"*")))</f>
        <v/>
      </c>
      <c r="I15" t="str">
        <f>IF(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=0,"",COUNTIFS(구역12!G4:G43,"개인차",구역12!E4:E43,"*"&amp;$B31&amp;"*")+(COUNTIFS(구역12!I4:I43,"?*",구역12!E4:E43,"*"&amp;$B31&amp;"*")-COUNTIFS(구역12!I4:I43,"*교회차*",구역12!E4:E43,"*"&amp;$B31&amp;"*")-COUNTIFS(구역12!I4:I43,"*타교회*",구역12!E4:E43,"*"&amp;$B31&amp;"*")-COUNTIFS(구역12!I4:I43,"*대중교통*",구역12!E4:E43,"*"&amp;$B31&amp;"*")))</f>
        <v/>
      </c>
      <c r="J15" t="str">
        <f>IF(COUNTIFS(구역12!F4:F43,"대중교통",구역12!E4:E43,"*"&amp;$B31&amp;"*")+COUNTIFS(구역12!H4:H43,"*대중교통*",구역12!E4:E43,"*"&amp;$B31&amp;"*")=0,"",COUNTIFS(구역12!F4:F43,"대중교통",구역12!E4:E43,"*"&amp;$B31&amp;"*")+COUNTIFS(구역12!H4:H43,"*대중교통*",구역12!E4:E43,"*"&amp;$B31&amp;"*"))</f>
        <v/>
      </c>
      <c r="K15" t="str">
        <f>IF(COUNTIFS(구역12!G4:G43,"대중교통",구역12!E4:E43,"*"&amp;$B31&amp;"*")+COUNTIFS(구역12!I4:I43,"*대중교통*",구역12!E4:E43,"*"&amp;$B31&amp;"*")=0,"",COUNTIFS(구역12!G4:G43,"대중교통",구역12!E4:E43,"*"&amp;$B31&amp;"*")+COUNTIFS(구역12!I4:I43,"*대중교통*",구역12!E4:E43,"*"&amp;$B31&amp;"*"))</f>
        <v/>
      </c>
    </row>
    <row r="16" spans="1:13" ht="19.399999999999999" customHeight="1">
      <c r="A16" s="20" t="s">
        <v>58</v>
      </c>
      <c r="B16" t="str">
        <f>IF(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=0,"",COUNTIFS(구역13!F4:F43,"1호차",구역13!E4:E43,"*"&amp;$B31&amp;"*")+COUNTIFS(구역13!F4:F43,"2호차",구역13!E4:E43,"*"&amp;$B31&amp;"*")+COUNTIFS(구역13!F4:F43,"3호차",구역13!E4:E43,"*"&amp;$B31&amp;"*")+COUNTIFS(구역13!F4:F43,"4호차",구역13!E4:E43,"*"&amp;$B31&amp;"*")+COUNTIFS(구역13!F4:F43,"5호차",구역13!E4:E43,"*"&amp;$B31&amp;"*")+COUNTIFS(구역13!F4:F43,"6호차",구역13!E4:E43,"*"&amp;$B31&amp;"*")+COUNTIFS(구역13!F4:F43,"7호차",구역13!E4:E43,"*"&amp;$B31&amp;"*")+COUNTIFS(구역13!F4:F43,"8호차",구역13!E4:E43,"*"&amp;$B31&amp;"*")+COUNTIFS(구역13!F4:F43,"9호차",구역13!E4:E43,"*"&amp;$B31&amp;"*")+COUNTIFS(구역13!F4:F43,"10호차",구역13!E4:E43,"*"&amp;$B31&amp;"*"))</f>
        <v/>
      </c>
      <c r="C16" t="str">
        <f>IF(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=0,"",COUNTIFS(구역13!G4:G43,"1호차",구역13!E4:E43,"*"&amp;$B31&amp;"*")+COUNTIFS(구역13!G4:G43,"2호차",구역13!E4:E43,"*"&amp;$B31&amp;"*")+COUNTIFS(구역13!G4:G43,"3호차",구역13!E4:E43,"*"&amp;$B31&amp;"*")+COUNTIFS(구역13!G4:G43,"4호차",구역13!E4:E43,"*"&amp;$B31&amp;"*")+COUNTIFS(구역13!G4:G43,"5호차",구역13!E4:E43,"*"&amp;$B31&amp;"*")+COUNTIFS(구역13!G4:G43,"6호차",구역13!E4:E43,"*"&amp;$B31&amp;"*")+COUNTIFS(구역13!G4:G43,"7호차",구역13!E4:E43,"*"&amp;$B31&amp;"*")+COUNTIFS(구역13!G4:G43,"8호차",구역13!E4:E43,"*"&amp;$B31&amp;"*")+COUNTIFS(구역13!G4:G43,"9호차",구역13!E4:E43,"*"&amp;$B31&amp;"*")+COUNTIFS(구역13!G4:G43,"10호차",구역13!E4:E43,"*"&amp;$B31&amp;"*"))</f>
        <v/>
      </c>
      <c r="D16" t="str">
        <f>IF(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=0,"",COUNTIFS(구역13!F4:F43,"교회차1",구역13!E4:E43,"*"&amp;$B31&amp;"*")+COUNTIFS(구역13!F4:F43,"교회차2",구역13!E4:E43,"*"&amp;$B31&amp;"*")+COUNTIFS(구역13!F4:F43,"교회차3",구역13!E4:E43,"*"&amp;$B31&amp;"*")+COUNTIFS(구역13!F4:F43,"교회차4",구역13!E4:E43,"*"&amp;$B31&amp;"*")+COUNTIFS(구역13!F4:F43,"교회차5",구역13!E4:E43,"*"&amp;$B31&amp;"*")+COUNTIFS(구역13!H4:H43,"*교회차*",구역13!E4:E43,"*"&amp;$B31&amp;"*"))</f>
        <v/>
      </c>
      <c r="E16" t="str">
        <f>IF(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=0,"",COUNTIFS(구역13!G4:G43,"교회차1",구역13!E4:E43,"*"&amp;$B31&amp;"*")+COUNTIFS(구역13!G4:G43,"교회차2",구역13!E4:E43,"*"&amp;$B31&amp;"*")+COUNTIFS(구역13!G4:G43,"교회차3",구역13!E4:E43,"*"&amp;$B31&amp;"*")+COUNTIFS(구역13!G4:G43,"교회차4",구역13!E4:E43,"*"&amp;$B31&amp;"*")+COUNTIFS(구역13!G4:G43,"교회차5",구역13!E4:E43,"*"&amp;$B31&amp;"*")+COUNTIFS(구역13!I4:I43,"*교회차*",구역13!E4:E43,"*"&amp;$B31&amp;"*"))</f>
        <v/>
      </c>
      <c r="F16" t="str">
        <f>IF(COUNTIFS(구역13!F4:F43,"타교회",구역13!E4:E43,"*"&amp;$B31&amp;"*")+COUNTIFS(구역13!H4:H43,"*타교회*",구역13!E4:E43,"*"&amp;$B31&amp;"*")=0,"",COUNTIFS(구역13!F4:F43,"타교회",구역13!E4:E43,"*"&amp;$B31&amp;"*")+COUNTIFS(구역13!H4:H43,"*타교회*",구역13!E4:E43,"*"&amp;$B31&amp;"*"))</f>
        <v/>
      </c>
      <c r="G16" t="str">
        <f>IF(COUNTIFS(구역13!G4:G43,"타교회",구역13!E4:E43,"*"&amp;$B31&amp;"*")+COUNTIFS(구역13!I4:I43,"*타교회*",구역13!E4:E43,"*"&amp;$B31&amp;"*")=0,"",COUNTIFS(구역13!G4:G43,"타교회",구역13!E4:E43,"*"&amp;$B31&amp;"*")+COUNTIFS(구역13!I4:I43,"*타교회*",구역13!E4:E43,"*"&amp;$B31&amp;"*"))</f>
        <v/>
      </c>
      <c r="H16" t="str">
        <f>IF(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=0,"",COUNTIFS(구역13!F4:F43,"개인차",구역13!E4:E43,"*"&amp;$B31&amp;"*")+(COUNTIFS(구역13!H4:H43,"?*",구역13!E4:E43,"*"&amp;$B31&amp;"*")-COUNTIFS(구역13!H4:H43,"*교회차*",구역13!E4:E43,"*"&amp;$B31&amp;"*")-COUNTIFS(구역13!H4:H43,"*타교회*",구역13!E4:E43,"*"&amp;$B31&amp;"*")-COUNTIFS(구역13!H4:H43,"*대중교통*",구역13!E4:E43,"*"&amp;$B31&amp;"*")))</f>
        <v/>
      </c>
      <c r="I16" t="str">
        <f>IF(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=0,"",COUNTIFS(구역13!G4:G43,"개인차",구역13!E4:E43,"*"&amp;$B31&amp;"*")+(COUNTIFS(구역13!I4:I43,"?*",구역13!E4:E43,"*"&amp;$B31&amp;"*")-COUNTIFS(구역13!I4:I43,"*교회차*",구역13!E4:E43,"*"&amp;$B31&amp;"*")-COUNTIFS(구역13!I4:I43,"*타교회*",구역13!E4:E43,"*"&amp;$B31&amp;"*")-COUNTIFS(구역13!I4:I43,"*대중교통*",구역13!E4:E43,"*"&amp;$B31&amp;"*")))</f>
        <v/>
      </c>
      <c r="J16" t="str">
        <f>IF(COUNTIFS(구역13!F4:F43,"대중교통",구역13!E4:E43,"*"&amp;$B31&amp;"*")+COUNTIFS(구역13!H4:H43,"*대중교통*",구역13!E4:E43,"*"&amp;$B31&amp;"*")=0,"",COUNTIFS(구역13!F4:F43,"대중교통",구역13!E4:E43,"*"&amp;$B31&amp;"*")+COUNTIFS(구역13!H4:H43,"*대중교통*",구역13!E4:E43,"*"&amp;$B31&amp;"*"))</f>
        <v/>
      </c>
      <c r="K16" t="str">
        <f>IF(COUNTIFS(구역13!G4:G43,"대중교통",구역13!E4:E43,"*"&amp;$B31&amp;"*")+COUNTIFS(구역13!I4:I43,"*대중교통*",구역13!E4:E43,"*"&amp;$B31&amp;"*")=0,"",COUNTIFS(구역13!G4:G43,"대중교통",구역13!E4:E43,"*"&amp;$B31&amp;"*")+COUNTIFS(구역13!I4:I43,"*대중교통*",구역13!E4:E43,"*"&amp;$B31&amp;"*"))</f>
        <v/>
      </c>
    </row>
    <row r="17" spans="1:11" ht="15" customHeight="1">
      <c r="A17" s="10" t="s">
        <v>59</v>
      </c>
      <c r="B17" s="9" t="str">
        <f>IF(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=0,"",COUNTIFS(구역14!F4:F43,"1호차",구역14!E4:E43,"*"&amp;$B31&amp;"*")+COUNTIFS(구역14!F4:F43,"2호차",구역14!E4:E43,"*"&amp;$B31&amp;"*")+COUNTIFS(구역14!F4:F43,"3호차",구역14!E4:E43,"*"&amp;$B31&amp;"*")+COUNTIFS(구역14!F4:F43,"4호차",구역14!E4:E43,"*"&amp;$B31&amp;"*")+COUNTIFS(구역14!F4:F43,"5호차",구역14!E4:E43,"*"&amp;$B31&amp;"*")+COUNTIFS(구역14!F4:F43,"6호차",구역14!E4:E43,"*"&amp;$B31&amp;"*")+COUNTIFS(구역14!F4:F43,"7호차",구역14!E4:E43,"*"&amp;$B31&amp;"*")+COUNTIFS(구역14!F4:F43,"8호차",구역14!E4:E43,"*"&amp;$B31&amp;"*")+COUNTIFS(구역14!F4:F43,"9호차",구역14!E4:E43,"*"&amp;$B31&amp;"*")+COUNTIFS(구역14!F4:F43,"10호차",구역14!E4:E43,"*"&amp;$B31&amp;"*"))</f>
        <v/>
      </c>
      <c r="C17" s="9" t="str">
        <f>IF(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=0,"",COUNTIFS(구역14!G4:G43,"1호차",구역14!E4:E43,"*"&amp;$B31&amp;"*")+COUNTIFS(구역14!G4:G43,"2호차",구역14!E4:E43,"*"&amp;$B31&amp;"*")+COUNTIFS(구역14!G4:G43,"3호차",구역14!E4:E43,"*"&amp;$B31&amp;"*")+COUNTIFS(구역14!G4:G43,"4호차",구역14!E4:E43,"*"&amp;$B31&amp;"*")+COUNTIFS(구역14!G4:G43,"5호차",구역14!E4:E43,"*"&amp;$B31&amp;"*")+COUNTIFS(구역14!G4:G43,"6호차",구역14!E4:E43,"*"&amp;$B31&amp;"*")+COUNTIFS(구역14!G4:G43,"7호차",구역14!E4:E43,"*"&amp;$B31&amp;"*")+COUNTIFS(구역14!G4:G43,"8호차",구역14!E4:E43,"*"&amp;$B31&amp;"*")+COUNTIFS(구역14!G4:G43,"9호차",구역14!E4:E43,"*"&amp;$B31&amp;"*")+COUNTIFS(구역14!G4:G43,"10호차",구역14!E4:E43,"*"&amp;$B31&amp;"*"))</f>
        <v/>
      </c>
      <c r="D17" s="9" t="str">
        <f>IF(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=0,"",COUNTIFS(구역14!F4:F43,"교회차1",구역14!E4:E43,"*"&amp;$B31&amp;"*")+COUNTIFS(구역14!F4:F43,"교회차2",구역14!E4:E43,"*"&amp;$B31&amp;"*")+COUNTIFS(구역14!F4:F43,"교회차3",구역14!E4:E43,"*"&amp;$B31&amp;"*")+COUNTIFS(구역14!F4:F43,"교회차4",구역14!E4:E43,"*"&amp;$B31&amp;"*")+COUNTIFS(구역14!F4:F43,"교회차5",구역14!E4:E43,"*"&amp;$B31&amp;"*")+COUNTIFS(구역14!H4:H43,"*교회차*",구역14!E4:E43,"*"&amp;$B31&amp;"*"))</f>
        <v/>
      </c>
      <c r="E17" s="9" t="str">
        <f>IF(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=0,"",COUNTIFS(구역14!G4:G43,"교회차1",구역14!E4:E43,"*"&amp;$B31&amp;"*")+COUNTIFS(구역14!G4:G43,"교회차2",구역14!E4:E43,"*"&amp;$B31&amp;"*")+COUNTIFS(구역14!G4:G43,"교회차3",구역14!E4:E43,"*"&amp;$B31&amp;"*")+COUNTIFS(구역14!G4:G43,"교회차4",구역14!E4:E43,"*"&amp;$B31&amp;"*")+COUNTIFS(구역14!G4:G43,"교회차5",구역14!E4:E43,"*"&amp;$B31&amp;"*")+COUNTIFS(구역14!I4:I43,"*교회차*",구역14!E4:E43,"*"&amp;$B31&amp;"*"))</f>
        <v/>
      </c>
      <c r="F17" s="9" t="str">
        <f>IF(COUNTIFS(구역14!F4:F43,"타교회",구역14!E4:E43,"*"&amp;$B31&amp;"*")+COUNTIFS(구역14!H4:H43,"*타교회*",구역14!E4:E43,"*"&amp;$B31&amp;"*")=0,"",COUNTIFS(구역14!F4:F43,"타교회",구역14!E4:E43,"*"&amp;$B31&amp;"*")+COUNTIFS(구역14!H4:H43,"*타교회*",구역14!E4:E43,"*"&amp;$B31&amp;"*"))</f>
        <v/>
      </c>
      <c r="G17" s="9" t="str">
        <f>IF(COUNTIFS(구역14!G4:G43,"타교회",구역14!E4:E43,"*"&amp;$B31&amp;"*")+COUNTIFS(구역14!I4:I43,"*타교회*",구역14!E4:E43,"*"&amp;$B31&amp;"*")=0,"",COUNTIFS(구역14!G4:G43,"타교회",구역14!E4:E43,"*"&amp;$B31&amp;"*")+COUNTIFS(구역14!I4:I43,"*타교회*",구역14!E4:E43,"*"&amp;$B31&amp;"*"))</f>
        <v/>
      </c>
      <c r="H17" s="9" t="str">
        <f>IF(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=0,"",COUNTIFS(구역14!F4:F43,"개인차",구역14!E4:E43,"*"&amp;$B31&amp;"*")+(COUNTIFS(구역14!H4:H43,"?*",구역14!E4:E43,"*"&amp;$B31&amp;"*")-COUNTIFS(구역14!H4:H43,"*교회차*",구역14!E4:E43,"*"&amp;$B31&amp;"*")-COUNTIFS(구역14!H4:H43,"*타교회*",구역14!E4:E43,"*"&amp;$B31&amp;"*")-COUNTIFS(구역14!H4:H43,"*대중교통*",구역14!E4:E43,"*"&amp;$B31&amp;"*")))</f>
        <v/>
      </c>
      <c r="I17" s="9" t="str">
        <f>IF(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=0,"",COUNTIFS(구역14!G4:G43,"개인차",구역14!E4:E43,"*"&amp;$B31&amp;"*")+(COUNTIFS(구역14!I4:I43,"?*",구역14!E4:E43,"*"&amp;$B31&amp;"*")-COUNTIFS(구역14!I4:I43,"*교회차*",구역14!E4:E43,"*"&amp;$B31&amp;"*")-COUNTIFS(구역14!I4:I43,"*타교회*",구역14!E4:E43,"*"&amp;$B31&amp;"*")-COUNTIFS(구역14!I4:I43,"*대중교통*",구역14!E4:E43,"*"&amp;$B31&amp;"*")))</f>
        <v/>
      </c>
      <c r="J17" s="10" t="str">
        <f>IF(COUNTIFS(구역14!F4:F43,"대중교통",구역14!E4:E43,"*"&amp;$B31&amp;"*")+COUNTIFS(구역14!H4:H43,"*대중교통*",구역14!E4:E43,"*"&amp;$B31&amp;"*")=0,"",COUNTIFS(구역14!F4:F43,"대중교통",구역14!E4:E43,"*"&amp;$B31&amp;"*")+COUNTIFS(구역14!H4:H43,"*대중교통*",구역14!E4:E43,"*"&amp;$B31&amp;"*"))</f>
        <v/>
      </c>
      <c r="K17" t="str">
        <f>IF(COUNTIFS(구역14!G4:G43,"대중교통",구역14!E4:E43,"*"&amp;$B31&amp;"*")+COUNTIFS(구역14!I4:I43,"*대중교통*",구역14!E4:E43,"*"&amp;$B31&amp;"*")=0,"",COUNTIFS(구역14!G4:G43,"대중교통",구역14!E4:E43,"*"&amp;$B31&amp;"*")+COUNTIFS(구역14!I4:I43,"*대중교통*",구역14!E4:E43,"*"&amp;$B31&amp;"*"))</f>
        <v/>
      </c>
    </row>
    <row r="18" spans="1:11" ht="15" customHeight="1">
      <c r="A18" s="10" t="s">
        <v>60</v>
      </c>
      <c r="B18" t="str">
        <f>IF(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=0,"",COUNTIFS(구역15!F4:F43,"1호차",구역15!E4:E43,"*"&amp;$B31&amp;"*")+COUNTIFS(구역15!F4:F43,"2호차",구역15!E4:E43,"*"&amp;$B31&amp;"*")+COUNTIFS(구역15!F4:F43,"3호차",구역15!E4:E43,"*"&amp;$B31&amp;"*")+COUNTIFS(구역15!F4:F43,"4호차",구역15!E4:E43,"*"&amp;$B31&amp;"*")+COUNTIFS(구역15!F4:F43,"5호차",구역15!E4:E43,"*"&amp;$B31&amp;"*")+COUNTIFS(구역15!F4:F43,"6호차",구역15!E4:E43,"*"&amp;$B31&amp;"*")+COUNTIFS(구역15!F4:F43,"7호차",구역15!E4:E43,"*"&amp;$B31&amp;"*")+COUNTIFS(구역15!F4:F43,"8호차",구역15!E4:E43,"*"&amp;$B31&amp;"*")+COUNTIFS(구역15!F4:F43,"9호차",구역15!E4:E43,"*"&amp;$B31&amp;"*")+COUNTIFS(구역15!F4:F43,"10호차",구역15!E4:E43,"*"&amp;$B31&amp;"*"))</f>
        <v/>
      </c>
      <c r="C18" t="str">
        <f>IF(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=0,"",COUNTIFS(구역15!G4:G43,"1호차",구역15!E4:E43,"*"&amp;$B31&amp;"*")+COUNTIFS(구역15!G4:G43,"2호차",구역15!E4:E43,"*"&amp;$B31&amp;"*")+COUNTIFS(구역15!G4:G43,"3호차",구역15!E4:E43,"*"&amp;$B31&amp;"*")+COUNTIFS(구역15!G4:G43,"4호차",구역15!E4:E43,"*"&amp;$B31&amp;"*")+COUNTIFS(구역15!G4:G43,"5호차",구역15!E4:E43,"*"&amp;$B31&amp;"*")+COUNTIFS(구역15!G4:G43,"6호차",구역15!E4:E43,"*"&amp;$B31&amp;"*")+COUNTIFS(구역15!G4:G43,"7호차",구역15!E4:E43,"*"&amp;$B31&amp;"*")+COUNTIFS(구역15!G4:G43,"8호차",구역15!E4:E43,"*"&amp;$B31&amp;"*")+COUNTIFS(구역15!G4:G43,"9호차",구역15!E4:E43,"*"&amp;$B31&amp;"*")+COUNTIFS(구역15!G4:G43,"10호차",구역15!E4:E43,"*"&amp;$B31&amp;"*"))</f>
        <v/>
      </c>
      <c r="D18" t="str">
        <f>IF(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=0,"",COUNTIFS(구역15!F4:F43,"교회차1",구역15!E4:E43,"*"&amp;$B31&amp;"*")+COUNTIFS(구역15!F4:F43,"교회차2",구역15!E4:E43,"*"&amp;$B31&amp;"*")+COUNTIFS(구역15!F4:F43,"교회차3",구역15!E4:E43,"*"&amp;$B31&amp;"*")+COUNTIFS(구역15!F4:F43,"교회차4",구역15!E4:E43,"*"&amp;$B31&amp;"*")+COUNTIFS(구역15!F4:F43,"교회차5",구역15!E4:E43,"*"&amp;$B31&amp;"*")+COUNTIFS(구역15!H4:H43,"*교회차*",구역15!E4:E43,"*"&amp;$B31&amp;"*"))</f>
        <v/>
      </c>
      <c r="E18" t="str">
        <f>IF(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=0,"",COUNTIFS(구역15!G4:G43,"교회차1",구역15!E4:E43,"*"&amp;$B31&amp;"*")+COUNTIFS(구역15!G4:G43,"교회차2",구역15!E4:E43,"*"&amp;$B31&amp;"*")+COUNTIFS(구역15!G4:G43,"교회차3",구역15!E4:E43,"*"&amp;$B31&amp;"*")+COUNTIFS(구역15!G4:G43,"교회차4",구역15!E4:E43,"*"&amp;$B31&amp;"*")+COUNTIFS(구역15!G4:G43,"교회차5",구역15!E4:E43,"*"&amp;$B31&amp;"*")+COUNTIFS(구역15!I4:I43,"*교회차*",구역15!E4:E43,"*"&amp;$B31&amp;"*"))</f>
        <v/>
      </c>
      <c r="F18" t="str">
        <f>IF(COUNTIFS(구역15!F4:F43,"타교회",구역15!E4:E43,"*"&amp;$B31&amp;"*")+COUNTIFS(구역15!H4:H43,"*타교회*",구역15!E4:E43,"*"&amp;$B31&amp;"*")=0,"",COUNTIFS(구역15!F4:F43,"타교회",구역15!E4:E43,"*"&amp;$B31&amp;"*")+COUNTIFS(구역15!H4:H43,"*타교회*",구역15!E4:E43,"*"&amp;$B31&amp;"*"))</f>
        <v/>
      </c>
      <c r="G18" t="str">
        <f>IF(COUNTIFS(구역15!G4:G43,"타교회",구역15!E4:E43,"*"&amp;$B31&amp;"*")+COUNTIFS(구역15!I4:I43,"*타교회*",구역15!E4:E43,"*"&amp;$B31&amp;"*")=0,"",COUNTIFS(구역15!G4:G43,"타교회",구역15!E4:E43,"*"&amp;$B31&amp;"*")+COUNTIFS(구역15!I4:I43,"*타교회*",구역15!E4:E43,"*"&amp;$B31&amp;"*"))</f>
        <v/>
      </c>
      <c r="H18" t="str">
        <f>IF(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=0,"",COUNTIFS(구역15!F4:F43,"개인차",구역15!E4:E43,"*"&amp;$B31&amp;"*")+(COUNTIFS(구역15!H4:H43,"?*",구역15!E4:E43,"*"&amp;$B31&amp;"*")-COUNTIFS(구역15!H4:H43,"*교회차*",구역15!E4:E43,"*"&amp;$B31&amp;"*")-COUNTIFS(구역15!H4:H43,"*타교회*",구역15!E4:E43,"*"&amp;$B31&amp;"*")-COUNTIFS(구역15!H4:H43,"*대중교통*",구역15!E4:E43,"*"&amp;$B31&amp;"*")))</f>
        <v/>
      </c>
      <c r="I18" t="str">
        <f>IF(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=0,"",COUNTIFS(구역15!G4:G43,"개인차",구역15!E4:E43,"*"&amp;$B31&amp;"*")+(COUNTIFS(구역15!I4:I43,"?*",구역15!E4:E43,"*"&amp;$B31&amp;"*")-COUNTIFS(구역15!I4:I43,"*교회차*",구역15!E4:E43,"*"&amp;$B31&amp;"*")-COUNTIFS(구역15!I4:I43,"*타교회*",구역15!E4:E43,"*"&amp;$B31&amp;"*")-COUNTIFS(구역15!I4:I43,"*대중교통*",구역15!E4:E43,"*"&amp;$B31&amp;"*")))</f>
        <v/>
      </c>
      <c r="J18" t="str">
        <f>IF(COUNTIFS(구역15!F4:F43,"대중교통",구역15!E4:E43,"*"&amp;$B31&amp;"*")+COUNTIFS(구역15!H4:H43,"*대중교통*",구역15!E4:E43,"*"&amp;$B31&amp;"*")=0,"",COUNTIFS(구역15!F4:F43,"대중교통",구역15!E4:E43,"*"&amp;$B31&amp;"*")+COUNTIFS(구역15!H4:H43,"*대중교통*",구역15!E4:E43,"*"&amp;$B31&amp;"*"))</f>
        <v/>
      </c>
      <c r="K18" t="str">
        <f>IF(COUNTIFS(구역15!G4:G43,"대중교통",구역15!E4:E43,"*"&amp;$B31&amp;"*")+COUNTIFS(구역15!I4:I43,"*대중교통*",구역15!E4:E43,"*"&amp;$B31&amp;"*")=0,"",COUNTIFS(구역15!G4:G43,"대중교통",구역15!E4:E43,"*"&amp;$B31&amp;"*")+COUNTIFS(구역15!I4:I43,"*대중교통*",구역15!E4:E43,"*"&amp;$B31&amp;"*"))</f>
        <v/>
      </c>
    </row>
    <row r="19" spans="1:11">
      <c r="A19" t="s">
        <v>61</v>
      </c>
      <c r="B19" t="str">
        <f>IF(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=0,"",COUNTIFS(구역16!F4:F43,"1호차",구역16!E4:E43,"*"&amp;$B31&amp;"*")+COUNTIFS(구역16!F4:F43,"2호차",구역16!E4:E43,"*"&amp;$B31&amp;"*")+COUNTIFS(구역16!F4:F43,"3호차",구역16!E4:E43,"*"&amp;$B31&amp;"*")+COUNTIFS(구역16!F4:F43,"4호차",구역16!E4:E43,"*"&amp;$B31&amp;"*")+COUNTIFS(구역16!F4:F43,"5호차",구역16!E4:E43,"*"&amp;$B31&amp;"*")+COUNTIFS(구역16!F4:F43,"6호차",구역16!E4:E43,"*"&amp;$B31&amp;"*")+COUNTIFS(구역16!F4:F43,"7호차",구역16!E4:E43,"*"&amp;$B31&amp;"*")+COUNTIFS(구역16!F4:F43,"8호차",구역16!E4:E43,"*"&amp;$B31&amp;"*")+COUNTIFS(구역16!F4:F43,"9호차",구역16!E4:E43,"*"&amp;$B31&amp;"*")+COUNTIFS(구역16!F4:F43,"10호차",구역16!E4:E43,"*"&amp;$B31&amp;"*"))</f>
        <v/>
      </c>
      <c r="C19" t="str">
        <f>IF(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=0,"",COUNTIFS(구역16!G4:G43,"1호차",구역16!E4:E43,"*"&amp;$B31&amp;"*")+COUNTIFS(구역16!G4:G43,"2호차",구역16!E4:E43,"*"&amp;$B31&amp;"*")+COUNTIFS(구역16!G4:G43,"3호차",구역16!E4:E43,"*"&amp;$B31&amp;"*")+COUNTIFS(구역16!G4:G43,"4호차",구역16!E4:E43,"*"&amp;$B31&amp;"*")+COUNTIFS(구역16!G4:G43,"5호차",구역16!E4:E43,"*"&amp;$B31&amp;"*")+COUNTIFS(구역16!G4:G43,"6호차",구역16!E4:E43,"*"&amp;$B31&amp;"*")+COUNTIFS(구역16!G4:G43,"7호차",구역16!E4:E43,"*"&amp;$B31&amp;"*")+COUNTIFS(구역16!G4:G43,"8호차",구역16!E4:E43,"*"&amp;$B31&amp;"*")+COUNTIFS(구역16!G4:G43,"9호차",구역16!E4:E43,"*"&amp;$B31&amp;"*")+COUNTIFS(구역16!G4:G43,"10호차",구역16!E4:E43,"*"&amp;$B31&amp;"*"))</f>
        <v/>
      </c>
      <c r="D19" t="str">
        <f>IF(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=0,"",COUNTIFS(구역16!F4:F43,"교회차1",구역16!E4:E43,"*"&amp;$B31&amp;"*")+COUNTIFS(구역16!F4:F43,"교회차2",구역16!E4:E43,"*"&amp;$B31&amp;"*")+COUNTIFS(구역16!F4:F43,"교회차3",구역16!E4:E43,"*"&amp;$B31&amp;"*")+COUNTIFS(구역16!F4:F43,"교회차4",구역16!E4:E43,"*"&amp;$B31&amp;"*")+COUNTIFS(구역16!F4:F43,"교회차5",구역16!E4:E43,"*"&amp;$B31&amp;"*")+COUNTIFS(구역16!H4:H43,"*교회차*",구역16!E4:E43,"*"&amp;$B31&amp;"*"))</f>
        <v/>
      </c>
      <c r="E19" t="str">
        <f>IF(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=0,"",COUNTIFS(구역16!G4:G43,"교회차1",구역16!E4:E43,"*"&amp;$B31&amp;"*")+COUNTIFS(구역16!G4:G43,"교회차2",구역16!E4:E43,"*"&amp;$B31&amp;"*")+COUNTIFS(구역16!G4:G43,"교회차3",구역16!E4:E43,"*"&amp;$B31&amp;"*")+COUNTIFS(구역16!G4:G43,"교회차4",구역16!E4:E43,"*"&amp;$B31&amp;"*")+COUNTIFS(구역16!G4:G43,"교회차5",구역16!E4:E43,"*"&amp;$B31&amp;"*")+COUNTIFS(구역16!I4:I43,"*교회차*",구역16!E4:E43,"*"&amp;$B31&amp;"*"))</f>
        <v/>
      </c>
      <c r="F19" t="str">
        <f>IF(COUNTIFS(구역16!F4:F43,"타교회",구역16!E4:E43,"*"&amp;$B31&amp;"*")+COUNTIFS(구역16!H4:H43,"*타교회*",구역16!E4:E43,"*"&amp;$B31&amp;"*")=0,"",COUNTIFS(구역16!F4:F43,"타교회",구역16!E4:E43,"*"&amp;$B31&amp;"*")+COUNTIFS(구역16!H4:H43,"*타교회*",구역16!E4:E43,"*"&amp;$B31&amp;"*"))</f>
        <v/>
      </c>
      <c r="G19" t="str">
        <f>IF(COUNTIFS(구역16!G4:G43,"타교회",구역16!E4:E43,"*"&amp;$B31&amp;"*")+COUNTIFS(구역16!I4:I43,"*타교회*",구역16!E4:E43,"*"&amp;$B31&amp;"*")=0,"",COUNTIFS(구역16!G4:G43,"타교회",구역16!E4:E43,"*"&amp;$B31&amp;"*")+COUNTIFS(구역16!I4:I43,"*타교회*",구역16!E4:E43,"*"&amp;$B31&amp;"*"))</f>
        <v/>
      </c>
      <c r="H19" t="str">
        <f>IF(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=0,"",COUNTIFS(구역16!F4:F43,"개인차",구역16!E4:E43,"*"&amp;$B31&amp;"*")+(COUNTIFS(구역16!H4:H43,"?*",구역16!E4:E43,"*"&amp;$B31&amp;"*")-COUNTIFS(구역16!H4:H43,"*교회차*",구역16!E4:E43,"*"&amp;$B31&amp;"*")-COUNTIFS(구역16!H4:H43,"*타교회*",구역16!E4:E43,"*"&amp;$B31&amp;"*")-COUNTIFS(구역16!H4:H43,"*대중교통*",구역16!E4:E43,"*"&amp;$B31&amp;"*")))</f>
        <v/>
      </c>
      <c r="I19" t="str">
        <f>IF(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=0,"",COUNTIFS(구역16!G4:G43,"개인차",구역16!E4:E43,"*"&amp;$B31&amp;"*")+(COUNTIFS(구역16!I4:I43,"?*",구역16!E4:E43,"*"&amp;$B31&amp;"*")-COUNTIFS(구역16!I4:I43,"*교회차*",구역16!E4:E43,"*"&amp;$B31&amp;"*")-COUNTIFS(구역16!I4:I43,"*타교회*",구역16!E4:E43,"*"&amp;$B31&amp;"*")-COUNTIFS(구역16!I4:I43,"*대중교통*",구역16!E4:E43,"*"&amp;$B31&amp;"*")))</f>
        <v/>
      </c>
      <c r="J19" t="str">
        <f>IF(COUNTIFS(구역16!F4:F43,"대중교통",구역16!E4:E43,"*"&amp;$B31&amp;"*")+COUNTIFS(구역16!H4:H43,"*대중교통*",구역16!E4:E43,"*"&amp;$B31&amp;"*")=0,"",COUNTIFS(구역16!F4:F43,"대중교통",구역16!E4:E43,"*"&amp;$B31&amp;"*")+COUNTIFS(구역16!H4:H43,"*대중교통*",구역16!E4:E43,"*"&amp;$B31&amp;"*"))</f>
        <v/>
      </c>
      <c r="K19" t="str">
        <f>IF(COUNTIFS(구역16!G4:G43,"대중교통",구역16!E4:E43,"*"&amp;$B31&amp;"*")+COUNTIFS(구역16!I4:I43,"*대중교통*",구역16!E4:E43,"*"&amp;$B31&amp;"*")=0,"",COUNTIFS(구역16!G4:G43,"대중교통",구역16!E4:E43,"*"&amp;$B31&amp;"*")+COUNTIFS(구역16!I4:I43,"*대중교통*",구역16!E4:E43,"*"&amp;$B31&amp;"*"))</f>
        <v/>
      </c>
    </row>
    <row r="20" spans="1:11">
      <c r="A20" t="s">
        <v>62</v>
      </c>
      <c r="B20" t="str">
        <f>IF(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=0,"",COUNTIFS(구역17!F4:F43,"1호차",구역17!E4:E43,"*"&amp;$B31&amp;"*")+COUNTIFS(구역17!F4:F43,"2호차",구역17!E4:E43,"*"&amp;$B31&amp;"*")+COUNTIFS(구역17!F4:F43,"3호차",구역17!E4:E43,"*"&amp;$B31&amp;"*")+COUNTIFS(구역17!F4:F43,"4호차",구역17!E4:E43,"*"&amp;$B31&amp;"*")+COUNTIFS(구역17!F4:F43,"5호차",구역17!E4:E43,"*"&amp;$B31&amp;"*")+COUNTIFS(구역17!F4:F43,"6호차",구역17!E4:E43,"*"&amp;$B31&amp;"*")+COUNTIFS(구역17!F4:F43,"7호차",구역17!E4:E43,"*"&amp;$B31&amp;"*")+COUNTIFS(구역17!F4:F43,"8호차",구역17!E4:E43,"*"&amp;$B31&amp;"*")+COUNTIFS(구역17!F4:F43,"9호차",구역17!E4:E43,"*"&amp;$B31&amp;"*")+COUNTIFS(구역17!F4:F43,"10호차",구역17!E4:E43,"*"&amp;$B31&amp;"*"))</f>
        <v/>
      </c>
      <c r="C20" t="str">
        <f>IF(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=0,"",COUNTIFS(구역17!G4:G43,"1호차",구역17!E4:E43,"*"&amp;$B31&amp;"*")+COUNTIFS(구역17!G4:G43,"2호차",구역17!E4:E43,"*"&amp;$B31&amp;"*")+COUNTIFS(구역17!G4:G43,"3호차",구역17!E4:E43,"*"&amp;$B31&amp;"*")+COUNTIFS(구역17!G4:G43,"4호차",구역17!E4:E43,"*"&amp;$B31&amp;"*")+COUNTIFS(구역17!G4:G43,"5호차",구역17!E4:E43,"*"&amp;$B31&amp;"*")+COUNTIFS(구역17!G4:G43,"6호차",구역17!E4:E43,"*"&amp;$B31&amp;"*")+COUNTIFS(구역17!G4:G43,"7호차",구역17!E4:E43,"*"&amp;$B31&amp;"*")+COUNTIFS(구역17!G4:G43,"8호차",구역17!E4:E43,"*"&amp;$B31&amp;"*")+COUNTIFS(구역17!G4:G43,"9호차",구역17!E4:E43,"*"&amp;$B31&amp;"*")+COUNTIFS(구역17!G4:G43,"10호차",구역17!E4:E43,"*"&amp;$B31&amp;"*"))</f>
        <v/>
      </c>
      <c r="D20" t="str">
        <f>IF(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=0,"",COUNTIFS(구역17!F4:F43,"교회차1",구역17!E4:E43,"*"&amp;$B31&amp;"*")+COUNTIFS(구역17!F4:F43,"교회차2",구역17!E4:E43,"*"&amp;$B31&amp;"*")+COUNTIFS(구역17!F4:F43,"교회차3",구역17!E4:E43,"*"&amp;$B31&amp;"*")+COUNTIFS(구역17!F4:F43,"교회차4",구역17!E4:E43,"*"&amp;$B31&amp;"*")+COUNTIFS(구역17!F4:F43,"교회차5",구역17!E4:E43,"*"&amp;$B31&amp;"*")+COUNTIFS(구역17!H4:H43,"*교회차*",구역17!E4:E43,"*"&amp;$B31&amp;"*"))</f>
        <v/>
      </c>
      <c r="E20" t="str">
        <f>IF(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=0,"",COUNTIFS(구역17!G4:G43,"교회차1",구역17!E4:E43,"*"&amp;$B31&amp;"*")+COUNTIFS(구역17!G4:G43,"교회차2",구역17!E4:E43,"*"&amp;$B31&amp;"*")+COUNTIFS(구역17!G4:G43,"교회차3",구역17!E4:E43,"*"&amp;$B31&amp;"*")+COUNTIFS(구역17!G4:G43,"교회차4",구역17!E4:E43,"*"&amp;$B31&amp;"*")+COUNTIFS(구역17!G4:G43,"교회차5",구역17!E4:E43,"*"&amp;$B31&amp;"*")+COUNTIFS(구역17!I4:I43,"*교회차*",구역17!E4:E43,"*"&amp;$B31&amp;"*"))</f>
        <v/>
      </c>
      <c r="F20" t="str">
        <f>IF(COUNTIFS(구역17!F4:F43,"타교회",구역17!E4:E43,"*"&amp;$B31&amp;"*")+COUNTIFS(구역17!H4:H43,"*타교회*",구역17!E4:E43,"*"&amp;$B31&amp;"*")=0,"",COUNTIFS(구역17!F4:F43,"타교회",구역17!E4:E43,"*"&amp;$B31&amp;"*")+COUNTIFS(구역17!H4:H43,"*타교회*",구역17!E4:E43,"*"&amp;$B31&amp;"*"))</f>
        <v/>
      </c>
      <c r="G20" t="str">
        <f>IF(COUNTIFS(구역17!G4:G43,"타교회",구역17!E4:E43,"*"&amp;$B31&amp;"*")+COUNTIFS(구역17!I4:I43,"*타교회*",구역17!E4:E43,"*"&amp;$B31&amp;"*")=0,"",COUNTIFS(구역17!G4:G43,"타교회",구역17!E4:E43,"*"&amp;$B31&amp;"*")+COUNTIFS(구역17!I4:I43,"*타교회*",구역17!E4:E43,"*"&amp;$B31&amp;"*"))</f>
        <v/>
      </c>
      <c r="H20" t="str">
        <f>IF(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=0,"",COUNTIFS(구역17!F4:F43,"개인차",구역17!E4:E43,"*"&amp;$B31&amp;"*")+(COUNTIFS(구역17!H4:H43,"?*",구역17!E4:E43,"*"&amp;$B31&amp;"*")-COUNTIFS(구역17!H4:H43,"*교회차*",구역17!E4:E43,"*"&amp;$B31&amp;"*")-COUNTIFS(구역17!H4:H43,"*타교회*",구역17!E4:E43,"*"&amp;$B31&amp;"*")-COUNTIFS(구역17!H4:H43,"*대중교통*",구역17!E4:E43,"*"&amp;$B31&amp;"*")))</f>
        <v/>
      </c>
      <c r="I20" t="str">
        <f>IF(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=0,"",COUNTIFS(구역17!G4:G43,"개인차",구역17!E4:E43,"*"&amp;$B31&amp;"*")+(COUNTIFS(구역17!I4:I43,"?*",구역17!E4:E43,"*"&amp;$B31&amp;"*")-COUNTIFS(구역17!I4:I43,"*교회차*",구역17!E4:E43,"*"&amp;$B31&amp;"*")-COUNTIFS(구역17!I4:I43,"*타교회*",구역17!E4:E43,"*"&amp;$B31&amp;"*")-COUNTIFS(구역17!I4:I43,"*대중교통*",구역17!E4:E43,"*"&amp;$B31&amp;"*")))</f>
        <v/>
      </c>
      <c r="J20" t="str">
        <f>IF(COUNTIFS(구역17!F4:F43,"대중교통",구역17!E4:E43,"*"&amp;$B31&amp;"*")+COUNTIFS(구역17!H4:H43,"*대중교통*",구역17!E4:E43,"*"&amp;$B31&amp;"*")=0,"",COUNTIFS(구역17!F4:F43,"대중교통",구역17!E4:E43,"*"&amp;$B31&amp;"*")+COUNTIFS(구역17!H4:H43,"*대중교통*",구역17!E4:E43,"*"&amp;$B31&amp;"*"))</f>
        <v/>
      </c>
      <c r="K20" t="str">
        <f>IF(COUNTIFS(구역17!G4:G43,"대중교통",구역17!E4:E43,"*"&amp;$B31&amp;"*")+COUNTIFS(구역17!I4:I43,"*대중교통*",구역17!E4:E43,"*"&amp;$B31&amp;"*")=0,"",COUNTIFS(구역17!G4:G43,"대중교통",구역17!E4:E43,"*"&amp;$B31&amp;"*")+COUNTIFS(구역17!I4:I43,"*대중교통*",구역17!E4:E43,"*"&amp;$B31&amp;"*"))</f>
        <v/>
      </c>
    </row>
    <row r="21" spans="1:11">
      <c r="A21" t="s">
        <v>63</v>
      </c>
      <c r="B21" t="str">
        <f>IF(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=0,"",COUNTIFS(구역18!F4:F43,"1호차",구역18!E4:E43,"*"&amp;$B31&amp;"*")+COUNTIFS(구역18!F4:F43,"2호차",구역18!E4:E43,"*"&amp;$B31&amp;"*")+COUNTIFS(구역18!F4:F43,"3호차",구역18!E4:E43,"*"&amp;$B31&amp;"*")+COUNTIFS(구역18!F4:F43,"4호차",구역18!E4:E43,"*"&amp;$B31&amp;"*")+COUNTIFS(구역18!F4:F43,"5호차",구역18!E4:E43,"*"&amp;$B31&amp;"*")+COUNTIFS(구역18!F4:F43,"6호차",구역18!E4:E43,"*"&amp;$B31&amp;"*")+COUNTIFS(구역18!F4:F43,"7호차",구역18!E4:E43,"*"&amp;$B31&amp;"*")+COUNTIFS(구역18!F4:F43,"8호차",구역18!E4:E43,"*"&amp;$B31&amp;"*")+COUNTIFS(구역18!F4:F43,"9호차",구역18!E4:E43,"*"&amp;$B31&amp;"*")+COUNTIFS(구역18!F4:F43,"10호차",구역18!E4:E43,"*"&amp;$B31&amp;"*"))</f>
        <v/>
      </c>
      <c r="C21" t="str">
        <f>IF(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=0,"",COUNTIFS(구역18!G4:G43,"1호차",구역18!E4:E43,"*"&amp;$B31&amp;"*")+COUNTIFS(구역18!G4:G43,"2호차",구역18!E4:E43,"*"&amp;$B31&amp;"*")+COUNTIFS(구역18!G4:G43,"3호차",구역18!E4:E43,"*"&amp;$B31&amp;"*")+COUNTIFS(구역18!G4:G43,"4호차",구역18!E4:E43,"*"&amp;$B31&amp;"*")+COUNTIFS(구역18!G4:G43,"5호차",구역18!E4:E43,"*"&amp;$B31&amp;"*")+COUNTIFS(구역18!G4:G43,"6호차",구역18!E4:E43,"*"&amp;$B31&amp;"*")+COUNTIFS(구역18!G4:G43,"7호차",구역18!E4:E43,"*"&amp;$B31&amp;"*")+COUNTIFS(구역18!G4:G43,"8호차",구역18!E4:E43,"*"&amp;$B31&amp;"*")+COUNTIFS(구역18!G4:G43,"9호차",구역18!E4:E43,"*"&amp;$B31&amp;"*")+COUNTIFS(구역18!G4:G43,"10호차",구역18!E4:E43,"*"&amp;$B31&amp;"*"))</f>
        <v/>
      </c>
      <c r="D21" t="str">
        <f>IF(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=0,"",COUNTIFS(구역18!F4:F43,"교회차1",구역18!E4:E43,"*"&amp;$B31&amp;"*")+COUNTIFS(구역18!F4:F43,"교회차2",구역18!E4:E43,"*"&amp;$B31&amp;"*")+COUNTIFS(구역18!F4:F43,"교회차3",구역18!E4:E43,"*"&amp;$B31&amp;"*")+COUNTIFS(구역18!F4:F43,"교회차4",구역18!E4:E43,"*"&amp;$B31&amp;"*")+COUNTIFS(구역18!F4:F43,"교회차5",구역18!E4:E43,"*"&amp;$B31&amp;"*")+COUNTIFS(구역18!H4:H43,"*교회차*",구역18!E4:E43,"*"&amp;$B31&amp;"*"))</f>
        <v/>
      </c>
      <c r="E21" t="str">
        <f>IF(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=0,"",COUNTIFS(구역18!G4:G43,"교회차1",구역18!E4:E43,"*"&amp;$B31&amp;"*")+COUNTIFS(구역18!G4:G43,"교회차2",구역18!E4:E43,"*"&amp;$B31&amp;"*")+COUNTIFS(구역18!G4:G43,"교회차3",구역18!E4:E43,"*"&amp;$B31&amp;"*")+COUNTIFS(구역18!G4:G43,"교회차4",구역18!E4:E43,"*"&amp;$B31&amp;"*")+COUNTIFS(구역18!G4:G43,"교회차5",구역18!E4:E43,"*"&amp;$B31&amp;"*")+COUNTIFS(구역18!I4:I43,"*교회차*",구역18!E4:E43,"*"&amp;$B31&amp;"*"))</f>
        <v/>
      </c>
      <c r="F21" t="str">
        <f>IF(COUNTIFS(구역18!F4:F43,"타교회",구역18!E4:E43,"*"&amp;$B31&amp;"*")+COUNTIFS(구역18!H4:H43,"*타교회*",구역18!E4:E43,"*"&amp;$B31&amp;"*")=0,"",COUNTIFS(구역18!F4:F43,"타교회",구역18!E4:E43,"*"&amp;$B31&amp;"*")+COUNTIFS(구역18!H4:H43,"*타교회*",구역18!E4:E43,"*"&amp;$B31&amp;"*"))</f>
        <v/>
      </c>
      <c r="G21" t="str">
        <f>IF(COUNTIFS(구역18!G4:G43,"타교회",구역18!E4:E43,"*"&amp;$B31&amp;"*")+COUNTIFS(구역18!I4:I43,"*타교회*",구역18!E4:E43,"*"&amp;$B31&amp;"*")=0,"",COUNTIFS(구역18!G4:G43,"타교회",구역18!E4:E43,"*"&amp;$B31&amp;"*")+COUNTIFS(구역18!I4:I43,"*타교회*",구역18!E4:E43,"*"&amp;$B31&amp;"*"))</f>
        <v/>
      </c>
      <c r="H21" t="str">
        <f>IF(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=0,"",COUNTIFS(구역18!F4:F43,"개인차",구역18!E4:E43,"*"&amp;$B31&amp;"*")+(COUNTIFS(구역18!H4:H43,"?*",구역18!E4:E43,"*"&amp;$B31&amp;"*")-COUNTIFS(구역18!H4:H43,"*교회차*",구역18!E4:E43,"*"&amp;$B31&amp;"*")-COUNTIFS(구역18!H4:H43,"*타교회*",구역18!E4:E43,"*"&amp;$B31&amp;"*")-COUNTIFS(구역18!H4:H43,"*대중교통*",구역18!E4:E43,"*"&amp;$B31&amp;"*")))</f>
        <v/>
      </c>
      <c r="I21" t="str">
        <f>IF(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=0,"",COUNTIFS(구역18!G4:G43,"개인차",구역18!E4:E43,"*"&amp;$B31&amp;"*")+(COUNTIFS(구역18!I4:I43,"?*",구역18!E4:E43,"*"&amp;$B31&amp;"*")-COUNTIFS(구역18!I4:I43,"*교회차*",구역18!E4:E43,"*"&amp;$B31&amp;"*")-COUNTIFS(구역18!I4:I43,"*타교회*",구역18!E4:E43,"*"&amp;$B31&amp;"*")-COUNTIFS(구역18!I4:I43,"*대중교통*",구역18!E4:E43,"*"&amp;$B31&amp;"*")))</f>
        <v/>
      </c>
      <c r="J21" t="str">
        <f>IF(COUNTIFS(구역18!F4:F43,"대중교통",구역18!E4:E43,"*"&amp;$B31&amp;"*")+COUNTIFS(구역18!H4:H43,"*대중교통*",구역18!E4:E43,"*"&amp;$B31&amp;"*")=0,"",COUNTIFS(구역18!F4:F43,"대중교통",구역18!E4:E43,"*"&amp;$B31&amp;"*")+COUNTIFS(구역18!H4:H43,"*대중교통*",구역18!E4:E43,"*"&amp;$B31&amp;"*"))</f>
        <v/>
      </c>
      <c r="K21" t="str">
        <f>IF(COUNTIFS(구역18!G4:G43,"대중교통",구역18!E4:E43,"*"&amp;$B31&amp;"*")+COUNTIFS(구역18!I4:I43,"*대중교통*",구역18!E4:E43,"*"&amp;$B31&amp;"*")=0,"",COUNTIFS(구역18!G4:G43,"대중교통",구역18!E4:E43,"*"&amp;$B31&amp;"*")+COUNTIFS(구역18!I4:I43,"*대중교통*",구역18!E4:E43,"*"&amp;$B31&amp;"*"))</f>
        <v/>
      </c>
    </row>
    <row r="22" spans="1:11">
      <c r="A22" t="s">
        <v>64</v>
      </c>
      <c r="B22" t="str">
        <f>IF(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=0,"",COUNTIFS(구역19!F4:F43,"1호차",구역19!E4:E43,"*"&amp;$B31&amp;"*")+COUNTIFS(구역19!F4:F43,"2호차",구역19!E4:E43,"*"&amp;$B31&amp;"*")+COUNTIFS(구역19!F4:F43,"3호차",구역19!E4:E43,"*"&amp;$B31&amp;"*")+COUNTIFS(구역19!F4:F43,"4호차",구역19!E4:E43,"*"&amp;$B31&amp;"*")+COUNTIFS(구역19!F4:F43,"5호차",구역19!E4:E43,"*"&amp;$B31&amp;"*")+COUNTIFS(구역19!F4:F43,"6호차",구역19!E4:E43,"*"&amp;$B31&amp;"*")+COUNTIFS(구역19!F4:F43,"7호차",구역19!E4:E43,"*"&amp;$B31&amp;"*")+COUNTIFS(구역19!F4:F43,"8호차",구역19!E4:E43,"*"&amp;$B31&amp;"*")+COUNTIFS(구역19!F4:F43,"9호차",구역19!E4:E43,"*"&amp;$B31&amp;"*")+COUNTIFS(구역19!F4:F43,"10호차",구역19!E4:E43,"*"&amp;$B31&amp;"*"))</f>
        <v/>
      </c>
      <c r="C22" t="str">
        <f>IF(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=0,"",COUNTIFS(구역19!G4:G43,"1호차",구역19!E4:E43,"*"&amp;$B31&amp;"*")+COUNTIFS(구역19!G4:G43,"2호차",구역19!E4:E43,"*"&amp;$B31&amp;"*")+COUNTIFS(구역19!G4:G43,"3호차",구역19!E4:E43,"*"&amp;$B31&amp;"*")+COUNTIFS(구역19!G4:G43,"4호차",구역19!E4:E43,"*"&amp;$B31&amp;"*")+COUNTIFS(구역19!G4:G43,"5호차",구역19!E4:E43,"*"&amp;$B31&amp;"*")+COUNTIFS(구역19!G4:G43,"6호차",구역19!E4:E43,"*"&amp;$B31&amp;"*")+COUNTIFS(구역19!G4:G43,"7호차",구역19!E4:E43,"*"&amp;$B31&amp;"*")+COUNTIFS(구역19!G4:G43,"8호차",구역19!E4:E43,"*"&amp;$B31&amp;"*")+COUNTIFS(구역19!G4:G43,"9호차",구역19!E4:E43,"*"&amp;$B31&amp;"*")+COUNTIFS(구역19!G4:G43,"10호차",구역19!E4:E43,"*"&amp;$B31&amp;"*"))</f>
        <v/>
      </c>
      <c r="D22" t="str">
        <f>IF(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=0,"",COUNTIFS(구역19!F4:F43,"교회차1",구역19!E4:E43,"*"&amp;$B31&amp;"*")+COUNTIFS(구역19!F4:F43,"교회차2",구역19!E4:E43,"*"&amp;$B31&amp;"*")+COUNTIFS(구역19!F4:F43,"교회차3",구역19!E4:E43,"*"&amp;$B31&amp;"*")+COUNTIFS(구역19!F4:F43,"교회차4",구역19!E4:E43,"*"&amp;$B31&amp;"*")+COUNTIFS(구역19!F4:F43,"교회차5",구역19!E4:E43,"*"&amp;$B31&amp;"*")+COUNTIFS(구역19!H4:H43,"*교회차*",구역19!E4:E43,"*"&amp;$B31&amp;"*"))</f>
        <v/>
      </c>
      <c r="E22" t="str">
        <f>IF(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=0,"",COUNTIFS(구역19!G4:G43,"교회차1",구역19!E4:E43,"*"&amp;$B31&amp;"*")+COUNTIFS(구역19!G4:G43,"교회차2",구역19!E4:E43,"*"&amp;$B31&amp;"*")+COUNTIFS(구역19!G4:G43,"교회차3",구역19!E4:E43,"*"&amp;$B31&amp;"*")+COUNTIFS(구역19!G4:G43,"교회차4",구역19!E4:E43,"*"&amp;$B31&amp;"*")+COUNTIFS(구역19!G4:G43,"교회차5",구역19!E4:E43,"*"&amp;$B31&amp;"*")+COUNTIFS(구역19!I4:I43,"*교회차*",구역19!E4:E43,"*"&amp;$B31&amp;"*"))</f>
        <v/>
      </c>
      <c r="F22" t="str">
        <f>IF(COUNTIFS(구역19!F4:F43,"타교회",구역19!E4:E43,"*"&amp;$B31&amp;"*")+COUNTIFS(구역19!H4:H43,"*타교회*",구역19!E4:E43,"*"&amp;$B31&amp;"*")=0,"",COUNTIFS(구역19!F4:F43,"타교회",구역19!E4:E43,"*"&amp;$B31&amp;"*")+COUNTIFS(구역19!H4:H43,"*타교회*",구역19!E4:E43,"*"&amp;$B31&amp;"*"))</f>
        <v/>
      </c>
      <c r="G22" t="str">
        <f>IF(COUNTIFS(구역19!G4:G43,"타교회",구역19!E4:E43,"*"&amp;$B31&amp;"*")+COUNTIFS(구역19!I4:I43,"*타교회*",구역19!E4:E43,"*"&amp;$B31&amp;"*")=0,"",COUNTIFS(구역19!G4:G43,"타교회",구역19!E4:E43,"*"&amp;$B31&amp;"*")+COUNTIFS(구역19!I4:I43,"*타교회*",구역19!E4:E43,"*"&amp;$B31&amp;"*"))</f>
        <v/>
      </c>
      <c r="H22" t="str">
        <f>IF(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=0,"",COUNTIFS(구역19!F4:F43,"개인차",구역19!E4:E43,"*"&amp;$B31&amp;"*")+(COUNTIFS(구역19!H4:H43,"?*",구역19!E4:E43,"*"&amp;$B31&amp;"*")-COUNTIFS(구역19!H4:H43,"*교회차*",구역19!E4:E43,"*"&amp;$B31&amp;"*")-COUNTIFS(구역19!H4:H43,"*타교회*",구역19!E4:E43,"*"&amp;$B31&amp;"*")-COUNTIFS(구역19!H4:H43,"*대중교통*",구역19!E4:E43,"*"&amp;$B31&amp;"*")))</f>
        <v/>
      </c>
      <c r="I22" t="str">
        <f>IF(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=0,"",COUNTIFS(구역19!G4:G43,"개인차",구역19!E4:E43,"*"&amp;$B31&amp;"*")+(COUNTIFS(구역19!I4:I43,"?*",구역19!E4:E43,"*"&amp;$B31&amp;"*")-COUNTIFS(구역19!I4:I43,"*교회차*",구역19!E4:E43,"*"&amp;$B31&amp;"*")-COUNTIFS(구역19!I4:I43,"*타교회*",구역19!E4:E43,"*"&amp;$B31&amp;"*")-COUNTIFS(구역19!I4:I43,"*대중교통*",구역19!E4:E43,"*"&amp;$B31&amp;"*")))</f>
        <v/>
      </c>
      <c r="J22" t="str">
        <f>IF(COUNTIFS(구역19!F4:F43,"대중교통",구역19!E4:E43,"*"&amp;$B31&amp;"*")+COUNTIFS(구역19!H4:H43,"*대중교통*",구역19!E4:E43,"*"&amp;$B31&amp;"*")=0,"",COUNTIFS(구역19!F4:F43,"대중교통",구역19!E4:E43,"*"&amp;$B31&amp;"*")+COUNTIFS(구역19!H4:H43,"*대중교통*",구역19!E4:E43,"*"&amp;$B31&amp;"*"))</f>
        <v/>
      </c>
      <c r="K22" t="str">
        <f>IF(COUNTIFS(구역19!G4:G43,"대중교통",구역19!E4:E43,"*"&amp;$B31&amp;"*")+COUNTIFS(구역19!I4:I43,"*대중교통*",구역19!E4:E43,"*"&amp;$B31&amp;"*")=0,"",COUNTIFS(구역19!G4:G43,"대중교통",구역19!E4:E43,"*"&amp;$B31&amp;"*")+COUNTIFS(구역19!I4:I43,"*대중교통*",구역19!E4:E43,"*"&amp;$B31&amp;"*"))</f>
        <v/>
      </c>
    </row>
    <row r="23" spans="1:11">
      <c r="A23" t="s">
        <v>65</v>
      </c>
      <c r="B23" t="str">
        <f>IF(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=0,"",COUNTIFS(구역20!F4:F43,"1호차",구역20!E4:E43,"*"&amp;$B31&amp;"*")+COUNTIFS(구역20!F4:F43,"2호차",구역20!E4:E43,"*"&amp;$B31&amp;"*")+COUNTIFS(구역20!F4:F43,"3호차",구역20!E4:E43,"*"&amp;$B31&amp;"*")+COUNTIFS(구역20!F4:F43,"4호차",구역20!E4:E43,"*"&amp;$B31&amp;"*")+COUNTIFS(구역20!F4:F43,"5호차",구역20!E4:E43,"*"&amp;$B31&amp;"*")+COUNTIFS(구역20!F4:F43,"6호차",구역20!E4:E43,"*"&amp;$B31&amp;"*")+COUNTIFS(구역20!F4:F43,"7호차",구역20!E4:E43,"*"&amp;$B31&amp;"*")+COUNTIFS(구역20!F4:F43,"8호차",구역20!E4:E43,"*"&amp;$B31&amp;"*")+COUNTIFS(구역20!F4:F43,"9호차",구역20!E4:E43,"*"&amp;$B31&amp;"*")+COUNTIFS(구역20!F4:F43,"10호차",구역20!E4:E43,"*"&amp;$B31&amp;"*"))</f>
        <v/>
      </c>
      <c r="C23" t="str">
        <f>IF(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=0,"",COUNTIFS(구역20!G4:G43,"1호차",구역20!E4:E43,"*"&amp;$B31&amp;"*")+COUNTIFS(구역20!G4:G43,"2호차",구역20!E4:E43,"*"&amp;$B31&amp;"*")+COUNTIFS(구역20!G4:G43,"3호차",구역20!E4:E43,"*"&amp;$B31&amp;"*")+COUNTIFS(구역20!G4:G43,"4호차",구역20!E4:E43,"*"&amp;$B31&amp;"*")+COUNTIFS(구역20!G4:G43,"5호차",구역20!E4:E43,"*"&amp;$B31&amp;"*")+COUNTIFS(구역20!G4:G43,"6호차",구역20!E4:E43,"*"&amp;$B31&amp;"*")+COUNTIFS(구역20!G4:G43,"7호차",구역20!E4:E43,"*"&amp;$B31&amp;"*")+COUNTIFS(구역20!G4:G43,"8호차",구역20!E4:E43,"*"&amp;$B31&amp;"*")+COUNTIFS(구역20!G4:G43,"9호차",구역20!E4:E43,"*"&amp;$B31&amp;"*")+COUNTIFS(구역20!G4:G43,"10호차",구역20!E4:E43,"*"&amp;$B31&amp;"*"))</f>
        <v/>
      </c>
      <c r="D23" t="str">
        <f>IF(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=0,"",COUNTIFS(구역20!F4:F43,"교회차1",구역20!E4:E43,"*"&amp;$B31&amp;"*")+COUNTIFS(구역20!F4:F43,"교회차2",구역20!E4:E43,"*"&amp;$B31&amp;"*")+COUNTIFS(구역20!F4:F43,"교회차3",구역20!E4:E43,"*"&amp;$B31&amp;"*")+COUNTIFS(구역20!F4:F43,"교회차4",구역20!E4:E43,"*"&amp;$B31&amp;"*")+COUNTIFS(구역20!F4:F43,"교회차5",구역20!E4:E43,"*"&amp;$B31&amp;"*")+COUNTIFS(구역20!H4:H43,"*교회차*",구역20!E4:E43,"*"&amp;$B31&amp;"*"))</f>
        <v/>
      </c>
      <c r="E23" t="str">
        <f>IF(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=0,"",COUNTIFS(구역20!G4:G43,"교회차1",구역20!E4:E43,"*"&amp;$B31&amp;"*")+COUNTIFS(구역20!G4:G43,"교회차2",구역20!E4:E43,"*"&amp;$B31&amp;"*")+COUNTIFS(구역20!G4:G43,"교회차3",구역20!E4:E43,"*"&amp;$B31&amp;"*")+COUNTIFS(구역20!G4:G43,"교회차4",구역20!E4:E43,"*"&amp;$B31&amp;"*")+COUNTIFS(구역20!G4:G43,"교회차5",구역20!E4:E43,"*"&amp;$B31&amp;"*")+COUNTIFS(구역20!I4:I43,"*교회차*",구역20!E4:E43,"*"&amp;$B31&amp;"*"))</f>
        <v/>
      </c>
      <c r="F23" t="str">
        <f>IF(COUNTIFS(구역20!F4:F43,"타교회",구역20!E4:E43,"*"&amp;$B31&amp;"*")+COUNTIFS(구역20!H4:H43,"*타교회*",구역20!E4:E43,"*"&amp;$B31&amp;"*")=0,"",COUNTIFS(구역20!F4:F43,"타교회",구역20!E4:E43,"*"&amp;$B31&amp;"*")+COUNTIFS(구역20!H4:H43,"*타교회*",구역20!E4:E43,"*"&amp;$B31&amp;"*"))</f>
        <v/>
      </c>
      <c r="G23" t="str">
        <f>IF(COUNTIFS(구역20!G4:G43,"타교회",구역20!E4:E43,"*"&amp;$B31&amp;"*")+COUNTIFS(구역20!I4:I43,"*타교회*",구역20!E4:E43,"*"&amp;$B31&amp;"*")=0,"",COUNTIFS(구역20!G4:G43,"타교회",구역20!E4:E43,"*"&amp;$B31&amp;"*")+COUNTIFS(구역20!I4:I43,"*타교회*",구역20!E4:E43,"*"&amp;$B31&amp;"*"))</f>
        <v/>
      </c>
      <c r="H23" t="str">
        <f>IF(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=0,"",COUNTIFS(구역20!F4:F43,"개인차",구역20!E4:E43,"*"&amp;$B31&amp;"*")+(COUNTIFS(구역20!H4:H43,"?*",구역20!E4:E43,"*"&amp;$B31&amp;"*")-COUNTIFS(구역20!H4:H43,"*교회차*",구역20!E4:E43,"*"&amp;$B31&amp;"*")-COUNTIFS(구역20!H4:H43,"*타교회*",구역20!E4:E43,"*"&amp;$B31&amp;"*")-COUNTIFS(구역20!H4:H43,"*대중교통*",구역20!E4:E43,"*"&amp;$B31&amp;"*")))</f>
        <v/>
      </c>
      <c r="I23" t="str">
        <f>IF(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=0,"",COUNTIFS(구역20!G4:G43,"개인차",구역20!E4:E43,"*"&amp;$B31&amp;"*")+(COUNTIFS(구역20!I4:I43,"?*",구역20!E4:E43,"*"&amp;$B31&amp;"*")-COUNTIFS(구역20!I4:I43,"*교회차*",구역20!E4:E43,"*"&amp;$B31&amp;"*")-COUNTIFS(구역20!I4:I43,"*타교회*",구역20!E4:E43,"*"&amp;$B31&amp;"*")-COUNTIFS(구역20!I4:I43,"*대중교통*",구역20!E4:E43,"*"&amp;$B31&amp;"*")))</f>
        <v/>
      </c>
      <c r="J23" t="str">
        <f>IF(COUNTIFS(구역20!F4:F43,"대중교통",구역20!E4:E43,"*"&amp;$B31&amp;"*")+COUNTIFS(구역20!H4:H43,"*대중교통*",구역20!E4:E43,"*"&amp;$B31&amp;"*")=0,"",COUNTIFS(구역20!F4:F43,"대중교통",구역20!E4:E43,"*"&amp;$B31&amp;"*")+COUNTIFS(구역20!H4:H43,"*대중교통*",구역20!E4:E43,"*"&amp;$B31&amp;"*"))</f>
        <v/>
      </c>
      <c r="K23" t="str">
        <f>IF(COUNTIFS(구역20!G4:G43,"대중교통",구역20!E4:E43,"*"&amp;$B31&amp;"*")+COUNTIFS(구역20!I4:I43,"*대중교통*",구역20!E4:E43,"*"&amp;$B31&amp;"*")=0,"",COUNTIFS(구역20!G4:G43,"대중교통",구역20!E4:E43,"*"&amp;$B31&amp;"*")+COUNTIFS(구역20!I4:I43,"*대중교통*",구역20!E4:E43,"*"&amp;$B31&amp;"*"))</f>
        <v/>
      </c>
    </row>
    <row r="24" spans="1:11">
      <c r="A24" t="s">
        <v>16</v>
      </c>
      <c r="B24" t="str">
        <f t="shared" ref="B24:K24" si="0">IF(SUM(B4:B23)=0,"",SUM(B4:B23))</f>
        <v/>
      </c>
      <c r="C24" t="str">
        <f t="shared" si="0"/>
        <v/>
      </c>
      <c r="D24" t="str">
        <f t="shared" si="0"/>
        <v/>
      </c>
      <c r="E24" t="str">
        <f t="shared" si="0"/>
        <v/>
      </c>
      <c r="F24" t="str">
        <f t="shared" si="0"/>
        <v/>
      </c>
      <c r="G24" t="str">
        <f t="shared" si="0"/>
        <v/>
      </c>
      <c r="H24" t="str">
        <f t="shared" si="0"/>
        <v/>
      </c>
      <c r="I24" t="str">
        <f t="shared" si="0"/>
        <v/>
      </c>
      <c r="J24" t="str">
        <f t="shared" si="0"/>
        <v/>
      </c>
      <c r="K24" t="str">
        <f t="shared" si="0"/>
        <v/>
      </c>
    </row>
    <row r="26" spans="1:11">
      <c r="A26" s="33" t="s">
        <v>66</v>
      </c>
      <c r="B26" s="33"/>
      <c r="C26" s="33"/>
      <c r="D26" s="33"/>
      <c r="E26" s="33"/>
      <c r="F26" s="33"/>
      <c r="G26" s="33"/>
      <c r="H26" s="33"/>
      <c r="I26" s="33"/>
      <c r="J26" s="33"/>
      <c r="K26" s="33"/>
    </row>
    <row r="27" spans="1:11">
      <c r="A27" t="s">
        <v>5</v>
      </c>
      <c r="B27" t="s">
        <v>67</v>
      </c>
      <c r="C27" t="s">
        <v>68</v>
      </c>
      <c r="D27" t="s">
        <v>69</v>
      </c>
      <c r="E27" t="s">
        <v>70</v>
      </c>
      <c r="F27" t="s">
        <v>71</v>
      </c>
      <c r="G27" t="s">
        <v>72</v>
      </c>
      <c r="H27" t="s">
        <v>73</v>
      </c>
      <c r="I27" t="s">
        <v>74</v>
      </c>
      <c r="J27" t="s">
        <v>75</v>
      </c>
    </row>
    <row r="28" spans="1:11">
      <c r="A28" t="s">
        <v>76</v>
      </c>
      <c r="B28" t="str">
        <f>IF(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=0,"",COUNTIF(구역1!E4:E43,"*1차*")+COUNTIF(구역2!E4:E43,"*1차*")+COUNTIF(구역3!E4:E43,"*1차*")+COUNTIF(구역4!E4:E43,"*1차*")+COUNTIF(구역5!E4:E43,"*1차*")+COUNTIF(구역6!E4:E43,"*1차*")+COUNTIF(구역7!E4:E43,"*1차*")+COUNTIF(구역8!E4:E43,"*1차*")+COUNTIF(구역9!E4:E43,"*1차*")+COUNTIF(구역10!E4:E43,"*1차*")+COUNTIF(구역11!E4:E43,"*1차*")+COUNTIF(구역12!E4:E43,"*1차*")+COUNTIF(구역13!E4:E43,"*1차*")+COUNTIF(구역14!E4:E43,"*1차*")+COUNTIF(구역15!E4:E43,"*1차*")+COUNTIF(구역16!E4:E43,"*1차*")+COUNTIF(구역17!E4:E43,"*1차*")+COUNTIF(구역18!E4:E43,"*1차*")+COUNTIF(구역19!E4:E43,"*1차*")+COUNTIF(구역20!E4:E43,"*1차*"))</f>
        <v/>
      </c>
      <c r="C28" t="str">
        <f>IF(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=0,"",COUNTIF(구역1!E4:E43,"*2차*")+COUNTIF(구역2!E4:E43,"*2차*")+COUNTIF(구역3!E4:E43,"*2차*")+COUNTIF(구역4!E4:E43,"*2차*")+COUNTIF(구역5!E4:E43,"*2차*")+COUNTIF(구역6!E4:E43,"*2차*")+COUNTIF(구역7!E4:E43,"*2차*")+COUNTIF(구역8!E4:E43,"*2차*")+COUNTIF(구역9!E4:E43,"*2차*")+COUNTIF(구역10!E4:E43,"*2차*")+COUNTIF(구역11!E4:E43,"*2차*")+COUNTIF(구역12!E4:E43,"*2차*")+COUNTIF(구역13!E4:E43,"*2차*")+COUNTIF(구역14!E4:E43,"*2차*")+COUNTIF(구역15!E4:E43,"*2차*")+COUNTIF(구역16!E4:E43,"*2차*")+COUNTIF(구역17!E4:E43,"*2차*")+COUNTIF(구역18!E4:E43,"*2차*")+COUNTIF(구역19!E4:E43,"*2차*")+COUNTIF(구역20!E4:E43,"*2차*"))</f>
        <v/>
      </c>
      <c r="D28" t="str">
        <f>IF(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=0,"",COUNTIF(구역1!E4:E43,"*3차*")+COUNTIF(구역2!E4:E43,"*3차*")+COUNTIF(구역3!E4:E43,"*3차*")+COUNTIF(구역4!E4:E43,"*3차*")+COUNTIF(구역5!E4:E43,"*3차*")+COUNTIF(구역6!E4:E43,"*3차*")+COUNTIF(구역7!E4:E43,"*3차*")+COUNTIF(구역8!E4:E43,"*3차*")+COUNTIF(구역9!E4:E43,"*3차*")+COUNTIF(구역10!E4:E43,"*3차*")+COUNTIF(구역11!E4:E43,"*3차*")+COUNTIF(구역12!E4:E43,"*3차*")+COUNTIF(구역13!E4:E43,"*3차*")+COUNTIF(구역14!E4:E43,"*3차*")+COUNTIF(구역15!E4:E43,"*3차*")+COUNTIF(구역16!E4:E43,"*3차*")+COUNTIF(구역17!E4:E43,"*3차*")+COUNTIF(구역18!E4:E43,"*3차*")+COUNTIF(구역19!E4:E43,"*3차*")+COUNTIF(구역20!E4:E43,"*3차*"))</f>
        <v/>
      </c>
      <c r="E28" t="str">
        <f>IF(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=0,"",COUNTIF(구역1!E4:E43,"*4차*")+COUNTIF(구역2!E4:E43,"*4차*")+COUNTIF(구역3!E4:E43,"*4차*")+COUNTIF(구역4!E4:E43,"*4차*")+COUNTIF(구역5!E4:E43,"*4차*")+COUNTIF(구역6!E4:E43,"*4차*")+COUNTIF(구역7!E4:E43,"*4차*")+COUNTIF(구역8!E4:E43,"*4차*")+COUNTIF(구역9!E4:E43,"*4차*")+COUNTIF(구역10!E4:E43,"*4차*")+COUNTIF(구역11!E4:E43,"*4차*")+COUNTIF(구역12!E4:E43,"*4차*")+COUNTIF(구역13!E4:E43,"*4차*")+COUNTIF(구역14!E4:E43,"*4차*")+COUNTIF(구역15!E4:E43,"*4차*")+COUNTIF(구역16!E4:E43,"*4차*")+COUNTIF(구역17!E4:E43,"*4차*")+COUNTIF(구역18!E4:E43,"*4차*")+COUNTIF(구역19!E4:E43,"*4차*")+COUNTIF(구역20!E4:E43,"*4차*"))</f>
        <v/>
      </c>
      <c r="F28" t="str">
        <f>IF(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=0,"",COUNTIF(구역1!E4:E43,"*5차*")+COUNTIF(구역2!E4:E43,"*5차*")+COUNTIF(구역3!E4:E43,"*5차*")+COUNTIF(구역4!E4:E43,"*5차*")+COUNTIF(구역5!E4:E43,"*5차*")+COUNTIF(구역6!E4:E43,"*5차*")+COUNTIF(구역7!E4:E43,"*5차*")+COUNTIF(구역8!E4:E43,"*5차*")+COUNTIF(구역9!E4:E43,"*5차*")+COUNTIF(구역10!E4:E43,"*5차*")+COUNTIF(구역11!E4:E43,"*5차*")+COUNTIF(구역12!E4:E43,"*5차*")+COUNTIF(구역13!E4:E43,"*5차*")+COUNTIF(구역14!E4:E43,"*5차*")+COUNTIF(구역15!E4:E43,"*5차*")+COUNTIF(구역16!E4:E43,"*5차*")+COUNTIF(구역17!E4:E43,"*5차*")+COUNTIF(구역18!E4:E43,"*5차*")+COUNTIF(구역19!E4:E43,"*5차*")+COUNTIF(구역20!E4:E43,"*5차*"))</f>
        <v/>
      </c>
      <c r="G28" t="str">
        <f>IF(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=0,"",COUNTIF(구역1!E4:E43,"*6차*")+COUNTIF(구역2!E4:E43,"*6차*")+COUNTIF(구역3!E4:E43,"*6차*")+COUNTIF(구역4!E4:E43,"*6차*")+COUNTIF(구역5!E4:E43,"*6차*")+COUNTIF(구역6!E4:E43,"*6차*")+COUNTIF(구역7!E4:E43,"*6차*")+COUNTIF(구역8!E4:E43,"*6차*")+COUNTIF(구역9!E4:E43,"*6차*")+COUNTIF(구역10!E4:E43,"*6차*")+COUNTIF(구역11!E4:E43,"*6차*")+COUNTIF(구역12!E4:E43,"*6차*")+COUNTIF(구역13!E4:E43,"*6차*")+COUNTIF(구역14!E4:E43,"*6차*")+COUNTIF(구역15!E4:E43,"*6차*")+COUNTIF(구역16!E4:E43,"*6차*")+COUNTIF(구역17!E4:E43,"*6차*")+COUNTIF(구역18!E4:E43,"*6차*")+COUNTIF(구역19!E4:E43,"*6차*")+COUNTIF(구역20!E4:E43,"*6차*"))</f>
        <v/>
      </c>
      <c r="H28" t="str">
        <f>IF(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=0,"",COUNTIF(구역1!E4:E43,"*7차*")+COUNTIF(구역2!E4:E43,"*7차*")+COUNTIF(구역3!E4:E43,"*7차*")+COUNTIF(구역4!E4:E43,"*7차*")+COUNTIF(구역5!E4:E43,"*7차*")+COUNTIF(구역6!E4:E43,"*7차*")+COUNTIF(구역7!E4:E43,"*7차*")+COUNTIF(구역8!E4:E43,"*7차*")+COUNTIF(구역9!E4:E43,"*7차*")+COUNTIF(구역10!E4:E43,"*7차*")+COUNTIF(구역11!E4:E43,"*7차*")+COUNTIF(구역12!E4:E43,"*7차*")+COUNTIF(구역13!E4:E43,"*7차*")+COUNTIF(구역14!E4:E43,"*7차*")+COUNTIF(구역15!E4:E43,"*7차*")+COUNTIF(구역16!E4:E43,"*7차*")+COUNTIF(구역17!E4:E43,"*7차*")+COUNTIF(구역18!E4:E43,"*7차*")+COUNTIF(구역19!E4:E43,"*7차*")+COUNTIF(구역20!E4:E43,"*7차*"))</f>
        <v/>
      </c>
      <c r="I28" t="str">
        <f>IF(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=0,"",COUNTIF(구역1!E4:E43,"*8차*")+COUNTIF(구역2!E4:E43,"*8차*")+COUNTIF(구역3!E4:E43,"*8차*")+COUNTIF(구역4!E4:E43,"*8차*")+COUNTIF(구역5!E4:E43,"*8차*")+COUNTIF(구역6!E4:E43,"*8차*")+COUNTIF(구역7!E4:E43,"*8차*")+COUNTIF(구역8!E4:E43,"*8차*")+COUNTIF(구역9!E4:E43,"*8차*")+COUNTIF(구역10!E4:E43,"*8차*")+COUNTIF(구역11!E4:E43,"*8차*")+COUNTIF(구역12!E4:E43,"*8차*")+COUNTIF(구역13!E4:E43,"*8차*")+COUNTIF(구역14!E4:E43,"*8차*")+COUNTIF(구역15!E4:E43,"*8차*")+COUNTIF(구역16!E4:E43,"*8차*")+COUNTIF(구역17!E4:E43,"*8차*")+COUNTIF(구역18!E4:E43,"*8차*")+COUNTIF(구역19!E4:E43,"*8차*")+COUNTIF(구역20!E4:E43,"*8차*"))</f>
        <v/>
      </c>
      <c r="J28" t="str">
        <f>IF(SUM(B28:I28)=0,"",SUM(B28:I28))</f>
        <v/>
      </c>
    </row>
    <row r="31" spans="1:11">
      <c r="A31" t="s">
        <v>77</v>
      </c>
    </row>
  </sheetData>
  <mergeCells count="8">
    <mergeCell ref="A1:K1"/>
    <mergeCell ref="F2:G2"/>
    <mergeCell ref="B2:C2"/>
    <mergeCell ref="H2:I2"/>
    <mergeCell ref="D2:E2"/>
    <mergeCell ref="A26:K26"/>
    <mergeCell ref="J2:K2"/>
    <mergeCell ref="A2:A3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78</v>
      </c>
      <c r="B1" s="22"/>
      <c r="C1" s="22"/>
      <c r="D1" s="22"/>
      <c r="E1" s="22"/>
      <c r="F1" s="22"/>
      <c r="H1" s="28" t="s">
        <v>79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82</v>
      </c>
      <c r="B1" s="22"/>
      <c r="C1" s="22"/>
      <c r="D1" s="22"/>
      <c r="E1" s="22"/>
      <c r="F1" s="22"/>
      <c r="H1" s="28" t="s">
        <v>83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84</v>
      </c>
      <c r="B1" s="22"/>
      <c r="C1" s="22"/>
      <c r="D1" s="22"/>
      <c r="E1" s="22"/>
      <c r="F1" s="22"/>
      <c r="H1" s="28" t="s">
        <v>85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86</v>
      </c>
      <c r="B1" s="22"/>
      <c r="C1" s="22"/>
      <c r="D1" s="22"/>
      <c r="E1" s="22"/>
      <c r="F1" s="22"/>
      <c r="H1" s="28" t="s">
        <v>87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88</v>
      </c>
      <c r="B1" s="22"/>
      <c r="C1" s="22"/>
      <c r="D1" s="22"/>
      <c r="E1" s="22"/>
      <c r="F1" s="22"/>
      <c r="H1" s="28" t="s">
        <v>89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90</v>
      </c>
      <c r="B1" s="22"/>
      <c r="C1" s="22"/>
      <c r="D1" s="22"/>
      <c r="E1" s="22"/>
      <c r="F1" s="22"/>
      <c r="H1" s="28" t="s">
        <v>91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M47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92</v>
      </c>
      <c r="B1" s="22"/>
      <c r="C1" s="22"/>
      <c r="D1" s="22"/>
      <c r="E1" s="22"/>
      <c r="F1" s="22"/>
      <c r="H1" s="28" t="s">
        <v>93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M47"/>
  <sheetViews>
    <sheetView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94</v>
      </c>
      <c r="B1" s="22"/>
      <c r="C1" s="22"/>
      <c r="D1" s="22"/>
      <c r="E1" s="22"/>
      <c r="F1" s="22"/>
      <c r="H1" s="28" t="s">
        <v>95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M47"/>
  <sheetViews>
    <sheetView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96</v>
      </c>
      <c r="B1" s="22"/>
      <c r="C1" s="22"/>
      <c r="D1" s="22"/>
      <c r="E1" s="22"/>
      <c r="F1" s="22"/>
      <c r="H1" s="28" t="s">
        <v>97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M47"/>
  <sheetViews>
    <sheetView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3" customWidth="1"/>
    <col min="6" max="6" width="12.6328125" customWidth="1"/>
    <col min="7" max="7" width="2" customWidth="1"/>
    <col min="8" max="8" width="4" customWidth="1"/>
    <col min="9" max="9" width="5.54296875" customWidth="1"/>
    <col min="10" max="10" width="9" customWidth="1"/>
    <col min="11" max="11" width="8" customWidth="1"/>
    <col min="12" max="12" width="13" customWidth="1"/>
    <col min="13" max="13" width="12.6328125" customWidth="1"/>
  </cols>
  <sheetData>
    <row r="1" spans="1:13" ht="36" customHeight="1">
      <c r="A1" s="28" t="s">
        <v>98</v>
      </c>
      <c r="B1" s="22"/>
      <c r="C1" s="22"/>
      <c r="D1" s="22"/>
      <c r="E1" s="22"/>
      <c r="F1" s="22"/>
      <c r="H1" s="28" t="s">
        <v>99</v>
      </c>
      <c r="I1" s="22"/>
      <c r="J1" s="22"/>
      <c r="K1" s="22"/>
      <c r="L1" s="22"/>
      <c r="M1" s="22"/>
    </row>
    <row r="2" spans="1:13" ht="24" customHeight="1">
      <c r="A2" s="34" t="s">
        <v>80</v>
      </c>
      <c r="B2" s="22"/>
      <c r="H2" s="34" t="s">
        <v>80</v>
      </c>
      <c r="I2" s="22"/>
    </row>
    <row r="3" spans="1:13" ht="24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81</v>
      </c>
      <c r="F3" s="10" t="s">
        <v>8</v>
      </c>
      <c r="H3" s="9" t="s">
        <v>1</v>
      </c>
      <c r="I3" s="10" t="s">
        <v>2</v>
      </c>
      <c r="J3" s="10" t="s">
        <v>18</v>
      </c>
      <c r="K3" s="10" t="s">
        <v>4</v>
      </c>
      <c r="L3" s="10" t="s">
        <v>81</v>
      </c>
      <c r="M3" s="10" t="s">
        <v>8</v>
      </c>
    </row>
    <row r="4" spans="1:13" ht="21.75" customHeight="1">
      <c r="A4" s="3">
        <v>1</v>
      </c>
      <c r="B4" s="4"/>
      <c r="C4" s="4"/>
      <c r="D4" s="4"/>
      <c r="E4" s="4"/>
      <c r="F4" s="4"/>
      <c r="H4" s="3">
        <v>1</v>
      </c>
      <c r="I4" s="4"/>
      <c r="J4" s="4"/>
      <c r="K4" s="4"/>
      <c r="L4" s="4"/>
      <c r="M4" s="4"/>
    </row>
    <row r="5" spans="1:13" ht="21.75" customHeight="1">
      <c r="A5" s="5">
        <v>2</v>
      </c>
      <c r="B5" s="6"/>
      <c r="C5" s="6"/>
      <c r="D5" s="6"/>
      <c r="E5" s="6"/>
      <c r="F5" s="6"/>
      <c r="H5" s="5">
        <v>2</v>
      </c>
      <c r="I5" s="6"/>
      <c r="J5" s="6"/>
      <c r="K5" s="6"/>
      <c r="L5" s="6"/>
      <c r="M5" s="6"/>
    </row>
    <row r="6" spans="1:13" ht="21.75" customHeight="1">
      <c r="A6" s="3">
        <v>3</v>
      </c>
      <c r="B6" s="4"/>
      <c r="C6" s="4"/>
      <c r="D6" s="4"/>
      <c r="E6" s="4"/>
      <c r="F6" s="4"/>
      <c r="H6" s="3">
        <v>3</v>
      </c>
      <c r="I6" s="4"/>
      <c r="J6" s="4"/>
      <c r="K6" s="4"/>
      <c r="L6" s="4"/>
      <c r="M6" s="4"/>
    </row>
    <row r="7" spans="1:13" ht="21.75" customHeight="1">
      <c r="A7" s="5">
        <v>4</v>
      </c>
      <c r="B7" s="6"/>
      <c r="C7" s="6"/>
      <c r="D7" s="6"/>
      <c r="E7" s="6"/>
      <c r="F7" s="6"/>
      <c r="H7" s="5">
        <v>4</v>
      </c>
      <c r="I7" s="6"/>
      <c r="J7" s="6"/>
      <c r="K7" s="6"/>
      <c r="L7" s="6"/>
      <c r="M7" s="6"/>
    </row>
    <row r="8" spans="1:13" ht="21.75" customHeight="1">
      <c r="A8" s="3">
        <v>5</v>
      </c>
      <c r="B8" s="4"/>
      <c r="C8" s="4"/>
      <c r="D8" s="4"/>
      <c r="E8" s="4"/>
      <c r="F8" s="4"/>
      <c r="H8" s="3">
        <v>5</v>
      </c>
      <c r="I8" s="4"/>
      <c r="J8" s="4"/>
      <c r="K8" s="4"/>
      <c r="L8" s="4"/>
      <c r="M8" s="4"/>
    </row>
    <row r="9" spans="1:13" ht="21.75" customHeight="1">
      <c r="A9" s="5">
        <v>6</v>
      </c>
      <c r="B9" s="6"/>
      <c r="C9" s="6"/>
      <c r="D9" s="6"/>
      <c r="E9" s="6"/>
      <c r="F9" s="6"/>
      <c r="H9" s="5">
        <v>6</v>
      </c>
      <c r="I9" s="6"/>
      <c r="J9" s="6"/>
      <c r="K9" s="6"/>
      <c r="L9" s="6"/>
      <c r="M9" s="6"/>
    </row>
    <row r="10" spans="1:13" ht="21.75" customHeight="1">
      <c r="A10" s="3">
        <v>7</v>
      </c>
      <c r="B10" s="4"/>
      <c r="C10" s="4"/>
      <c r="D10" s="4"/>
      <c r="E10" s="4"/>
      <c r="F10" s="4"/>
      <c r="H10" s="3">
        <v>7</v>
      </c>
      <c r="I10" s="4"/>
      <c r="J10" s="4"/>
      <c r="K10" s="4"/>
      <c r="L10" s="4"/>
      <c r="M10" s="4"/>
    </row>
    <row r="11" spans="1:13" ht="21.75" customHeight="1">
      <c r="A11" s="5">
        <v>8</v>
      </c>
      <c r="B11" s="6"/>
      <c r="C11" s="6"/>
      <c r="D11" s="6"/>
      <c r="E11" s="6"/>
      <c r="F11" s="6"/>
      <c r="H11" s="5">
        <v>8</v>
      </c>
      <c r="I11" s="6"/>
      <c r="J11" s="6"/>
      <c r="K11" s="6"/>
      <c r="L11" s="6"/>
      <c r="M11" s="6"/>
    </row>
    <row r="12" spans="1:13" ht="21.75" customHeight="1">
      <c r="A12" s="3">
        <v>9</v>
      </c>
      <c r="B12" s="4"/>
      <c r="C12" s="4"/>
      <c r="D12" s="4"/>
      <c r="E12" s="4"/>
      <c r="F12" s="4"/>
      <c r="H12" s="3">
        <v>9</v>
      </c>
      <c r="I12" s="4"/>
      <c r="J12" s="4"/>
      <c r="K12" s="4"/>
      <c r="L12" s="4"/>
      <c r="M12" s="4"/>
    </row>
    <row r="13" spans="1:13" ht="21.75" customHeight="1">
      <c r="A13" s="5">
        <v>10</v>
      </c>
      <c r="B13" s="6"/>
      <c r="C13" s="6"/>
      <c r="D13" s="6"/>
      <c r="E13" s="6"/>
      <c r="F13" s="6"/>
      <c r="H13" s="5">
        <v>10</v>
      </c>
      <c r="I13" s="6"/>
      <c r="J13" s="6"/>
      <c r="K13" s="6"/>
      <c r="L13" s="6"/>
      <c r="M13" s="6"/>
    </row>
    <row r="14" spans="1:13" ht="21.75" customHeight="1">
      <c r="A14" s="3">
        <v>11</v>
      </c>
      <c r="B14" s="4"/>
      <c r="C14" s="4"/>
      <c r="D14" s="4"/>
      <c r="E14" s="4"/>
      <c r="F14" s="4"/>
      <c r="H14" s="3">
        <v>11</v>
      </c>
      <c r="I14" s="4"/>
      <c r="J14" s="4"/>
      <c r="K14" s="4"/>
      <c r="L14" s="4"/>
      <c r="M14" s="4"/>
    </row>
    <row r="15" spans="1:13" ht="21.75" customHeight="1">
      <c r="A15" s="5">
        <v>12</v>
      </c>
      <c r="B15" s="6"/>
      <c r="C15" s="6"/>
      <c r="D15" s="6"/>
      <c r="E15" s="6"/>
      <c r="F15" s="6"/>
      <c r="H15" s="5">
        <v>12</v>
      </c>
      <c r="I15" s="6"/>
      <c r="J15" s="6"/>
      <c r="K15" s="6"/>
      <c r="L15" s="6"/>
      <c r="M15" s="6"/>
    </row>
    <row r="16" spans="1:13" ht="21.75" customHeight="1">
      <c r="A16" s="3">
        <v>13</v>
      </c>
      <c r="B16" s="4"/>
      <c r="C16" s="4"/>
      <c r="D16" s="4"/>
      <c r="E16" s="4"/>
      <c r="F16" s="4"/>
      <c r="H16" s="3">
        <v>13</v>
      </c>
      <c r="I16" s="4"/>
      <c r="J16" s="4"/>
      <c r="K16" s="4"/>
      <c r="L16" s="4"/>
      <c r="M16" s="4"/>
    </row>
    <row r="17" spans="1:13" ht="21.75" customHeight="1">
      <c r="A17" s="5">
        <v>14</v>
      </c>
      <c r="B17" s="6"/>
      <c r="C17" s="6"/>
      <c r="D17" s="6"/>
      <c r="E17" s="6"/>
      <c r="F17" s="6"/>
      <c r="H17" s="5">
        <v>14</v>
      </c>
      <c r="I17" s="6"/>
      <c r="J17" s="6"/>
      <c r="K17" s="6"/>
      <c r="L17" s="6"/>
      <c r="M17" s="6"/>
    </row>
    <row r="18" spans="1:13" ht="21.75" customHeight="1">
      <c r="A18" s="3">
        <v>15</v>
      </c>
      <c r="B18" s="4"/>
      <c r="C18" s="4"/>
      <c r="D18" s="4"/>
      <c r="E18" s="4"/>
      <c r="F18" s="4"/>
      <c r="H18" s="3">
        <v>15</v>
      </c>
      <c r="I18" s="4"/>
      <c r="J18" s="4"/>
      <c r="K18" s="4"/>
      <c r="L18" s="4"/>
      <c r="M18" s="4"/>
    </row>
    <row r="19" spans="1:13" ht="21.75" customHeight="1">
      <c r="A19" s="5">
        <v>16</v>
      </c>
      <c r="B19" s="6"/>
      <c r="C19" s="6"/>
      <c r="D19" s="6"/>
      <c r="E19" s="6"/>
      <c r="F19" s="6"/>
      <c r="H19" s="5">
        <v>16</v>
      </c>
      <c r="I19" s="6"/>
      <c r="J19" s="6"/>
      <c r="K19" s="6"/>
      <c r="L19" s="6"/>
      <c r="M19" s="6"/>
    </row>
    <row r="20" spans="1:13" ht="21.75" customHeight="1">
      <c r="A20" s="3">
        <v>17</v>
      </c>
      <c r="B20" s="4"/>
      <c r="C20" s="4"/>
      <c r="D20" s="4"/>
      <c r="E20" s="4"/>
      <c r="F20" s="4"/>
      <c r="H20" s="3">
        <v>17</v>
      </c>
      <c r="I20" s="4"/>
      <c r="J20" s="4"/>
      <c r="K20" s="4"/>
      <c r="L20" s="4"/>
      <c r="M20" s="4"/>
    </row>
    <row r="21" spans="1:13" ht="21.75" customHeight="1">
      <c r="A21" s="5">
        <v>18</v>
      </c>
      <c r="B21" s="6"/>
      <c r="C21" s="6"/>
      <c r="D21" s="6"/>
      <c r="E21" s="6"/>
      <c r="F21" s="6"/>
      <c r="H21" s="5">
        <v>18</v>
      </c>
      <c r="I21" s="6"/>
      <c r="J21" s="6"/>
      <c r="K21" s="6"/>
      <c r="L21" s="6"/>
      <c r="M21" s="6"/>
    </row>
    <row r="22" spans="1:13" ht="21.75" customHeight="1">
      <c r="A22" s="3">
        <v>19</v>
      </c>
      <c r="B22" s="4"/>
      <c r="C22" s="4"/>
      <c r="D22" s="4"/>
      <c r="E22" s="4"/>
      <c r="F22" s="4"/>
      <c r="H22" s="3">
        <v>19</v>
      </c>
      <c r="I22" s="4"/>
      <c r="J22" s="4"/>
      <c r="K22" s="4"/>
      <c r="L22" s="4"/>
      <c r="M22" s="4"/>
    </row>
    <row r="23" spans="1:13" ht="21.75" customHeight="1">
      <c r="A23" s="5">
        <v>20</v>
      </c>
      <c r="B23" s="6"/>
      <c r="C23" s="6"/>
      <c r="D23" s="6"/>
      <c r="E23" s="6"/>
      <c r="F23" s="6"/>
      <c r="H23" s="5">
        <v>20</v>
      </c>
      <c r="I23" s="6"/>
      <c r="J23" s="6"/>
      <c r="K23" s="6"/>
      <c r="L23" s="6"/>
      <c r="M23" s="6"/>
    </row>
    <row r="24" spans="1:13" ht="21.75" customHeight="1">
      <c r="A24" s="3">
        <v>21</v>
      </c>
      <c r="B24" s="4"/>
      <c r="C24" s="4"/>
      <c r="D24" s="4"/>
      <c r="E24" s="4"/>
      <c r="F24" s="4"/>
      <c r="H24" s="3">
        <v>21</v>
      </c>
      <c r="I24" s="4"/>
      <c r="J24" s="4"/>
      <c r="K24" s="4"/>
      <c r="L24" s="4"/>
      <c r="M24" s="4"/>
    </row>
    <row r="25" spans="1:13" ht="21.75" customHeight="1">
      <c r="A25" s="5">
        <v>22</v>
      </c>
      <c r="B25" s="6"/>
      <c r="C25" s="6"/>
      <c r="D25" s="6"/>
      <c r="E25" s="6"/>
      <c r="F25" s="6"/>
      <c r="H25" s="5">
        <v>22</v>
      </c>
      <c r="I25" s="6"/>
      <c r="J25" s="6"/>
      <c r="K25" s="6"/>
      <c r="L25" s="6"/>
      <c r="M25" s="6"/>
    </row>
    <row r="26" spans="1:13" ht="21.75" customHeight="1">
      <c r="A26" s="3">
        <v>23</v>
      </c>
      <c r="B26" s="4"/>
      <c r="C26" s="4"/>
      <c r="D26" s="4"/>
      <c r="E26" s="4"/>
      <c r="F26" s="4"/>
      <c r="H26" s="3">
        <v>23</v>
      </c>
      <c r="I26" s="4"/>
      <c r="J26" s="4"/>
      <c r="K26" s="4"/>
      <c r="L26" s="4"/>
      <c r="M26" s="4"/>
    </row>
    <row r="27" spans="1:13" ht="21.75" customHeight="1">
      <c r="A27" s="5">
        <v>24</v>
      </c>
      <c r="B27" s="6"/>
      <c r="C27" s="6"/>
      <c r="D27" s="6"/>
      <c r="E27" s="6"/>
      <c r="F27" s="6"/>
      <c r="H27" s="5">
        <v>24</v>
      </c>
      <c r="I27" s="6"/>
      <c r="J27" s="6"/>
      <c r="K27" s="6"/>
      <c r="L27" s="6"/>
      <c r="M27" s="6"/>
    </row>
    <row r="28" spans="1:13" ht="21.75" customHeight="1">
      <c r="A28" s="3">
        <v>25</v>
      </c>
      <c r="B28" s="4"/>
      <c r="C28" s="4"/>
      <c r="D28" s="4"/>
      <c r="E28" s="4"/>
      <c r="F28" s="4"/>
      <c r="H28" s="3">
        <v>25</v>
      </c>
      <c r="I28" s="4"/>
      <c r="J28" s="4"/>
      <c r="K28" s="4"/>
      <c r="L28" s="4"/>
      <c r="M28" s="4"/>
    </row>
    <row r="29" spans="1:13" ht="21.75" customHeight="1">
      <c r="A29" s="5">
        <v>26</v>
      </c>
      <c r="B29" s="6"/>
      <c r="C29" s="6"/>
      <c r="D29" s="6"/>
      <c r="E29" s="6"/>
      <c r="F29" s="6"/>
      <c r="H29" s="5">
        <v>26</v>
      </c>
      <c r="I29" s="6"/>
      <c r="J29" s="6"/>
      <c r="K29" s="6"/>
      <c r="L29" s="6"/>
      <c r="M29" s="6"/>
    </row>
    <row r="30" spans="1:13" ht="21.75" customHeight="1">
      <c r="A30" s="3">
        <v>27</v>
      </c>
      <c r="B30" s="4"/>
      <c r="C30" s="4"/>
      <c r="D30" s="4"/>
      <c r="E30" s="4"/>
      <c r="F30" s="4"/>
      <c r="H30" s="3">
        <v>27</v>
      </c>
      <c r="I30" s="4"/>
      <c r="J30" s="4"/>
      <c r="K30" s="4"/>
      <c r="L30" s="4"/>
      <c r="M30" s="4"/>
    </row>
    <row r="31" spans="1:13" ht="21.75" customHeight="1">
      <c r="A31" s="5">
        <v>28</v>
      </c>
      <c r="B31" s="6"/>
      <c r="C31" s="6"/>
      <c r="D31" s="6"/>
      <c r="E31" s="6"/>
      <c r="F31" s="6"/>
      <c r="H31" s="5">
        <v>28</v>
      </c>
      <c r="I31" s="6"/>
      <c r="J31" s="6"/>
      <c r="K31" s="6"/>
      <c r="L31" s="6"/>
      <c r="M31" s="6"/>
    </row>
    <row r="32" spans="1:13" ht="21.75" customHeight="1">
      <c r="A32" s="3">
        <v>29</v>
      </c>
      <c r="B32" s="4"/>
      <c r="C32" s="4"/>
      <c r="D32" s="4"/>
      <c r="E32" s="4"/>
      <c r="F32" s="4"/>
      <c r="H32" s="3">
        <v>29</v>
      </c>
      <c r="I32" s="4"/>
      <c r="J32" s="4"/>
      <c r="K32" s="4"/>
      <c r="L32" s="4"/>
      <c r="M32" s="4"/>
    </row>
    <row r="33" spans="1:13" ht="21.75" customHeight="1">
      <c r="A33" s="5">
        <v>30</v>
      </c>
      <c r="B33" s="6"/>
      <c r="C33" s="6"/>
      <c r="D33" s="6"/>
      <c r="E33" s="6"/>
      <c r="F33" s="6"/>
      <c r="H33" s="5">
        <v>30</v>
      </c>
      <c r="I33" s="6"/>
      <c r="J33" s="6"/>
      <c r="K33" s="6"/>
      <c r="L33" s="6"/>
      <c r="M33" s="6"/>
    </row>
    <row r="34" spans="1:13" ht="21.75" customHeight="1">
      <c r="A34" s="3">
        <v>31</v>
      </c>
      <c r="B34" s="4"/>
      <c r="C34" s="4"/>
      <c r="D34" s="4"/>
      <c r="E34" s="4"/>
      <c r="F34" s="4"/>
      <c r="H34" s="3">
        <v>31</v>
      </c>
      <c r="I34" s="4"/>
      <c r="J34" s="4"/>
      <c r="K34" s="4"/>
      <c r="L34" s="4"/>
      <c r="M34" s="4"/>
    </row>
    <row r="35" spans="1:13" ht="21.75" customHeight="1">
      <c r="A35" s="5">
        <v>32</v>
      </c>
      <c r="B35" s="6"/>
      <c r="C35" s="6"/>
      <c r="D35" s="6"/>
      <c r="E35" s="6"/>
      <c r="F35" s="6"/>
      <c r="H35" s="5">
        <v>32</v>
      </c>
      <c r="I35" s="6"/>
      <c r="J35" s="6"/>
      <c r="K35" s="6"/>
      <c r="L35" s="6"/>
      <c r="M35" s="6"/>
    </row>
    <row r="36" spans="1:13" ht="21.75" customHeight="1">
      <c r="A36" s="3">
        <v>33</v>
      </c>
      <c r="B36" s="4"/>
      <c r="C36" s="4"/>
      <c r="D36" s="4"/>
      <c r="E36" s="4"/>
      <c r="F36" s="4"/>
      <c r="H36" s="3">
        <v>33</v>
      </c>
      <c r="I36" s="4"/>
      <c r="J36" s="4"/>
      <c r="K36" s="4"/>
      <c r="L36" s="4"/>
      <c r="M36" s="4"/>
    </row>
    <row r="37" spans="1:13" ht="21.75" customHeight="1">
      <c r="A37" s="5">
        <v>34</v>
      </c>
      <c r="B37" s="6"/>
      <c r="C37" s="6"/>
      <c r="D37" s="6"/>
      <c r="E37" s="6"/>
      <c r="F37" s="6"/>
      <c r="H37" s="5">
        <v>34</v>
      </c>
      <c r="I37" s="6"/>
      <c r="J37" s="6"/>
      <c r="K37" s="6"/>
      <c r="L37" s="6"/>
      <c r="M37" s="6"/>
    </row>
    <row r="38" spans="1:13" ht="21.75" customHeight="1">
      <c r="A38" s="3">
        <v>35</v>
      </c>
      <c r="B38" s="4"/>
      <c r="C38" s="4"/>
      <c r="D38" s="4"/>
      <c r="E38" s="4"/>
      <c r="F38" s="4"/>
      <c r="H38" s="3">
        <v>35</v>
      </c>
      <c r="I38" s="4"/>
      <c r="J38" s="4"/>
      <c r="K38" s="4"/>
      <c r="L38" s="4"/>
      <c r="M38" s="4"/>
    </row>
    <row r="39" spans="1:13" ht="21.75" customHeight="1">
      <c r="A39" s="5">
        <v>36</v>
      </c>
      <c r="B39" s="6"/>
      <c r="C39" s="6"/>
      <c r="D39" s="6"/>
      <c r="E39" s="6"/>
      <c r="F39" s="6"/>
      <c r="H39" s="5">
        <v>36</v>
      </c>
      <c r="I39" s="6"/>
      <c r="J39" s="6"/>
      <c r="K39" s="6"/>
      <c r="L39" s="6"/>
      <c r="M39" s="6"/>
    </row>
    <row r="40" spans="1:13" ht="21.75" customHeight="1">
      <c r="A40" s="3">
        <v>37</v>
      </c>
      <c r="B40" s="4"/>
      <c r="C40" s="4"/>
      <c r="D40" s="4"/>
      <c r="E40" s="4"/>
      <c r="F40" s="4"/>
      <c r="H40" s="3">
        <v>37</v>
      </c>
      <c r="I40" s="4"/>
      <c r="J40" s="4"/>
      <c r="K40" s="4"/>
      <c r="L40" s="4"/>
      <c r="M40" s="4"/>
    </row>
    <row r="41" spans="1:13" ht="21.75" customHeight="1">
      <c r="A41" s="5">
        <v>38</v>
      </c>
      <c r="B41" s="6"/>
      <c r="C41" s="6"/>
      <c r="D41" s="6"/>
      <c r="E41" s="6"/>
      <c r="F41" s="6"/>
      <c r="H41" s="5">
        <v>38</v>
      </c>
      <c r="I41" s="6"/>
      <c r="J41" s="6"/>
      <c r="K41" s="6"/>
      <c r="L41" s="6"/>
      <c r="M41" s="6"/>
    </row>
    <row r="42" spans="1:13" ht="21.75" customHeight="1">
      <c r="A42" s="3">
        <v>39</v>
      </c>
      <c r="B42" s="4"/>
      <c r="C42" s="4"/>
      <c r="D42" s="4"/>
      <c r="E42" s="4"/>
      <c r="F42" s="4"/>
      <c r="H42" s="3">
        <v>39</v>
      </c>
      <c r="I42" s="4"/>
      <c r="J42" s="4"/>
      <c r="K42" s="4"/>
      <c r="L42" s="4"/>
      <c r="M42" s="4"/>
    </row>
    <row r="43" spans="1:13" ht="21.75" customHeight="1">
      <c r="A43" s="5">
        <v>40</v>
      </c>
      <c r="B43" s="6"/>
      <c r="C43" s="6"/>
      <c r="D43" s="6"/>
      <c r="E43" s="6"/>
      <c r="F43" s="6"/>
      <c r="H43" s="5">
        <v>40</v>
      </c>
      <c r="I43" s="6"/>
      <c r="J43" s="6"/>
      <c r="K43" s="6"/>
      <c r="L43" s="6"/>
      <c r="M43" s="6"/>
    </row>
    <row r="44" spans="1:13" ht="21.75" customHeight="1">
      <c r="A44" s="3">
        <v>41</v>
      </c>
      <c r="B44" s="4"/>
      <c r="C44" s="4"/>
      <c r="D44" s="4"/>
      <c r="E44" s="4"/>
      <c r="F44" s="4"/>
      <c r="H44" s="3">
        <v>41</v>
      </c>
      <c r="I44" s="4"/>
      <c r="J44" s="4"/>
      <c r="K44" s="4"/>
      <c r="L44" s="4"/>
      <c r="M44" s="4"/>
    </row>
    <row r="45" spans="1:13" ht="21.75" customHeight="1">
      <c r="A45" s="5">
        <v>42</v>
      </c>
      <c r="B45" s="6"/>
      <c r="C45" s="6"/>
      <c r="D45" s="6"/>
      <c r="E45" s="6"/>
      <c r="F45" s="6"/>
      <c r="H45" s="5">
        <v>42</v>
      </c>
      <c r="I45" s="6"/>
      <c r="J45" s="6"/>
      <c r="K45" s="6"/>
      <c r="L45" s="6"/>
      <c r="M45" s="6"/>
    </row>
    <row r="46" spans="1:13" ht="21.75" customHeight="1">
      <c r="A46" s="3">
        <v>43</v>
      </c>
      <c r="B46" s="4"/>
      <c r="C46" s="4"/>
      <c r="D46" s="4"/>
      <c r="E46" s="4"/>
      <c r="F46" s="4"/>
      <c r="H46" s="3">
        <v>43</v>
      </c>
      <c r="I46" s="4"/>
      <c r="J46" s="4"/>
      <c r="K46" s="4"/>
      <c r="L46" s="4"/>
      <c r="M46" s="4"/>
    </row>
    <row r="47" spans="1:13" ht="15" customHeight="1">
      <c r="A47" s="27" t="s">
        <v>16</v>
      </c>
      <c r="B47" s="22"/>
      <c r="C47" s="22"/>
      <c r="D47" s="19" t="str">
        <f t="array" ref="D47">IF(SUMPRODUCT((D4:D46&lt;&gt;"")*1)=0,"",SUMPRODUCT((D4:D46&lt;&gt;"")*1))</f>
        <v/>
      </c>
      <c r="E47" s="19"/>
      <c r="F47" s="19"/>
      <c r="H47" s="27" t="s">
        <v>16</v>
      </c>
      <c r="I47" s="22"/>
      <c r="J47" s="22"/>
      <c r="K47" s="19" t="str">
        <f t="array" ref="K47">IF(SUMPRODUCT((K4:K46&lt;&gt;"")*1)=0,"",SUMPRODUCT((K4:K46&lt;&gt;"")*1))</f>
        <v/>
      </c>
      <c r="L47" s="19"/>
      <c r="M47" s="19"/>
    </row>
  </sheetData>
  <mergeCells count="6">
    <mergeCell ref="A2:B2"/>
    <mergeCell ref="H1:M1"/>
    <mergeCell ref="H2:I2"/>
    <mergeCell ref="A47:C47"/>
    <mergeCell ref="A1:F1"/>
    <mergeCell ref="H47:J4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K220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4.6328125" customWidth="1"/>
    <col min="6" max="6" width="2" customWidth="1"/>
    <col min="7" max="7" width="4" customWidth="1"/>
    <col min="8" max="8" width="5.54296875" customWidth="1"/>
    <col min="9" max="9" width="9" customWidth="1"/>
    <col min="10" max="10" width="8" customWidth="1"/>
    <col min="11" max="11" width="14.6328125" customWidth="1"/>
  </cols>
  <sheetData>
    <row r="1" spans="1:11" ht="30" customHeight="1">
      <c r="A1" s="28" t="s">
        <v>100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21.75" customHeight="1">
      <c r="A2" s="35" t="s">
        <v>44</v>
      </c>
      <c r="B2" s="22"/>
      <c r="C2" s="22"/>
      <c r="D2" s="22"/>
      <c r="E2" s="22"/>
      <c r="G2" s="35" t="s">
        <v>45</v>
      </c>
      <c r="H2" s="22"/>
      <c r="I2" s="22"/>
      <c r="J2" s="22"/>
      <c r="K2" s="22"/>
    </row>
    <row r="3" spans="1:11" ht="21.75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</v>
      </c>
      <c r="G3" s="9" t="s">
        <v>1</v>
      </c>
      <c r="H3" s="10" t="s">
        <v>2</v>
      </c>
      <c r="I3" s="10" t="s">
        <v>18</v>
      </c>
      <c r="J3" s="10" t="s">
        <v>4</v>
      </c>
      <c r="K3" s="10" t="s">
        <v>8</v>
      </c>
    </row>
    <row r="4" spans="1:11" ht="19.5" customHeight="1">
      <c r="A4" s="3">
        <v>1</v>
      </c>
      <c r="B4" s="4"/>
      <c r="C4" s="4"/>
      <c r="D4" s="4"/>
      <c r="E4" s="4"/>
      <c r="H4" s="4"/>
      <c r="I4" s="4"/>
      <c r="J4" s="4"/>
      <c r="K4" s="4"/>
    </row>
    <row r="5" spans="1:11" ht="19.5" customHeight="1">
      <c r="A5" s="5">
        <v>2</v>
      </c>
      <c r="B5" s="6"/>
      <c r="C5" s="6"/>
      <c r="D5" s="6"/>
      <c r="E5" s="6"/>
      <c r="H5" s="6"/>
      <c r="I5" s="6"/>
      <c r="J5" s="6"/>
      <c r="K5" s="6"/>
    </row>
    <row r="6" spans="1:11" ht="19.5" customHeight="1">
      <c r="A6" s="3">
        <v>3</v>
      </c>
      <c r="B6" s="4"/>
      <c r="C6" s="4"/>
      <c r="D6" s="4"/>
      <c r="E6" s="4"/>
      <c r="H6" s="4"/>
      <c r="I6" s="4"/>
      <c r="J6" s="4"/>
      <c r="K6" s="4"/>
    </row>
    <row r="7" spans="1:11" ht="19.5" customHeight="1">
      <c r="A7" s="5">
        <v>4</v>
      </c>
      <c r="B7" s="6"/>
      <c r="C7" s="6"/>
      <c r="D7" s="6"/>
      <c r="E7" s="6"/>
      <c r="H7" s="6"/>
      <c r="I7" s="6"/>
      <c r="J7" s="6"/>
      <c r="K7" s="6"/>
    </row>
    <row r="8" spans="1:11" ht="19.5" customHeight="1">
      <c r="A8" s="3">
        <v>5</v>
      </c>
      <c r="B8" s="4"/>
      <c r="C8" s="4"/>
      <c r="D8" s="4"/>
      <c r="E8" s="4"/>
      <c r="H8" s="4"/>
      <c r="I8" s="4"/>
      <c r="J8" s="4"/>
      <c r="K8" s="4"/>
    </row>
    <row r="9" spans="1:11" ht="19.5" customHeight="1">
      <c r="A9" s="5">
        <v>6</v>
      </c>
      <c r="B9" s="6"/>
      <c r="C9" s="6"/>
      <c r="D9" s="6"/>
      <c r="E9" s="6"/>
      <c r="H9" s="6"/>
      <c r="I9" s="6"/>
      <c r="J9" s="6"/>
      <c r="K9" s="6"/>
    </row>
    <row r="10" spans="1:11" ht="19.5" customHeight="1">
      <c r="A10" s="3">
        <v>7</v>
      </c>
      <c r="B10" s="4"/>
      <c r="C10" s="4"/>
      <c r="D10" s="4"/>
      <c r="E10" s="4"/>
      <c r="H10" s="4"/>
      <c r="I10" s="4"/>
      <c r="J10" s="4"/>
      <c r="K10" s="4"/>
    </row>
    <row r="11" spans="1:11" ht="19.5" customHeight="1">
      <c r="A11" s="5">
        <v>8</v>
      </c>
      <c r="B11" s="6"/>
      <c r="C11" s="6"/>
      <c r="D11" s="6"/>
      <c r="E11" s="6"/>
      <c r="H11" s="6"/>
      <c r="I11" s="6"/>
      <c r="J11" s="6"/>
      <c r="K11" s="6"/>
    </row>
    <row r="12" spans="1:11" ht="19.5" customHeight="1">
      <c r="A12" s="3">
        <v>9</v>
      </c>
      <c r="B12" s="4"/>
      <c r="C12" s="4"/>
      <c r="D12" s="4"/>
      <c r="E12" s="4"/>
      <c r="H12" s="4"/>
      <c r="I12" s="4"/>
      <c r="J12" s="4"/>
      <c r="K12" s="4"/>
    </row>
    <row r="13" spans="1:11" ht="19.5" customHeight="1">
      <c r="A13" s="5">
        <v>10</v>
      </c>
      <c r="B13" s="6"/>
      <c r="C13" s="6"/>
      <c r="D13" s="6"/>
      <c r="E13" s="6"/>
      <c r="H13" s="6"/>
      <c r="I13" s="6"/>
      <c r="J13" s="6"/>
      <c r="K13" s="6"/>
    </row>
    <row r="14" spans="1:11" ht="19.5" customHeight="1">
      <c r="A14" s="3">
        <v>11</v>
      </c>
      <c r="B14" s="4"/>
      <c r="C14" s="4"/>
      <c r="D14" s="4"/>
      <c r="E14" s="4"/>
      <c r="H14" s="4"/>
      <c r="I14" s="4"/>
      <c r="J14" s="4"/>
      <c r="K14" s="4"/>
    </row>
    <row r="15" spans="1:11" ht="19.5" customHeight="1">
      <c r="A15" s="5">
        <v>12</v>
      </c>
      <c r="B15" s="6"/>
      <c r="C15" s="6"/>
      <c r="D15" s="6"/>
      <c r="E15" s="6"/>
      <c r="H15" s="6"/>
      <c r="I15" s="6"/>
      <c r="J15" s="6"/>
      <c r="K15" s="6"/>
    </row>
    <row r="16" spans="1:11" ht="19.5" customHeight="1">
      <c r="A16" s="3">
        <v>13</v>
      </c>
      <c r="B16" s="4"/>
      <c r="C16" s="4"/>
      <c r="D16" s="4"/>
      <c r="E16" s="4"/>
      <c r="H16" s="4"/>
      <c r="I16" s="4"/>
      <c r="J16" s="4"/>
      <c r="K16" s="4"/>
    </row>
    <row r="17" spans="1:11" ht="19.5" customHeight="1">
      <c r="A17" s="5">
        <v>14</v>
      </c>
      <c r="B17" s="6"/>
      <c r="C17" s="6"/>
      <c r="D17" s="6"/>
      <c r="E17" s="6"/>
      <c r="H17" s="6"/>
      <c r="I17" s="6"/>
      <c r="J17" s="6"/>
      <c r="K17" s="6"/>
    </row>
    <row r="18" spans="1:11" ht="19.5" customHeight="1">
      <c r="A18" s="3">
        <v>15</v>
      </c>
      <c r="B18" s="4"/>
      <c r="C18" s="4"/>
      <c r="D18" s="4"/>
      <c r="E18" s="4"/>
      <c r="H18" s="4"/>
      <c r="I18" s="4"/>
      <c r="J18" s="4"/>
      <c r="K18" s="4"/>
    </row>
    <row r="19" spans="1:11" ht="19.5" customHeight="1">
      <c r="A19" s="5">
        <v>16</v>
      </c>
      <c r="B19" s="6"/>
      <c r="C19" s="6"/>
      <c r="D19" s="6"/>
      <c r="E19" s="6"/>
      <c r="H19" s="6"/>
      <c r="I19" s="6"/>
      <c r="J19" s="6"/>
      <c r="K19" s="6"/>
    </row>
    <row r="20" spans="1:11" ht="19.5" customHeight="1">
      <c r="A20" s="3">
        <v>17</v>
      </c>
      <c r="B20" s="4"/>
      <c r="C20" s="4"/>
      <c r="D20" s="4"/>
      <c r="E20" s="4"/>
      <c r="H20" s="4"/>
      <c r="I20" s="4"/>
      <c r="J20" s="4"/>
      <c r="K20" s="4"/>
    </row>
    <row r="21" spans="1:11" ht="19.5" customHeight="1">
      <c r="A21" s="5">
        <v>18</v>
      </c>
      <c r="B21" s="6"/>
      <c r="C21" s="6"/>
      <c r="D21" s="6"/>
      <c r="E21" s="6"/>
      <c r="H21" s="6"/>
      <c r="I21" s="6"/>
      <c r="J21" s="6"/>
      <c r="K21" s="6"/>
    </row>
    <row r="22" spans="1:11" ht="19.5" customHeight="1">
      <c r="A22" s="3">
        <v>19</v>
      </c>
      <c r="B22" s="4"/>
      <c r="C22" s="4"/>
      <c r="D22" s="4"/>
      <c r="E22" s="4"/>
      <c r="H22" s="4"/>
      <c r="I22" s="4"/>
      <c r="J22" s="4"/>
      <c r="K22" s="4"/>
    </row>
    <row r="23" spans="1:11" ht="19.5" customHeight="1">
      <c r="A23" s="5">
        <v>20</v>
      </c>
      <c r="B23" s="6"/>
      <c r="C23" s="6"/>
      <c r="D23" s="6"/>
      <c r="E23" s="6"/>
      <c r="H23" s="6"/>
      <c r="I23" s="6"/>
      <c r="J23" s="6"/>
      <c r="K23" s="6"/>
    </row>
    <row r="24" spans="1:11" ht="19.5" customHeight="1">
      <c r="A24" s="3">
        <v>21</v>
      </c>
      <c r="B24" s="4"/>
      <c r="C24" s="4"/>
      <c r="D24" s="4"/>
      <c r="E24" s="4"/>
      <c r="H24" s="4"/>
      <c r="I24" s="4"/>
      <c r="J24" s="4"/>
      <c r="K24" s="4"/>
    </row>
    <row r="25" spans="1:11" ht="19.5" customHeight="1">
      <c r="A25" s="5">
        <v>22</v>
      </c>
      <c r="B25" s="6"/>
      <c r="C25" s="6"/>
      <c r="D25" s="6"/>
      <c r="E25" s="6"/>
      <c r="H25" s="6"/>
      <c r="I25" s="6"/>
      <c r="J25" s="6"/>
      <c r="K25" s="6"/>
    </row>
    <row r="26" spans="1:11" ht="19.5" customHeight="1">
      <c r="A26" s="3">
        <v>23</v>
      </c>
      <c r="B26" s="4"/>
      <c r="C26" s="4"/>
      <c r="D26" s="4"/>
      <c r="E26" s="4"/>
      <c r="H26" s="4"/>
      <c r="I26" s="4"/>
      <c r="J26" s="4"/>
      <c r="K26" s="4"/>
    </row>
    <row r="27" spans="1:11" ht="19.5" customHeight="1">
      <c r="A27" s="5">
        <v>24</v>
      </c>
      <c r="B27" s="6"/>
      <c r="C27" s="6"/>
      <c r="D27" s="6"/>
      <c r="E27" s="6"/>
      <c r="H27" s="6"/>
      <c r="I27" s="6"/>
      <c r="J27" s="6"/>
      <c r="K27" s="6"/>
    </row>
    <row r="28" spans="1:11" ht="19.5" customHeight="1">
      <c r="A28" s="3">
        <v>25</v>
      </c>
      <c r="B28" s="4"/>
      <c r="C28" s="4"/>
      <c r="D28" s="4"/>
      <c r="E28" s="4"/>
      <c r="H28" s="4"/>
      <c r="I28" s="4"/>
      <c r="J28" s="4"/>
      <c r="K28" s="4"/>
    </row>
    <row r="29" spans="1:11" ht="19.5" customHeight="1">
      <c r="A29" s="5">
        <v>26</v>
      </c>
      <c r="B29" s="6"/>
      <c r="C29" s="6"/>
      <c r="D29" s="6"/>
      <c r="E29" s="6"/>
      <c r="H29" s="6"/>
      <c r="I29" s="6"/>
      <c r="J29" s="6"/>
      <c r="K29" s="6"/>
    </row>
    <row r="30" spans="1:11" ht="19.5" customHeight="1">
      <c r="A30" s="3">
        <v>27</v>
      </c>
      <c r="B30" s="4"/>
      <c r="C30" s="4"/>
      <c r="D30" s="4"/>
      <c r="E30" s="4"/>
      <c r="H30" s="4"/>
      <c r="I30" s="4"/>
      <c r="J30" s="4"/>
      <c r="K30" s="4"/>
    </row>
    <row r="31" spans="1:11" ht="19.5" customHeight="1">
      <c r="A31" s="5">
        <v>28</v>
      </c>
      <c r="B31" s="6"/>
      <c r="C31" s="6"/>
      <c r="D31" s="6"/>
      <c r="E31" s="6"/>
      <c r="H31" s="6"/>
      <c r="I31" s="6"/>
      <c r="J31" s="6"/>
      <c r="K31" s="6"/>
    </row>
    <row r="32" spans="1:11" ht="19.5" customHeight="1">
      <c r="A32" s="3">
        <v>29</v>
      </c>
      <c r="B32" s="4"/>
      <c r="C32" s="4"/>
      <c r="D32" s="4"/>
      <c r="E32" s="4"/>
      <c r="H32" s="4"/>
      <c r="I32" s="4"/>
      <c r="J32" s="4"/>
      <c r="K32" s="4"/>
    </row>
    <row r="33" spans="1:11" ht="19.5" customHeight="1">
      <c r="A33" s="5">
        <v>30</v>
      </c>
      <c r="B33" s="6"/>
      <c r="C33" s="6"/>
      <c r="D33" s="6"/>
      <c r="E33" s="6"/>
      <c r="H33" s="6"/>
      <c r="I33" s="6"/>
      <c r="J33" s="6"/>
      <c r="K33" s="6"/>
    </row>
    <row r="34" spans="1:11" ht="19.5" customHeight="1">
      <c r="A34" s="3">
        <v>31</v>
      </c>
      <c r="B34" s="4"/>
      <c r="C34" s="4"/>
      <c r="D34" s="4"/>
      <c r="E34" s="4"/>
      <c r="H34" s="4"/>
      <c r="I34" s="4"/>
      <c r="J34" s="4"/>
      <c r="K34" s="4"/>
    </row>
    <row r="35" spans="1:11" ht="19.5" customHeight="1">
      <c r="A35" s="5">
        <v>32</v>
      </c>
      <c r="B35" s="6"/>
      <c r="C35" s="6"/>
      <c r="D35" s="6"/>
      <c r="E35" s="6"/>
      <c r="H35" s="6"/>
      <c r="I35" s="6"/>
      <c r="J35" s="6"/>
      <c r="K35" s="6"/>
    </row>
    <row r="36" spans="1:11" ht="19.5" customHeight="1">
      <c r="A36" s="3">
        <v>33</v>
      </c>
      <c r="B36" s="4"/>
      <c r="C36" s="4"/>
      <c r="D36" s="4"/>
      <c r="E36" s="4"/>
      <c r="H36" s="4"/>
      <c r="I36" s="4"/>
      <c r="J36" s="4"/>
      <c r="K36" s="4"/>
    </row>
    <row r="37" spans="1:11" ht="19.5" customHeight="1">
      <c r="A37" s="5">
        <v>34</v>
      </c>
      <c r="B37" s="6"/>
      <c r="C37" s="6"/>
      <c r="D37" s="6"/>
      <c r="E37" s="6"/>
      <c r="H37" s="6"/>
      <c r="I37" s="6"/>
      <c r="J37" s="6"/>
      <c r="K37" s="6"/>
    </row>
    <row r="38" spans="1:11" ht="19.5" customHeight="1">
      <c r="A38" s="3">
        <v>35</v>
      </c>
      <c r="B38" s="4"/>
      <c r="C38" s="4"/>
      <c r="D38" s="4"/>
      <c r="E38" s="4"/>
      <c r="H38" s="4"/>
      <c r="I38" s="4"/>
      <c r="J38" s="4"/>
      <c r="K38" s="4"/>
    </row>
    <row r="39" spans="1:11" ht="19.5" customHeight="1">
      <c r="A39" s="5">
        <v>36</v>
      </c>
      <c r="B39" s="6"/>
      <c r="C39" s="6"/>
      <c r="D39" s="6"/>
      <c r="E39" s="6"/>
      <c r="H39" s="6"/>
      <c r="I39" s="6"/>
      <c r="J39" s="6"/>
      <c r="K39" s="6"/>
    </row>
    <row r="40" spans="1:11" ht="19.5" customHeight="1">
      <c r="A40" s="3">
        <v>37</v>
      </c>
      <c r="B40" s="4"/>
      <c r="C40" s="4"/>
      <c r="D40" s="4"/>
      <c r="E40" s="4"/>
      <c r="H40" s="4"/>
      <c r="I40" s="4"/>
      <c r="J40" s="4"/>
      <c r="K40" s="4"/>
    </row>
    <row r="41" spans="1:11" ht="19.5" customHeight="1">
      <c r="A41" s="5">
        <v>38</v>
      </c>
      <c r="B41" s="6"/>
      <c r="C41" s="6"/>
      <c r="D41" s="6"/>
      <c r="E41" s="6"/>
      <c r="H41" s="6"/>
      <c r="I41" s="6"/>
      <c r="J41" s="6"/>
      <c r="K41" s="6"/>
    </row>
    <row r="42" spans="1:11" ht="19.5" customHeight="1">
      <c r="A42" s="3">
        <v>39</v>
      </c>
      <c r="B42" s="4"/>
      <c r="C42" s="4"/>
      <c r="D42" s="4"/>
      <c r="E42" s="4"/>
      <c r="H42" s="4"/>
      <c r="I42" s="4"/>
      <c r="J42" s="4"/>
      <c r="K42" s="4"/>
    </row>
    <row r="43" spans="1:11" ht="19.5" customHeight="1">
      <c r="A43" s="5">
        <v>40</v>
      </c>
      <c r="B43" s="6"/>
      <c r="C43" s="6"/>
      <c r="D43" s="6"/>
      <c r="E43" s="6"/>
      <c r="H43" s="6"/>
      <c r="I43" s="6"/>
      <c r="J43" s="6"/>
      <c r="K43" s="6"/>
    </row>
    <row r="44" spans="1:11" ht="15" customHeight="1">
      <c r="A44" s="27" t="s">
        <v>101</v>
      </c>
      <c r="B44" s="22"/>
      <c r="C44" s="22"/>
      <c r="D44" s="22"/>
      <c r="E44" s="22"/>
      <c r="G44" s="27" t="s">
        <v>101</v>
      </c>
      <c r="H44" s="22"/>
      <c r="I44" s="22"/>
      <c r="J44" s="22"/>
      <c r="K44" s="22"/>
    </row>
    <row r="45" spans="1:11" ht="23.9" customHeight="1">
      <c r="A45" s="28" t="s">
        <v>102</v>
      </c>
      <c r="B45" s="22"/>
      <c r="C45" s="22"/>
      <c r="D45" s="22"/>
      <c r="E45" s="22"/>
      <c r="F45" s="22"/>
      <c r="G45" s="22"/>
      <c r="H45" s="22"/>
      <c r="I45" s="22"/>
      <c r="J45" s="22"/>
      <c r="K45" s="22"/>
    </row>
    <row r="46" spans="1:11" ht="15" customHeight="1">
      <c r="A46" s="35" t="s">
        <v>44</v>
      </c>
      <c r="B46" s="22"/>
      <c r="C46" s="22"/>
      <c r="D46" s="22"/>
      <c r="E46" s="22"/>
      <c r="G46" s="35" t="s">
        <v>45</v>
      </c>
      <c r="H46" s="22"/>
      <c r="I46" s="22"/>
      <c r="J46" s="22"/>
      <c r="K46" s="22"/>
    </row>
    <row r="47" spans="1:11" ht="15" customHeight="1">
      <c r="A47" s="9" t="s">
        <v>1</v>
      </c>
      <c r="B47" s="10" t="s">
        <v>2</v>
      </c>
      <c r="C47" s="10" t="s">
        <v>103</v>
      </c>
      <c r="D47" s="10" t="s">
        <v>4</v>
      </c>
      <c r="E47" s="10" t="s">
        <v>8</v>
      </c>
      <c r="G47" s="9" t="s">
        <v>1</v>
      </c>
      <c r="H47" s="10" t="s">
        <v>2</v>
      </c>
      <c r="I47" s="10" t="s">
        <v>103</v>
      </c>
      <c r="J47" s="10" t="s">
        <v>4</v>
      </c>
      <c r="K47" s="10" t="s">
        <v>8</v>
      </c>
    </row>
    <row r="48" spans="1:11" ht="19.5" customHeight="1">
      <c r="A48" s="3">
        <v>1</v>
      </c>
      <c r="B48" s="4"/>
      <c r="C48" s="4"/>
      <c r="D48" s="4"/>
      <c r="E48" s="4"/>
      <c r="H48" s="4"/>
      <c r="I48" s="4"/>
      <c r="J48" s="4"/>
      <c r="K48" s="4"/>
    </row>
    <row r="49" spans="1:11" ht="19.5" customHeight="1">
      <c r="A49" s="5">
        <v>2</v>
      </c>
      <c r="B49" s="6"/>
      <c r="C49" s="6"/>
      <c r="D49" s="6"/>
      <c r="E49" s="6"/>
      <c r="H49" s="6"/>
      <c r="I49" s="6"/>
      <c r="J49" s="6"/>
      <c r="K49" s="6"/>
    </row>
    <row r="50" spans="1:11" ht="19.5" customHeight="1">
      <c r="A50" s="3">
        <v>3</v>
      </c>
      <c r="B50" s="4"/>
      <c r="C50" s="4"/>
      <c r="D50" s="4"/>
      <c r="E50" s="4"/>
      <c r="H50" s="4"/>
      <c r="I50" s="4"/>
      <c r="J50" s="4"/>
      <c r="K50" s="4"/>
    </row>
    <row r="51" spans="1:11" ht="19.5" customHeight="1">
      <c r="A51" s="5">
        <v>4</v>
      </c>
      <c r="B51" s="6"/>
      <c r="C51" s="6"/>
      <c r="D51" s="6"/>
      <c r="E51" s="6"/>
      <c r="H51" s="6"/>
      <c r="I51" s="6"/>
      <c r="J51" s="6"/>
      <c r="K51" s="6"/>
    </row>
    <row r="52" spans="1:11" ht="19.5" customHeight="1">
      <c r="A52" s="3">
        <v>5</v>
      </c>
      <c r="B52" s="4"/>
      <c r="C52" s="4"/>
      <c r="D52" s="4"/>
      <c r="E52" s="4"/>
      <c r="H52" s="4"/>
      <c r="I52" s="4"/>
      <c r="J52" s="4"/>
      <c r="K52" s="4"/>
    </row>
    <row r="53" spans="1:11" ht="19.5" customHeight="1">
      <c r="A53" s="5">
        <v>6</v>
      </c>
      <c r="B53" s="6"/>
      <c r="C53" s="6"/>
      <c r="D53" s="6"/>
      <c r="E53" s="6"/>
      <c r="H53" s="6"/>
      <c r="I53" s="6"/>
      <c r="J53" s="6"/>
      <c r="K53" s="6"/>
    </row>
    <row r="54" spans="1:11" ht="19.5" customHeight="1">
      <c r="A54" s="3">
        <v>7</v>
      </c>
      <c r="B54" s="4"/>
      <c r="C54" s="4"/>
      <c r="D54" s="4"/>
      <c r="E54" s="4"/>
      <c r="H54" s="4"/>
      <c r="I54" s="4"/>
      <c r="J54" s="4"/>
      <c r="K54" s="4"/>
    </row>
    <row r="55" spans="1:11" ht="19.5" customHeight="1">
      <c r="A55" s="5">
        <v>8</v>
      </c>
      <c r="B55" s="6"/>
      <c r="C55" s="6"/>
      <c r="D55" s="6"/>
      <c r="E55" s="6"/>
      <c r="H55" s="6"/>
      <c r="I55" s="6"/>
      <c r="J55" s="6"/>
      <c r="K55" s="6"/>
    </row>
    <row r="56" spans="1:11" ht="19.5" customHeight="1">
      <c r="A56" s="3">
        <v>9</v>
      </c>
      <c r="B56" s="4"/>
      <c r="C56" s="4"/>
      <c r="D56" s="4"/>
      <c r="E56" s="4"/>
      <c r="H56" s="4"/>
      <c r="I56" s="4"/>
      <c r="J56" s="4"/>
      <c r="K56" s="4"/>
    </row>
    <row r="57" spans="1:11" ht="19.5" customHeight="1">
      <c r="A57" s="5">
        <v>10</v>
      </c>
      <c r="B57" s="6"/>
      <c r="C57" s="6"/>
      <c r="D57" s="6"/>
      <c r="E57" s="6"/>
      <c r="H57" s="6"/>
      <c r="I57" s="6"/>
      <c r="J57" s="6"/>
      <c r="K57" s="6"/>
    </row>
    <row r="58" spans="1:11" ht="19.5" customHeight="1">
      <c r="A58" s="3">
        <v>11</v>
      </c>
      <c r="B58" s="4"/>
      <c r="C58" s="4"/>
      <c r="D58" s="4"/>
      <c r="E58" s="4"/>
      <c r="H58" s="4"/>
      <c r="I58" s="4"/>
      <c r="J58" s="4"/>
      <c r="K58" s="4"/>
    </row>
    <row r="59" spans="1:11" ht="19.5" customHeight="1">
      <c r="A59" s="5">
        <v>12</v>
      </c>
      <c r="B59" s="6"/>
      <c r="C59" s="6"/>
      <c r="D59" s="6"/>
      <c r="E59" s="6"/>
      <c r="H59" s="6"/>
      <c r="I59" s="6"/>
      <c r="J59" s="6"/>
      <c r="K59" s="6"/>
    </row>
    <row r="60" spans="1:11" ht="19.5" customHeight="1">
      <c r="A60" s="3">
        <v>13</v>
      </c>
      <c r="B60" s="4"/>
      <c r="C60" s="4"/>
      <c r="D60" s="4"/>
      <c r="E60" s="4"/>
      <c r="H60" s="4"/>
      <c r="I60" s="4"/>
      <c r="J60" s="4"/>
      <c r="K60" s="4"/>
    </row>
    <row r="61" spans="1:11" ht="19.5" customHeight="1">
      <c r="A61" s="5">
        <v>14</v>
      </c>
      <c r="B61" s="6"/>
      <c r="C61" s="6"/>
      <c r="D61" s="6"/>
      <c r="E61" s="6"/>
      <c r="H61" s="6"/>
      <c r="I61" s="6"/>
      <c r="J61" s="6"/>
      <c r="K61" s="6"/>
    </row>
    <row r="62" spans="1:11" ht="19.5" customHeight="1">
      <c r="A62" s="3">
        <v>15</v>
      </c>
      <c r="B62" s="4"/>
      <c r="C62" s="4"/>
      <c r="D62" s="4"/>
      <c r="E62" s="4"/>
      <c r="H62" s="4"/>
      <c r="I62" s="4"/>
      <c r="J62" s="4"/>
      <c r="K62" s="4"/>
    </row>
    <row r="63" spans="1:11" ht="19.5" customHeight="1">
      <c r="A63" s="5">
        <v>16</v>
      </c>
      <c r="B63" s="6"/>
      <c r="C63" s="6"/>
      <c r="D63" s="6"/>
      <c r="E63" s="6"/>
      <c r="H63" s="6"/>
      <c r="I63" s="6"/>
      <c r="J63" s="6"/>
      <c r="K63" s="6"/>
    </row>
    <row r="64" spans="1:11" ht="19.5" customHeight="1">
      <c r="A64" s="3">
        <v>17</v>
      </c>
      <c r="B64" s="4"/>
      <c r="C64" s="4"/>
      <c r="D64" s="4"/>
      <c r="E64" s="4"/>
      <c r="H64" s="4"/>
      <c r="I64" s="4"/>
      <c r="J64" s="4"/>
      <c r="K64" s="4"/>
    </row>
    <row r="65" spans="1:11" ht="19.5" customHeight="1">
      <c r="A65" s="5">
        <v>18</v>
      </c>
      <c r="B65" s="6"/>
      <c r="C65" s="6"/>
      <c r="D65" s="6"/>
      <c r="E65" s="6"/>
      <c r="H65" s="6"/>
      <c r="I65" s="6"/>
      <c r="J65" s="6"/>
      <c r="K65" s="6"/>
    </row>
    <row r="66" spans="1:11" ht="19.5" customHeight="1">
      <c r="A66" s="3">
        <v>19</v>
      </c>
      <c r="B66" s="4"/>
      <c r="C66" s="4"/>
      <c r="D66" s="4"/>
      <c r="E66" s="4"/>
      <c r="H66" s="4"/>
      <c r="I66" s="4"/>
      <c r="J66" s="4"/>
      <c r="K66" s="4"/>
    </row>
    <row r="67" spans="1:11" ht="19.5" customHeight="1">
      <c r="A67" s="5">
        <v>20</v>
      </c>
      <c r="B67" s="6"/>
      <c r="C67" s="6"/>
      <c r="D67" s="6"/>
      <c r="E67" s="6"/>
      <c r="H67" s="6"/>
      <c r="I67" s="6"/>
      <c r="J67" s="6"/>
      <c r="K67" s="6"/>
    </row>
    <row r="68" spans="1:11" ht="19.5" customHeight="1">
      <c r="A68" s="3">
        <v>21</v>
      </c>
      <c r="B68" s="4"/>
      <c r="C68" s="4"/>
      <c r="D68" s="4"/>
      <c r="E68" s="4"/>
      <c r="H68" s="4"/>
      <c r="I68" s="4"/>
      <c r="J68" s="4"/>
      <c r="K68" s="4"/>
    </row>
    <row r="69" spans="1:11" ht="19.5" customHeight="1">
      <c r="A69" s="5">
        <v>22</v>
      </c>
      <c r="B69" s="6"/>
      <c r="C69" s="6"/>
      <c r="D69" s="6"/>
      <c r="E69" s="6"/>
      <c r="H69" s="6"/>
      <c r="I69" s="6"/>
      <c r="J69" s="6"/>
      <c r="K69" s="6"/>
    </row>
    <row r="70" spans="1:11" ht="19.5" customHeight="1">
      <c r="A70" s="3">
        <v>23</v>
      </c>
      <c r="B70" s="4"/>
      <c r="C70" s="4"/>
      <c r="D70" s="4"/>
      <c r="E70" s="4"/>
      <c r="H70" s="4"/>
      <c r="I70" s="4"/>
      <c r="J70" s="4"/>
      <c r="K70" s="4"/>
    </row>
    <row r="71" spans="1:11" ht="19.5" customHeight="1">
      <c r="A71" s="5">
        <v>24</v>
      </c>
      <c r="B71" s="6"/>
      <c r="C71" s="6"/>
      <c r="D71" s="6"/>
      <c r="E71" s="6"/>
      <c r="H71" s="6"/>
      <c r="I71" s="6"/>
      <c r="J71" s="6"/>
      <c r="K71" s="6"/>
    </row>
    <row r="72" spans="1:11" ht="19.5" customHeight="1">
      <c r="A72" s="3">
        <v>25</v>
      </c>
      <c r="B72" s="4"/>
      <c r="C72" s="4"/>
      <c r="D72" s="4"/>
      <c r="E72" s="4"/>
      <c r="H72" s="4"/>
      <c r="I72" s="4"/>
      <c r="J72" s="4"/>
      <c r="K72" s="4"/>
    </row>
    <row r="73" spans="1:11" ht="19.5" customHeight="1">
      <c r="A73" s="5">
        <v>26</v>
      </c>
      <c r="B73" s="6"/>
      <c r="C73" s="6"/>
      <c r="D73" s="6"/>
      <c r="E73" s="6"/>
      <c r="H73" s="6"/>
      <c r="I73" s="6"/>
      <c r="J73" s="6"/>
      <c r="K73" s="6"/>
    </row>
    <row r="74" spans="1:11" ht="19.5" customHeight="1">
      <c r="A74" s="3">
        <v>27</v>
      </c>
      <c r="B74" s="4"/>
      <c r="C74" s="4"/>
      <c r="D74" s="4"/>
      <c r="E74" s="4"/>
      <c r="H74" s="4"/>
      <c r="I74" s="4"/>
      <c r="J74" s="4"/>
      <c r="K74" s="4"/>
    </row>
    <row r="75" spans="1:11" ht="19.5" customHeight="1">
      <c r="A75" s="5">
        <v>28</v>
      </c>
      <c r="B75" s="6"/>
      <c r="C75" s="6"/>
      <c r="D75" s="6"/>
      <c r="E75" s="6"/>
      <c r="H75" s="6"/>
      <c r="I75" s="6"/>
      <c r="J75" s="6"/>
      <c r="K75" s="6"/>
    </row>
    <row r="76" spans="1:11" ht="19.5" customHeight="1">
      <c r="A76" s="3">
        <v>29</v>
      </c>
      <c r="B76" s="4"/>
      <c r="C76" s="4"/>
      <c r="D76" s="4"/>
      <c r="E76" s="4"/>
      <c r="H76" s="4"/>
      <c r="I76" s="4"/>
      <c r="J76" s="4"/>
      <c r="K76" s="4"/>
    </row>
    <row r="77" spans="1:11" ht="19.5" customHeight="1">
      <c r="A77" s="5">
        <v>30</v>
      </c>
      <c r="B77" s="6"/>
      <c r="C77" s="6"/>
      <c r="D77" s="6"/>
      <c r="E77" s="6"/>
      <c r="H77" s="6"/>
      <c r="I77" s="6"/>
      <c r="J77" s="6"/>
      <c r="K77" s="6"/>
    </row>
    <row r="78" spans="1:11" ht="19.5" customHeight="1">
      <c r="A78" s="3">
        <v>31</v>
      </c>
      <c r="B78" s="4"/>
      <c r="C78" s="4"/>
      <c r="D78" s="4"/>
      <c r="E78" s="4"/>
      <c r="H78" s="4"/>
      <c r="I78" s="4"/>
      <c r="J78" s="4"/>
      <c r="K78" s="4"/>
    </row>
    <row r="79" spans="1:11" ht="19.5" customHeight="1">
      <c r="A79" s="5">
        <v>32</v>
      </c>
      <c r="B79" s="6"/>
      <c r="C79" s="6"/>
      <c r="D79" s="6"/>
      <c r="E79" s="6"/>
      <c r="H79" s="6"/>
      <c r="I79" s="6"/>
      <c r="J79" s="6"/>
      <c r="K79" s="6"/>
    </row>
    <row r="80" spans="1:11" ht="19.5" customHeight="1">
      <c r="A80" s="3">
        <v>33</v>
      </c>
      <c r="B80" s="4"/>
      <c r="C80" s="4"/>
      <c r="D80" s="4"/>
      <c r="E80" s="4"/>
      <c r="H80" s="4"/>
      <c r="I80" s="4"/>
      <c r="J80" s="4"/>
      <c r="K80" s="4"/>
    </row>
    <row r="81" spans="1:11" ht="19.5" customHeight="1">
      <c r="A81" s="5">
        <v>34</v>
      </c>
      <c r="B81" s="6"/>
      <c r="C81" s="6"/>
      <c r="D81" s="6"/>
      <c r="E81" s="6"/>
      <c r="H81" s="6"/>
      <c r="I81" s="6"/>
      <c r="J81" s="6"/>
      <c r="K81" s="6"/>
    </row>
    <row r="82" spans="1:11" ht="19.5" customHeight="1">
      <c r="A82" s="3">
        <v>35</v>
      </c>
      <c r="B82" s="4"/>
      <c r="C82" s="4"/>
      <c r="D82" s="4"/>
      <c r="E82" s="4"/>
      <c r="H82" s="4"/>
      <c r="I82" s="4"/>
      <c r="J82" s="4"/>
      <c r="K82" s="4"/>
    </row>
    <row r="83" spans="1:11" ht="19.5" customHeight="1">
      <c r="A83" s="5">
        <v>36</v>
      </c>
      <c r="B83" s="6"/>
      <c r="C83" s="6"/>
      <c r="D83" s="6"/>
      <c r="E83" s="6"/>
      <c r="H83" s="6"/>
      <c r="I83" s="6"/>
      <c r="J83" s="6"/>
      <c r="K83" s="6"/>
    </row>
    <row r="84" spans="1:11" ht="19.5" customHeight="1">
      <c r="A84" s="3">
        <v>37</v>
      </c>
      <c r="B84" s="4"/>
      <c r="C84" s="4"/>
      <c r="D84" s="4"/>
      <c r="E84" s="4"/>
      <c r="H84" s="4"/>
      <c r="I84" s="4"/>
      <c r="J84" s="4"/>
      <c r="K84" s="4"/>
    </row>
    <row r="85" spans="1:11" ht="19.5" customHeight="1">
      <c r="A85" s="5">
        <v>38</v>
      </c>
      <c r="B85" s="6"/>
      <c r="C85" s="6"/>
      <c r="D85" s="6"/>
      <c r="E85" s="6"/>
      <c r="H85" s="6"/>
      <c r="I85" s="6"/>
      <c r="J85" s="6"/>
      <c r="K85" s="6"/>
    </row>
    <row r="86" spans="1:11" ht="19.5" customHeight="1">
      <c r="A86" s="3">
        <v>39</v>
      </c>
      <c r="B86" s="4"/>
      <c r="C86" s="4"/>
      <c r="D86" s="4"/>
      <c r="E86" s="4"/>
      <c r="H86" s="4"/>
      <c r="I86" s="4"/>
      <c r="J86" s="4"/>
      <c r="K86" s="4"/>
    </row>
    <row r="87" spans="1:11" ht="19.5" customHeight="1">
      <c r="A87" s="5">
        <v>40</v>
      </c>
      <c r="B87" s="6"/>
      <c r="C87" s="6"/>
      <c r="D87" s="6"/>
      <c r="E87" s="6"/>
      <c r="H87" s="6"/>
      <c r="I87" s="6"/>
      <c r="J87" s="6"/>
      <c r="K87" s="6"/>
    </row>
    <row r="88" spans="1:11" ht="15" customHeight="1">
      <c r="A88" s="27" t="s">
        <v>104</v>
      </c>
      <c r="B88" s="22"/>
      <c r="C88" s="22"/>
      <c r="D88" s="22"/>
      <c r="E88" s="22"/>
      <c r="G88" s="27" t="s">
        <v>104</v>
      </c>
      <c r="H88" s="22"/>
      <c r="I88" s="22"/>
      <c r="J88" s="22"/>
      <c r="K88" s="22"/>
    </row>
    <row r="89" spans="1:11" ht="30" customHeight="1">
      <c r="A89" s="28" t="s">
        <v>105</v>
      </c>
      <c r="B89" s="22"/>
      <c r="C89" s="22"/>
      <c r="D89" s="22"/>
      <c r="E89" s="22"/>
      <c r="F89" s="22"/>
      <c r="G89" s="22"/>
      <c r="H89" s="22"/>
      <c r="I89" s="22"/>
      <c r="J89" s="22"/>
      <c r="K89" s="22"/>
    </row>
    <row r="90" spans="1:11" ht="21.75" customHeight="1">
      <c r="A90" s="35" t="s">
        <v>44</v>
      </c>
      <c r="B90" s="22"/>
      <c r="C90" s="22"/>
      <c r="D90" s="22"/>
      <c r="E90" s="22"/>
      <c r="G90" s="35" t="s">
        <v>45</v>
      </c>
      <c r="H90" s="22"/>
      <c r="I90" s="22"/>
      <c r="J90" s="22"/>
      <c r="K90" s="22"/>
    </row>
    <row r="91" spans="1:11" ht="21.75" customHeight="1">
      <c r="A91" s="9" t="s">
        <v>1</v>
      </c>
      <c r="B91" s="10" t="s">
        <v>2</v>
      </c>
      <c r="C91" s="10" t="s">
        <v>18</v>
      </c>
      <c r="D91" s="10" t="s">
        <v>4</v>
      </c>
      <c r="E91" s="10" t="s">
        <v>8</v>
      </c>
      <c r="G91" s="9" t="s">
        <v>1</v>
      </c>
      <c r="H91" s="10" t="s">
        <v>2</v>
      </c>
      <c r="I91" s="10" t="s">
        <v>18</v>
      </c>
      <c r="J91" s="10" t="s">
        <v>4</v>
      </c>
      <c r="K91" s="10" t="s">
        <v>8</v>
      </c>
    </row>
    <row r="92" spans="1:11" ht="19.5" customHeight="1">
      <c r="A92" s="3">
        <v>1</v>
      </c>
      <c r="B92" s="4"/>
      <c r="C92" s="4"/>
      <c r="D92" s="4"/>
      <c r="E92" s="4"/>
      <c r="H92" s="4"/>
      <c r="I92" s="4"/>
      <c r="J92" s="4"/>
      <c r="K92" s="4"/>
    </row>
    <row r="93" spans="1:11" ht="19.5" customHeight="1">
      <c r="A93" s="5">
        <v>2</v>
      </c>
      <c r="B93" s="6"/>
      <c r="C93" s="6"/>
      <c r="D93" s="6"/>
      <c r="E93" s="6"/>
      <c r="H93" s="6"/>
      <c r="I93" s="6"/>
      <c r="J93" s="6"/>
      <c r="K93" s="6"/>
    </row>
    <row r="94" spans="1:11" ht="19.5" customHeight="1">
      <c r="A94" s="3">
        <v>3</v>
      </c>
      <c r="B94" s="4"/>
      <c r="C94" s="4"/>
      <c r="D94" s="4"/>
      <c r="E94" s="4"/>
      <c r="H94" s="4"/>
      <c r="I94" s="4"/>
      <c r="J94" s="4"/>
      <c r="K94" s="4"/>
    </row>
    <row r="95" spans="1:11" ht="19.5" customHeight="1">
      <c r="A95" s="5">
        <v>4</v>
      </c>
      <c r="B95" s="6"/>
      <c r="C95" s="6"/>
      <c r="D95" s="6"/>
      <c r="E95" s="6"/>
      <c r="H95" s="6"/>
      <c r="I95" s="6"/>
      <c r="J95" s="6"/>
      <c r="K95" s="6"/>
    </row>
    <row r="96" spans="1:11" ht="19.5" customHeight="1">
      <c r="A96" s="3">
        <v>5</v>
      </c>
      <c r="B96" s="4"/>
      <c r="C96" s="4"/>
      <c r="D96" s="4"/>
      <c r="E96" s="4"/>
      <c r="H96" s="4"/>
      <c r="I96" s="4"/>
      <c r="J96" s="4"/>
      <c r="K96" s="4"/>
    </row>
    <row r="97" spans="1:11" ht="19.5" customHeight="1">
      <c r="A97" s="5">
        <v>6</v>
      </c>
      <c r="B97" s="6"/>
      <c r="C97" s="6"/>
      <c r="D97" s="6"/>
      <c r="E97" s="6"/>
      <c r="H97" s="6"/>
      <c r="I97" s="6"/>
      <c r="J97" s="6"/>
      <c r="K97" s="6"/>
    </row>
    <row r="98" spans="1:11" ht="19.5" customHeight="1">
      <c r="A98" s="3">
        <v>7</v>
      </c>
      <c r="B98" s="4"/>
      <c r="C98" s="4"/>
      <c r="D98" s="4"/>
      <c r="E98" s="4"/>
      <c r="H98" s="4"/>
      <c r="I98" s="4"/>
      <c r="J98" s="4"/>
      <c r="K98" s="4"/>
    </row>
    <row r="99" spans="1:11" ht="19.5" customHeight="1">
      <c r="A99" s="5">
        <v>8</v>
      </c>
      <c r="B99" s="6"/>
      <c r="C99" s="6"/>
      <c r="D99" s="6"/>
      <c r="E99" s="6"/>
      <c r="H99" s="6"/>
      <c r="I99" s="6"/>
      <c r="J99" s="6"/>
      <c r="K99" s="6"/>
    </row>
    <row r="100" spans="1:11" ht="19.5" customHeight="1">
      <c r="A100" s="3">
        <v>9</v>
      </c>
      <c r="B100" s="4"/>
      <c r="C100" s="4"/>
      <c r="D100" s="4"/>
      <c r="E100" s="4"/>
      <c r="H100" s="4"/>
      <c r="I100" s="4"/>
      <c r="J100" s="4"/>
      <c r="K100" s="4"/>
    </row>
    <row r="101" spans="1:11" ht="19.5" customHeight="1">
      <c r="A101" s="5">
        <v>10</v>
      </c>
      <c r="B101" s="6"/>
      <c r="C101" s="6"/>
      <c r="D101" s="6"/>
      <c r="E101" s="6"/>
      <c r="H101" s="6"/>
      <c r="I101" s="6"/>
      <c r="J101" s="6"/>
      <c r="K101" s="6"/>
    </row>
    <row r="102" spans="1:11" ht="19.5" customHeight="1">
      <c r="A102" s="3">
        <v>11</v>
      </c>
      <c r="B102" s="4"/>
      <c r="C102" s="4"/>
      <c r="D102" s="4"/>
      <c r="E102" s="4"/>
      <c r="H102" s="4"/>
      <c r="I102" s="4"/>
      <c r="J102" s="4"/>
      <c r="K102" s="4"/>
    </row>
    <row r="103" spans="1:11" ht="19.5" customHeight="1">
      <c r="A103" s="5">
        <v>12</v>
      </c>
      <c r="B103" s="6"/>
      <c r="C103" s="6"/>
      <c r="D103" s="6"/>
      <c r="E103" s="6"/>
      <c r="H103" s="6"/>
      <c r="I103" s="6"/>
      <c r="J103" s="6"/>
      <c r="K103" s="6"/>
    </row>
    <row r="104" spans="1:11" ht="19.5" customHeight="1">
      <c r="A104" s="3">
        <v>13</v>
      </c>
      <c r="B104" s="4"/>
      <c r="C104" s="4"/>
      <c r="D104" s="4"/>
      <c r="E104" s="4"/>
      <c r="H104" s="4"/>
      <c r="I104" s="4"/>
      <c r="J104" s="4"/>
      <c r="K104" s="4"/>
    </row>
    <row r="105" spans="1:11" ht="19.5" customHeight="1">
      <c r="A105" s="5">
        <v>14</v>
      </c>
      <c r="B105" s="6"/>
      <c r="C105" s="6"/>
      <c r="D105" s="6"/>
      <c r="E105" s="6"/>
      <c r="H105" s="6"/>
      <c r="I105" s="6"/>
      <c r="J105" s="6"/>
      <c r="K105" s="6"/>
    </row>
    <row r="106" spans="1:11" ht="19.5" customHeight="1">
      <c r="A106" s="3">
        <v>15</v>
      </c>
      <c r="B106" s="4"/>
      <c r="C106" s="4"/>
      <c r="D106" s="4"/>
      <c r="E106" s="4"/>
      <c r="H106" s="4"/>
      <c r="I106" s="4"/>
      <c r="J106" s="4"/>
      <c r="K106" s="4"/>
    </row>
    <row r="107" spans="1:11" ht="19.5" customHeight="1">
      <c r="A107" s="5">
        <v>16</v>
      </c>
      <c r="B107" s="6"/>
      <c r="C107" s="6"/>
      <c r="D107" s="6"/>
      <c r="E107" s="6"/>
      <c r="H107" s="6"/>
      <c r="I107" s="6"/>
      <c r="J107" s="6"/>
      <c r="K107" s="6"/>
    </row>
    <row r="108" spans="1:11" ht="19.5" customHeight="1">
      <c r="A108" s="3">
        <v>17</v>
      </c>
      <c r="B108" s="4"/>
      <c r="C108" s="4"/>
      <c r="D108" s="4"/>
      <c r="E108" s="4"/>
      <c r="H108" s="4"/>
      <c r="I108" s="4"/>
      <c r="J108" s="4"/>
      <c r="K108" s="4"/>
    </row>
    <row r="109" spans="1:11" ht="19.5" customHeight="1">
      <c r="A109" s="5">
        <v>18</v>
      </c>
      <c r="B109" s="6"/>
      <c r="C109" s="6"/>
      <c r="D109" s="6"/>
      <c r="E109" s="6"/>
      <c r="H109" s="6"/>
      <c r="I109" s="6"/>
      <c r="J109" s="6"/>
      <c r="K109" s="6"/>
    </row>
    <row r="110" spans="1:11" ht="19.5" customHeight="1">
      <c r="A110" s="3">
        <v>19</v>
      </c>
      <c r="B110" s="4"/>
      <c r="C110" s="4"/>
      <c r="D110" s="4"/>
      <c r="E110" s="4"/>
      <c r="H110" s="4"/>
      <c r="I110" s="4"/>
      <c r="J110" s="4"/>
      <c r="K110" s="4"/>
    </row>
    <row r="111" spans="1:11" ht="19.5" customHeight="1">
      <c r="A111" s="5">
        <v>20</v>
      </c>
      <c r="B111" s="6"/>
      <c r="C111" s="6"/>
      <c r="D111" s="6"/>
      <c r="E111" s="6"/>
      <c r="H111" s="6"/>
      <c r="I111" s="6"/>
      <c r="J111" s="6"/>
      <c r="K111" s="6"/>
    </row>
    <row r="112" spans="1:11" ht="19.5" customHeight="1">
      <c r="A112" s="3">
        <v>21</v>
      </c>
      <c r="B112" s="4"/>
      <c r="C112" s="4"/>
      <c r="D112" s="4"/>
      <c r="E112" s="4"/>
      <c r="H112" s="4"/>
      <c r="I112" s="4"/>
      <c r="J112" s="4"/>
      <c r="K112" s="4"/>
    </row>
    <row r="113" spans="1:11" ht="19.5" customHeight="1">
      <c r="A113" s="5">
        <v>22</v>
      </c>
      <c r="B113" s="6"/>
      <c r="C113" s="6"/>
      <c r="D113" s="6"/>
      <c r="E113" s="6"/>
      <c r="H113" s="6"/>
      <c r="I113" s="6"/>
      <c r="J113" s="6"/>
      <c r="K113" s="6"/>
    </row>
    <row r="114" spans="1:11" ht="19.5" customHeight="1">
      <c r="A114" s="3">
        <v>23</v>
      </c>
      <c r="B114" s="4"/>
      <c r="C114" s="4"/>
      <c r="D114" s="4"/>
      <c r="E114" s="4"/>
      <c r="H114" s="4"/>
      <c r="I114" s="4"/>
      <c r="J114" s="4"/>
      <c r="K114" s="4"/>
    </row>
    <row r="115" spans="1:11" ht="19.5" customHeight="1">
      <c r="A115" s="5">
        <v>24</v>
      </c>
      <c r="B115" s="6"/>
      <c r="C115" s="6"/>
      <c r="D115" s="6"/>
      <c r="E115" s="6"/>
      <c r="H115" s="6"/>
      <c r="I115" s="6"/>
      <c r="J115" s="6"/>
      <c r="K115" s="6"/>
    </row>
    <row r="116" spans="1:11" ht="19.5" customHeight="1">
      <c r="A116" s="3">
        <v>25</v>
      </c>
      <c r="B116" s="4"/>
      <c r="C116" s="4"/>
      <c r="D116" s="4"/>
      <c r="E116" s="4"/>
      <c r="H116" s="4"/>
      <c r="I116" s="4"/>
      <c r="J116" s="4"/>
      <c r="K116" s="4"/>
    </row>
    <row r="117" spans="1:11" ht="19.5" customHeight="1">
      <c r="A117" s="5">
        <v>26</v>
      </c>
      <c r="B117" s="6"/>
      <c r="C117" s="6"/>
      <c r="D117" s="6"/>
      <c r="E117" s="6"/>
      <c r="H117" s="6"/>
      <c r="I117" s="6"/>
      <c r="J117" s="6"/>
      <c r="K117" s="6"/>
    </row>
    <row r="118" spans="1:11" ht="19.5" customHeight="1">
      <c r="A118" s="3">
        <v>27</v>
      </c>
      <c r="B118" s="4"/>
      <c r="C118" s="4"/>
      <c r="D118" s="4"/>
      <c r="E118" s="4"/>
      <c r="H118" s="4"/>
      <c r="I118" s="4"/>
      <c r="J118" s="4"/>
      <c r="K118" s="4"/>
    </row>
    <row r="119" spans="1:11" ht="19.5" customHeight="1">
      <c r="A119" s="5">
        <v>28</v>
      </c>
      <c r="B119" s="6"/>
      <c r="C119" s="6"/>
      <c r="D119" s="6"/>
      <c r="E119" s="6"/>
      <c r="H119" s="6"/>
      <c r="I119" s="6"/>
      <c r="J119" s="6"/>
      <c r="K119" s="6"/>
    </row>
    <row r="120" spans="1:11" ht="19.5" customHeight="1">
      <c r="A120" s="3">
        <v>29</v>
      </c>
      <c r="B120" s="4"/>
      <c r="C120" s="4"/>
      <c r="D120" s="4"/>
      <c r="E120" s="4"/>
      <c r="H120" s="4"/>
      <c r="I120" s="4"/>
      <c r="J120" s="4"/>
      <c r="K120" s="4"/>
    </row>
    <row r="121" spans="1:11" ht="19.5" customHeight="1">
      <c r="A121" s="5">
        <v>30</v>
      </c>
      <c r="B121" s="6"/>
      <c r="C121" s="6"/>
      <c r="D121" s="6"/>
      <c r="E121" s="6"/>
      <c r="H121" s="6"/>
      <c r="I121" s="6"/>
      <c r="J121" s="6"/>
      <c r="K121" s="6"/>
    </row>
    <row r="122" spans="1:11" ht="19.5" customHeight="1">
      <c r="A122" s="3">
        <v>31</v>
      </c>
      <c r="B122" s="4"/>
      <c r="C122" s="4"/>
      <c r="D122" s="4"/>
      <c r="E122" s="4"/>
      <c r="H122" s="4"/>
      <c r="I122" s="4"/>
      <c r="J122" s="4"/>
      <c r="K122" s="4"/>
    </row>
    <row r="123" spans="1:11" ht="19.5" customHeight="1">
      <c r="A123" s="5">
        <v>32</v>
      </c>
      <c r="B123" s="6"/>
      <c r="C123" s="6"/>
      <c r="D123" s="6"/>
      <c r="E123" s="6"/>
      <c r="H123" s="6"/>
      <c r="I123" s="6"/>
      <c r="J123" s="6"/>
      <c r="K123" s="6"/>
    </row>
    <row r="124" spans="1:11" ht="19.5" customHeight="1">
      <c r="A124" s="3">
        <v>33</v>
      </c>
      <c r="B124" s="4"/>
      <c r="C124" s="4"/>
      <c r="D124" s="4"/>
      <c r="E124" s="4"/>
      <c r="H124" s="4"/>
      <c r="I124" s="4"/>
      <c r="J124" s="4"/>
      <c r="K124" s="4"/>
    </row>
    <row r="125" spans="1:11" ht="19.5" customHeight="1">
      <c r="A125" s="5">
        <v>34</v>
      </c>
      <c r="B125" s="6"/>
      <c r="C125" s="6"/>
      <c r="D125" s="6"/>
      <c r="E125" s="6"/>
      <c r="H125" s="6"/>
      <c r="I125" s="6"/>
      <c r="J125" s="6"/>
      <c r="K125" s="6"/>
    </row>
    <row r="126" spans="1:11" ht="19.5" customHeight="1">
      <c r="A126" s="3">
        <v>35</v>
      </c>
      <c r="B126" s="4"/>
      <c r="C126" s="4"/>
      <c r="D126" s="4"/>
      <c r="E126" s="4"/>
      <c r="H126" s="4"/>
      <c r="I126" s="4"/>
      <c r="J126" s="4"/>
      <c r="K126" s="4"/>
    </row>
    <row r="127" spans="1:11" ht="19.5" customHeight="1">
      <c r="A127" s="5">
        <v>36</v>
      </c>
      <c r="B127" s="6"/>
      <c r="C127" s="6"/>
      <c r="D127" s="6"/>
      <c r="E127" s="6"/>
      <c r="H127" s="6"/>
      <c r="I127" s="6"/>
      <c r="J127" s="6"/>
      <c r="K127" s="6"/>
    </row>
    <row r="128" spans="1:11" ht="19.5" customHeight="1">
      <c r="A128" s="3">
        <v>37</v>
      </c>
      <c r="B128" s="4"/>
      <c r="C128" s="4"/>
      <c r="D128" s="4"/>
      <c r="E128" s="4"/>
      <c r="H128" s="4"/>
      <c r="I128" s="4"/>
      <c r="J128" s="4"/>
      <c r="K128" s="4"/>
    </row>
    <row r="129" spans="1:11" ht="19.5" customHeight="1">
      <c r="A129" s="5">
        <v>38</v>
      </c>
      <c r="B129" s="6"/>
      <c r="C129" s="6"/>
      <c r="D129" s="6"/>
      <c r="E129" s="6"/>
      <c r="H129" s="6"/>
      <c r="I129" s="6"/>
      <c r="J129" s="6"/>
      <c r="K129" s="6"/>
    </row>
    <row r="130" spans="1:11" ht="19.5" customHeight="1">
      <c r="A130" s="3">
        <v>39</v>
      </c>
      <c r="B130" s="4"/>
      <c r="C130" s="4"/>
      <c r="D130" s="4"/>
      <c r="E130" s="4"/>
      <c r="H130" s="4"/>
      <c r="I130" s="4"/>
      <c r="J130" s="4"/>
      <c r="K130" s="4"/>
    </row>
    <row r="131" spans="1:11" ht="19.5" customHeight="1">
      <c r="A131" s="5">
        <v>40</v>
      </c>
      <c r="B131" s="6"/>
      <c r="C131" s="6"/>
      <c r="D131" s="6"/>
      <c r="E131" s="6"/>
      <c r="H131" s="6"/>
      <c r="I131" s="6"/>
      <c r="J131" s="6"/>
      <c r="K131" s="6"/>
    </row>
    <row r="132" spans="1:11" ht="15" customHeight="1">
      <c r="A132" s="27" t="s">
        <v>106</v>
      </c>
      <c r="B132" s="22"/>
      <c r="C132" s="22"/>
      <c r="D132" s="22"/>
      <c r="E132" s="22"/>
      <c r="G132" s="27" t="s">
        <v>106</v>
      </c>
      <c r="H132" s="22"/>
      <c r="I132" s="22"/>
      <c r="J132" s="22"/>
      <c r="K132" s="22"/>
    </row>
    <row r="133" spans="1:11" ht="30" customHeight="1">
      <c r="A133" s="28" t="s">
        <v>107</v>
      </c>
      <c r="B133" s="22"/>
      <c r="C133" s="22"/>
      <c r="D133" s="22"/>
      <c r="E133" s="22"/>
      <c r="F133" s="22"/>
      <c r="G133" s="22"/>
      <c r="H133" s="22"/>
      <c r="I133" s="22"/>
      <c r="J133" s="22"/>
      <c r="K133" s="22"/>
    </row>
    <row r="134" spans="1:11" ht="21.75" customHeight="1">
      <c r="A134" s="35" t="s">
        <v>44</v>
      </c>
      <c r="B134" s="22"/>
      <c r="C134" s="22"/>
      <c r="D134" s="22"/>
      <c r="E134" s="22"/>
      <c r="G134" s="35" t="s">
        <v>45</v>
      </c>
      <c r="H134" s="22"/>
      <c r="I134" s="22"/>
      <c r="J134" s="22"/>
      <c r="K134" s="22"/>
    </row>
    <row r="135" spans="1:11" ht="21.75" customHeight="1">
      <c r="A135" s="9" t="s">
        <v>1</v>
      </c>
      <c r="B135" s="10" t="s">
        <v>2</v>
      </c>
      <c r="C135" s="10" t="s">
        <v>18</v>
      </c>
      <c r="D135" s="10" t="s">
        <v>4</v>
      </c>
      <c r="E135" s="10" t="s">
        <v>8</v>
      </c>
      <c r="G135" s="9" t="s">
        <v>1</v>
      </c>
      <c r="H135" s="10" t="s">
        <v>2</v>
      </c>
      <c r="I135" s="10" t="s">
        <v>18</v>
      </c>
      <c r="J135" s="10" t="s">
        <v>4</v>
      </c>
      <c r="K135" s="10" t="s">
        <v>8</v>
      </c>
    </row>
    <row r="136" spans="1:11" ht="19.5" customHeight="1">
      <c r="A136" s="3">
        <v>1</v>
      </c>
      <c r="B136" s="4"/>
      <c r="C136" s="4"/>
      <c r="D136" s="4"/>
      <c r="E136" s="4"/>
      <c r="H136" s="4"/>
      <c r="I136" s="4"/>
      <c r="J136" s="4"/>
      <c r="K136" s="4"/>
    </row>
    <row r="137" spans="1:11" ht="19.5" customHeight="1">
      <c r="A137" s="5">
        <v>2</v>
      </c>
      <c r="B137" s="6"/>
      <c r="C137" s="6"/>
      <c r="D137" s="6"/>
      <c r="E137" s="6"/>
      <c r="H137" s="6"/>
      <c r="I137" s="6"/>
      <c r="J137" s="6"/>
      <c r="K137" s="6"/>
    </row>
    <row r="138" spans="1:11" ht="19.5" customHeight="1">
      <c r="A138" s="3">
        <v>3</v>
      </c>
      <c r="B138" s="4"/>
      <c r="C138" s="4"/>
      <c r="D138" s="4"/>
      <c r="E138" s="4"/>
      <c r="H138" s="4"/>
      <c r="I138" s="4"/>
      <c r="J138" s="4"/>
      <c r="K138" s="4"/>
    </row>
    <row r="139" spans="1:11" ht="19.5" customHeight="1">
      <c r="A139" s="5">
        <v>4</v>
      </c>
      <c r="B139" s="6"/>
      <c r="C139" s="6"/>
      <c r="D139" s="6"/>
      <c r="E139" s="6"/>
      <c r="H139" s="6"/>
      <c r="I139" s="6"/>
      <c r="J139" s="6"/>
      <c r="K139" s="6"/>
    </row>
    <row r="140" spans="1:11" ht="19.5" customHeight="1">
      <c r="A140" s="3">
        <v>5</v>
      </c>
      <c r="B140" s="4"/>
      <c r="C140" s="4"/>
      <c r="D140" s="4"/>
      <c r="E140" s="4"/>
      <c r="H140" s="4"/>
      <c r="I140" s="4"/>
      <c r="J140" s="4"/>
      <c r="K140" s="4"/>
    </row>
    <row r="141" spans="1:11" ht="19.5" customHeight="1">
      <c r="A141" s="5">
        <v>6</v>
      </c>
      <c r="B141" s="6"/>
      <c r="C141" s="6"/>
      <c r="D141" s="6"/>
      <c r="E141" s="6"/>
      <c r="H141" s="6"/>
      <c r="I141" s="6"/>
      <c r="J141" s="6"/>
      <c r="K141" s="6"/>
    </row>
    <row r="142" spans="1:11" ht="19.5" customHeight="1">
      <c r="A142" s="3">
        <v>7</v>
      </c>
      <c r="B142" s="4"/>
      <c r="C142" s="4"/>
      <c r="D142" s="4"/>
      <c r="E142" s="4"/>
      <c r="H142" s="4"/>
      <c r="I142" s="4"/>
      <c r="J142" s="4"/>
      <c r="K142" s="4"/>
    </row>
    <row r="143" spans="1:11" ht="19.5" customHeight="1">
      <c r="A143" s="5">
        <v>8</v>
      </c>
      <c r="B143" s="6"/>
      <c r="C143" s="6"/>
      <c r="D143" s="6"/>
      <c r="E143" s="6"/>
      <c r="H143" s="6"/>
      <c r="I143" s="6"/>
      <c r="J143" s="6"/>
      <c r="K143" s="6"/>
    </row>
    <row r="144" spans="1:11" ht="19.5" customHeight="1">
      <c r="A144" s="3">
        <v>9</v>
      </c>
      <c r="B144" s="4"/>
      <c r="C144" s="4"/>
      <c r="D144" s="4"/>
      <c r="E144" s="4"/>
      <c r="H144" s="4"/>
      <c r="I144" s="4"/>
      <c r="J144" s="4"/>
      <c r="K144" s="4"/>
    </row>
    <row r="145" spans="1:11" ht="19.5" customHeight="1">
      <c r="A145" s="5">
        <v>10</v>
      </c>
      <c r="B145" s="6"/>
      <c r="C145" s="6"/>
      <c r="D145" s="6"/>
      <c r="E145" s="6"/>
      <c r="H145" s="6"/>
      <c r="I145" s="6"/>
      <c r="J145" s="6"/>
      <c r="K145" s="6"/>
    </row>
    <row r="146" spans="1:11" ht="19.5" customHeight="1">
      <c r="A146" s="3">
        <v>11</v>
      </c>
      <c r="B146" s="4"/>
      <c r="C146" s="4"/>
      <c r="D146" s="4"/>
      <c r="E146" s="4"/>
      <c r="H146" s="4"/>
      <c r="I146" s="4"/>
      <c r="J146" s="4"/>
      <c r="K146" s="4"/>
    </row>
    <row r="147" spans="1:11" ht="19.5" customHeight="1">
      <c r="A147" s="5">
        <v>12</v>
      </c>
      <c r="B147" s="6"/>
      <c r="C147" s="6"/>
      <c r="D147" s="6"/>
      <c r="E147" s="6"/>
      <c r="H147" s="6"/>
      <c r="I147" s="6"/>
      <c r="J147" s="6"/>
      <c r="K147" s="6"/>
    </row>
    <row r="148" spans="1:11" ht="19.5" customHeight="1">
      <c r="A148" s="3">
        <v>13</v>
      </c>
      <c r="B148" s="4"/>
      <c r="C148" s="4"/>
      <c r="D148" s="4"/>
      <c r="E148" s="4"/>
      <c r="H148" s="4"/>
      <c r="I148" s="4"/>
      <c r="J148" s="4"/>
      <c r="K148" s="4"/>
    </row>
    <row r="149" spans="1:11" ht="19.5" customHeight="1">
      <c r="A149" s="5">
        <v>14</v>
      </c>
      <c r="B149" s="6"/>
      <c r="C149" s="6"/>
      <c r="D149" s="6"/>
      <c r="E149" s="6"/>
      <c r="H149" s="6"/>
      <c r="I149" s="6"/>
      <c r="J149" s="6"/>
      <c r="K149" s="6"/>
    </row>
    <row r="150" spans="1:11" ht="19.5" customHeight="1">
      <c r="A150" s="3">
        <v>15</v>
      </c>
      <c r="B150" s="4"/>
      <c r="C150" s="4"/>
      <c r="D150" s="4"/>
      <c r="E150" s="4"/>
      <c r="H150" s="4"/>
      <c r="I150" s="4"/>
      <c r="J150" s="4"/>
      <c r="K150" s="4"/>
    </row>
    <row r="151" spans="1:11" ht="19.5" customHeight="1">
      <c r="A151" s="5">
        <v>16</v>
      </c>
      <c r="B151" s="6"/>
      <c r="C151" s="6"/>
      <c r="D151" s="6"/>
      <c r="E151" s="6"/>
      <c r="H151" s="6"/>
      <c r="I151" s="6"/>
      <c r="J151" s="6"/>
      <c r="K151" s="6"/>
    </row>
    <row r="152" spans="1:11" ht="19.5" customHeight="1">
      <c r="A152" s="3">
        <v>17</v>
      </c>
      <c r="B152" s="4"/>
      <c r="C152" s="4"/>
      <c r="D152" s="4"/>
      <c r="E152" s="4"/>
      <c r="H152" s="4"/>
      <c r="I152" s="4"/>
      <c r="J152" s="4"/>
      <c r="K152" s="4"/>
    </row>
    <row r="153" spans="1:11" ht="19.5" customHeight="1">
      <c r="A153" s="5">
        <v>18</v>
      </c>
      <c r="B153" s="6"/>
      <c r="C153" s="6"/>
      <c r="D153" s="6"/>
      <c r="E153" s="6"/>
      <c r="H153" s="6"/>
      <c r="I153" s="6"/>
      <c r="J153" s="6"/>
      <c r="K153" s="6"/>
    </row>
    <row r="154" spans="1:11" ht="19.5" customHeight="1">
      <c r="A154" s="3">
        <v>19</v>
      </c>
      <c r="B154" s="4"/>
      <c r="C154" s="4"/>
      <c r="D154" s="4"/>
      <c r="E154" s="4"/>
      <c r="H154" s="4"/>
      <c r="I154" s="4"/>
      <c r="J154" s="4"/>
      <c r="K154" s="4"/>
    </row>
    <row r="155" spans="1:11" ht="19.5" customHeight="1">
      <c r="A155" s="5">
        <v>20</v>
      </c>
      <c r="B155" s="6"/>
      <c r="C155" s="6"/>
      <c r="D155" s="6"/>
      <c r="E155" s="6"/>
      <c r="H155" s="6"/>
      <c r="I155" s="6"/>
      <c r="J155" s="6"/>
      <c r="K155" s="6"/>
    </row>
    <row r="156" spans="1:11" ht="19.5" customHeight="1">
      <c r="A156" s="3">
        <v>21</v>
      </c>
      <c r="B156" s="4"/>
      <c r="C156" s="4"/>
      <c r="D156" s="4"/>
      <c r="E156" s="4"/>
      <c r="H156" s="4"/>
      <c r="I156" s="4"/>
      <c r="J156" s="4"/>
      <c r="K156" s="4"/>
    </row>
    <row r="157" spans="1:11" ht="19.5" customHeight="1">
      <c r="A157" s="5">
        <v>22</v>
      </c>
      <c r="B157" s="6"/>
      <c r="C157" s="6"/>
      <c r="D157" s="6"/>
      <c r="E157" s="6"/>
      <c r="H157" s="6"/>
      <c r="I157" s="6"/>
      <c r="J157" s="6"/>
      <c r="K157" s="6"/>
    </row>
    <row r="158" spans="1:11" ht="19.5" customHeight="1">
      <c r="A158" s="3">
        <v>23</v>
      </c>
      <c r="B158" s="4"/>
      <c r="C158" s="4"/>
      <c r="D158" s="4"/>
      <c r="E158" s="4"/>
      <c r="H158" s="4"/>
      <c r="I158" s="4"/>
      <c r="J158" s="4"/>
      <c r="K158" s="4"/>
    </row>
    <row r="159" spans="1:11" ht="19.5" customHeight="1">
      <c r="A159" s="5">
        <v>24</v>
      </c>
      <c r="B159" s="6"/>
      <c r="C159" s="6"/>
      <c r="D159" s="6"/>
      <c r="E159" s="6"/>
      <c r="H159" s="6"/>
      <c r="I159" s="6"/>
      <c r="J159" s="6"/>
      <c r="K159" s="6"/>
    </row>
    <row r="160" spans="1:11" ht="19.5" customHeight="1">
      <c r="A160" s="3">
        <v>25</v>
      </c>
      <c r="B160" s="4"/>
      <c r="C160" s="4"/>
      <c r="D160" s="4"/>
      <c r="E160" s="4"/>
      <c r="H160" s="4"/>
      <c r="I160" s="4"/>
      <c r="J160" s="4"/>
      <c r="K160" s="4"/>
    </row>
    <row r="161" spans="1:11" ht="19.5" customHeight="1">
      <c r="A161" s="5">
        <v>26</v>
      </c>
      <c r="B161" s="6"/>
      <c r="C161" s="6"/>
      <c r="D161" s="6"/>
      <c r="E161" s="6"/>
      <c r="H161" s="6"/>
      <c r="I161" s="6"/>
      <c r="J161" s="6"/>
      <c r="K161" s="6"/>
    </row>
    <row r="162" spans="1:11" ht="19.5" customHeight="1">
      <c r="A162" s="3">
        <v>27</v>
      </c>
      <c r="B162" s="4"/>
      <c r="C162" s="4"/>
      <c r="D162" s="4"/>
      <c r="E162" s="4"/>
      <c r="H162" s="4"/>
      <c r="I162" s="4"/>
      <c r="J162" s="4"/>
      <c r="K162" s="4"/>
    </row>
    <row r="163" spans="1:11" ht="19.5" customHeight="1">
      <c r="A163" s="5">
        <v>28</v>
      </c>
      <c r="B163" s="6"/>
      <c r="C163" s="6"/>
      <c r="D163" s="6"/>
      <c r="E163" s="6"/>
      <c r="H163" s="6"/>
      <c r="I163" s="6"/>
      <c r="J163" s="6"/>
      <c r="K163" s="6"/>
    </row>
    <row r="164" spans="1:11" ht="19.5" customHeight="1">
      <c r="A164" s="3">
        <v>29</v>
      </c>
      <c r="B164" s="4"/>
      <c r="C164" s="4"/>
      <c r="D164" s="4"/>
      <c r="E164" s="4"/>
      <c r="H164" s="4"/>
      <c r="I164" s="4"/>
      <c r="J164" s="4"/>
      <c r="K164" s="4"/>
    </row>
    <row r="165" spans="1:11" ht="19.5" customHeight="1">
      <c r="A165" s="5">
        <v>30</v>
      </c>
      <c r="B165" s="6"/>
      <c r="C165" s="6"/>
      <c r="D165" s="6"/>
      <c r="E165" s="6"/>
      <c r="H165" s="6"/>
      <c r="I165" s="6"/>
      <c r="J165" s="6"/>
      <c r="K165" s="6"/>
    </row>
    <row r="166" spans="1:11" ht="19.5" customHeight="1">
      <c r="A166" s="3">
        <v>31</v>
      </c>
      <c r="B166" s="4"/>
      <c r="C166" s="4"/>
      <c r="D166" s="4"/>
      <c r="E166" s="4"/>
      <c r="H166" s="4"/>
      <c r="I166" s="4"/>
      <c r="J166" s="4"/>
      <c r="K166" s="4"/>
    </row>
    <row r="167" spans="1:11" ht="19.5" customHeight="1">
      <c r="A167" s="5">
        <v>32</v>
      </c>
      <c r="B167" s="6"/>
      <c r="C167" s="6"/>
      <c r="D167" s="6"/>
      <c r="E167" s="6"/>
      <c r="H167" s="6"/>
      <c r="I167" s="6"/>
      <c r="J167" s="6"/>
      <c r="K167" s="6"/>
    </row>
    <row r="168" spans="1:11" ht="19.5" customHeight="1">
      <c r="A168" s="3">
        <v>33</v>
      </c>
      <c r="B168" s="4"/>
      <c r="C168" s="4"/>
      <c r="D168" s="4"/>
      <c r="E168" s="4"/>
      <c r="H168" s="4"/>
      <c r="I168" s="4"/>
      <c r="J168" s="4"/>
      <c r="K168" s="4"/>
    </row>
    <row r="169" spans="1:11" ht="19.5" customHeight="1">
      <c r="A169" s="5">
        <v>34</v>
      </c>
      <c r="B169" s="6"/>
      <c r="C169" s="6"/>
      <c r="D169" s="6"/>
      <c r="E169" s="6"/>
      <c r="H169" s="6"/>
      <c r="I169" s="6"/>
      <c r="J169" s="6"/>
      <c r="K169" s="6"/>
    </row>
    <row r="170" spans="1:11" ht="19.5" customHeight="1">
      <c r="A170" s="3">
        <v>35</v>
      </c>
      <c r="B170" s="4"/>
      <c r="C170" s="4"/>
      <c r="D170" s="4"/>
      <c r="E170" s="4"/>
      <c r="H170" s="4"/>
      <c r="I170" s="4"/>
      <c r="J170" s="4"/>
      <c r="K170" s="4"/>
    </row>
    <row r="171" spans="1:11" ht="19.5" customHeight="1">
      <c r="A171" s="5">
        <v>36</v>
      </c>
      <c r="B171" s="6"/>
      <c r="C171" s="6"/>
      <c r="D171" s="6"/>
      <c r="E171" s="6"/>
      <c r="H171" s="6"/>
      <c r="I171" s="6"/>
      <c r="J171" s="6"/>
      <c r="K171" s="6"/>
    </row>
    <row r="172" spans="1:11" ht="19.5" customHeight="1">
      <c r="A172" s="3">
        <v>37</v>
      </c>
      <c r="B172" s="4"/>
      <c r="C172" s="4"/>
      <c r="D172" s="4"/>
      <c r="E172" s="4"/>
      <c r="H172" s="4"/>
      <c r="I172" s="4"/>
      <c r="J172" s="4"/>
      <c r="K172" s="4"/>
    </row>
    <row r="173" spans="1:11" ht="19.5" customHeight="1">
      <c r="A173" s="5">
        <v>38</v>
      </c>
      <c r="B173" s="6"/>
      <c r="C173" s="6"/>
      <c r="D173" s="6"/>
      <c r="E173" s="6"/>
      <c r="H173" s="6"/>
      <c r="I173" s="6"/>
      <c r="J173" s="6"/>
      <c r="K173" s="6"/>
    </row>
    <row r="174" spans="1:11" ht="19.5" customHeight="1">
      <c r="A174" s="3">
        <v>39</v>
      </c>
      <c r="B174" s="4"/>
      <c r="C174" s="4"/>
      <c r="D174" s="4"/>
      <c r="E174" s="4"/>
      <c r="H174" s="4"/>
      <c r="I174" s="4"/>
      <c r="J174" s="4"/>
      <c r="K174" s="4"/>
    </row>
    <row r="175" spans="1:11" ht="19.5" customHeight="1">
      <c r="A175" s="5">
        <v>40</v>
      </c>
      <c r="B175" s="6"/>
      <c r="C175" s="6"/>
      <c r="D175" s="6"/>
      <c r="E175" s="6"/>
      <c r="H175" s="6"/>
      <c r="I175" s="6"/>
      <c r="J175" s="6"/>
      <c r="K175" s="6"/>
    </row>
    <row r="176" spans="1:11" ht="15" customHeight="1">
      <c r="A176" s="27" t="s">
        <v>108</v>
      </c>
      <c r="B176" s="22"/>
      <c r="C176" s="22"/>
      <c r="D176" s="22"/>
      <c r="E176" s="22"/>
      <c r="G176" s="27" t="s">
        <v>108</v>
      </c>
      <c r="H176" s="22"/>
      <c r="I176" s="22"/>
      <c r="J176" s="22"/>
      <c r="K176" s="22"/>
    </row>
    <row r="177" spans="1:11" ht="30" customHeight="1">
      <c r="A177" s="28" t="s">
        <v>109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</row>
    <row r="178" spans="1:11" ht="21.75" customHeight="1">
      <c r="A178" s="35" t="s">
        <v>44</v>
      </c>
      <c r="B178" s="22"/>
      <c r="C178" s="22"/>
      <c r="D178" s="22"/>
      <c r="E178" s="22"/>
      <c r="G178" s="35" t="s">
        <v>45</v>
      </c>
      <c r="H178" s="22"/>
      <c r="I178" s="22"/>
      <c r="J178" s="22"/>
      <c r="K178" s="22"/>
    </row>
    <row r="179" spans="1:11" ht="21.75" customHeight="1">
      <c r="A179" s="9" t="s">
        <v>1</v>
      </c>
      <c r="B179" s="10" t="s">
        <v>2</v>
      </c>
      <c r="C179" s="10" t="s">
        <v>18</v>
      </c>
      <c r="D179" s="10" t="s">
        <v>4</v>
      </c>
      <c r="E179" s="10" t="s">
        <v>8</v>
      </c>
      <c r="G179" s="9" t="s">
        <v>1</v>
      </c>
      <c r="H179" s="10" t="s">
        <v>2</v>
      </c>
      <c r="I179" s="10" t="s">
        <v>18</v>
      </c>
      <c r="J179" s="10" t="s">
        <v>4</v>
      </c>
      <c r="K179" s="10" t="s">
        <v>8</v>
      </c>
    </row>
    <row r="180" spans="1:11" ht="19.5" customHeight="1">
      <c r="A180" s="3">
        <v>1</v>
      </c>
      <c r="B180" s="4"/>
      <c r="C180" s="4"/>
      <c r="D180" s="4"/>
      <c r="E180" s="4"/>
      <c r="H180" s="4"/>
      <c r="I180" s="4"/>
      <c r="J180" s="4"/>
      <c r="K180" s="4"/>
    </row>
    <row r="181" spans="1:11" ht="19.5" customHeight="1">
      <c r="A181" s="5">
        <v>2</v>
      </c>
      <c r="B181" s="6"/>
      <c r="C181" s="6"/>
      <c r="D181" s="6"/>
      <c r="E181" s="6"/>
      <c r="H181" s="6"/>
      <c r="I181" s="6"/>
      <c r="J181" s="6"/>
      <c r="K181" s="6"/>
    </row>
    <row r="182" spans="1:11" ht="19.5" customHeight="1">
      <c r="A182" s="3">
        <v>3</v>
      </c>
      <c r="B182" s="4"/>
      <c r="C182" s="4"/>
      <c r="D182" s="4"/>
      <c r="E182" s="4"/>
      <c r="H182" s="4"/>
      <c r="I182" s="4"/>
      <c r="J182" s="4"/>
      <c r="K182" s="4"/>
    </row>
    <row r="183" spans="1:11" ht="19.5" customHeight="1">
      <c r="A183" s="5">
        <v>4</v>
      </c>
      <c r="B183" s="6"/>
      <c r="C183" s="6"/>
      <c r="D183" s="6"/>
      <c r="E183" s="6"/>
      <c r="H183" s="6"/>
      <c r="I183" s="6"/>
      <c r="J183" s="6"/>
      <c r="K183" s="6"/>
    </row>
    <row r="184" spans="1:11" ht="19.5" customHeight="1">
      <c r="A184" s="3">
        <v>5</v>
      </c>
      <c r="B184" s="4"/>
      <c r="C184" s="4"/>
      <c r="D184" s="4"/>
      <c r="E184" s="4"/>
      <c r="H184" s="4"/>
      <c r="I184" s="4"/>
      <c r="J184" s="4"/>
      <c r="K184" s="4"/>
    </row>
    <row r="185" spans="1:11" ht="19.5" customHeight="1">
      <c r="A185" s="5">
        <v>6</v>
      </c>
      <c r="B185" s="6"/>
      <c r="C185" s="6"/>
      <c r="D185" s="6"/>
      <c r="E185" s="6"/>
      <c r="H185" s="6"/>
      <c r="I185" s="6"/>
      <c r="J185" s="6"/>
      <c r="K185" s="6"/>
    </row>
    <row r="186" spans="1:11" ht="19.5" customHeight="1">
      <c r="A186" s="3">
        <v>7</v>
      </c>
      <c r="B186" s="4"/>
      <c r="C186" s="4"/>
      <c r="D186" s="4"/>
      <c r="E186" s="4"/>
      <c r="H186" s="4"/>
      <c r="I186" s="4"/>
      <c r="J186" s="4"/>
      <c r="K186" s="4"/>
    </row>
    <row r="187" spans="1:11" ht="19.5" customHeight="1">
      <c r="A187" s="5">
        <v>8</v>
      </c>
      <c r="B187" s="6"/>
      <c r="C187" s="6"/>
      <c r="D187" s="6"/>
      <c r="E187" s="6"/>
      <c r="H187" s="6"/>
      <c r="I187" s="6"/>
      <c r="J187" s="6"/>
      <c r="K187" s="6"/>
    </row>
    <row r="188" spans="1:11" ht="19.5" customHeight="1">
      <c r="A188" s="3">
        <v>9</v>
      </c>
      <c r="B188" s="4"/>
      <c r="C188" s="4"/>
      <c r="D188" s="4"/>
      <c r="E188" s="4"/>
      <c r="H188" s="4"/>
      <c r="I188" s="4"/>
      <c r="J188" s="4"/>
      <c r="K188" s="4"/>
    </row>
    <row r="189" spans="1:11" ht="19.5" customHeight="1">
      <c r="A189" s="5">
        <v>10</v>
      </c>
      <c r="B189" s="6"/>
      <c r="C189" s="6"/>
      <c r="D189" s="6"/>
      <c r="E189" s="6"/>
      <c r="H189" s="6"/>
      <c r="I189" s="6"/>
      <c r="J189" s="6"/>
      <c r="K189" s="6"/>
    </row>
    <row r="190" spans="1:11" ht="19.5" customHeight="1">
      <c r="A190" s="3">
        <v>11</v>
      </c>
      <c r="B190" s="4"/>
      <c r="C190" s="4"/>
      <c r="D190" s="4"/>
      <c r="E190" s="4"/>
      <c r="H190" s="4"/>
      <c r="I190" s="4"/>
      <c r="J190" s="4"/>
      <c r="K190" s="4"/>
    </row>
    <row r="191" spans="1:11" ht="19.5" customHeight="1">
      <c r="A191" s="5">
        <v>12</v>
      </c>
      <c r="B191" s="6"/>
      <c r="C191" s="6"/>
      <c r="D191" s="6"/>
      <c r="E191" s="6"/>
      <c r="H191" s="6"/>
      <c r="I191" s="6"/>
      <c r="J191" s="6"/>
      <c r="K191" s="6"/>
    </row>
    <row r="192" spans="1:11" ht="19.5" customHeight="1">
      <c r="A192" s="3">
        <v>13</v>
      </c>
      <c r="B192" s="4"/>
      <c r="C192" s="4"/>
      <c r="D192" s="4"/>
      <c r="E192" s="4"/>
      <c r="H192" s="4"/>
      <c r="I192" s="4"/>
      <c r="J192" s="4"/>
      <c r="K192" s="4"/>
    </row>
    <row r="193" spans="1:11" ht="19.5" customHeight="1">
      <c r="A193" s="5">
        <v>14</v>
      </c>
      <c r="B193" s="6"/>
      <c r="C193" s="6"/>
      <c r="D193" s="6"/>
      <c r="E193" s="6"/>
      <c r="H193" s="6"/>
      <c r="I193" s="6"/>
      <c r="J193" s="6"/>
      <c r="K193" s="6"/>
    </row>
    <row r="194" spans="1:11" ht="19.5" customHeight="1">
      <c r="A194" s="3">
        <v>15</v>
      </c>
      <c r="B194" s="4"/>
      <c r="C194" s="4"/>
      <c r="D194" s="4"/>
      <c r="E194" s="4"/>
      <c r="H194" s="4"/>
      <c r="I194" s="4"/>
      <c r="J194" s="4"/>
      <c r="K194" s="4"/>
    </row>
    <row r="195" spans="1:11" ht="19.5" customHeight="1">
      <c r="A195" s="5">
        <v>16</v>
      </c>
      <c r="B195" s="6"/>
      <c r="C195" s="6"/>
      <c r="D195" s="6"/>
      <c r="E195" s="6"/>
      <c r="H195" s="6"/>
      <c r="I195" s="6"/>
      <c r="J195" s="6"/>
      <c r="K195" s="6"/>
    </row>
    <row r="196" spans="1:11" ht="19.5" customHeight="1">
      <c r="A196" s="3">
        <v>17</v>
      </c>
      <c r="B196" s="4"/>
      <c r="C196" s="4"/>
      <c r="D196" s="4"/>
      <c r="E196" s="4"/>
      <c r="H196" s="4"/>
      <c r="I196" s="4"/>
      <c r="J196" s="4"/>
      <c r="K196" s="4"/>
    </row>
    <row r="197" spans="1:11" ht="19.5" customHeight="1">
      <c r="A197" s="5">
        <v>18</v>
      </c>
      <c r="B197" s="6"/>
      <c r="C197" s="6"/>
      <c r="D197" s="6"/>
      <c r="E197" s="6"/>
      <c r="H197" s="6"/>
      <c r="I197" s="6"/>
      <c r="J197" s="6"/>
      <c r="K197" s="6"/>
    </row>
    <row r="198" spans="1:11" ht="19.5" customHeight="1">
      <c r="A198" s="3">
        <v>19</v>
      </c>
      <c r="B198" s="4"/>
      <c r="C198" s="4"/>
      <c r="D198" s="4"/>
      <c r="E198" s="4"/>
      <c r="H198" s="4"/>
      <c r="I198" s="4"/>
      <c r="J198" s="4"/>
      <c r="K198" s="4"/>
    </row>
    <row r="199" spans="1:11" ht="19.5" customHeight="1">
      <c r="A199" s="5">
        <v>20</v>
      </c>
      <c r="B199" s="6"/>
      <c r="C199" s="6"/>
      <c r="D199" s="6"/>
      <c r="E199" s="6"/>
      <c r="H199" s="6"/>
      <c r="I199" s="6"/>
      <c r="J199" s="6"/>
      <c r="K199" s="6"/>
    </row>
    <row r="200" spans="1:11" ht="19.5" customHeight="1">
      <c r="A200" s="3">
        <v>21</v>
      </c>
      <c r="B200" s="4"/>
      <c r="C200" s="4"/>
      <c r="D200" s="4"/>
      <c r="E200" s="4"/>
      <c r="H200" s="4"/>
      <c r="I200" s="4"/>
      <c r="J200" s="4"/>
      <c r="K200" s="4"/>
    </row>
    <row r="201" spans="1:11" ht="19.5" customHeight="1">
      <c r="A201" s="5">
        <v>22</v>
      </c>
      <c r="B201" s="6"/>
      <c r="C201" s="6"/>
      <c r="D201" s="6"/>
      <c r="E201" s="6"/>
      <c r="H201" s="6"/>
      <c r="I201" s="6"/>
      <c r="J201" s="6"/>
      <c r="K201" s="6"/>
    </row>
    <row r="202" spans="1:11" ht="19.5" customHeight="1">
      <c r="A202" s="3">
        <v>23</v>
      </c>
      <c r="B202" s="4"/>
      <c r="C202" s="4"/>
      <c r="D202" s="4"/>
      <c r="E202" s="4"/>
      <c r="H202" s="4"/>
      <c r="I202" s="4"/>
      <c r="J202" s="4"/>
      <c r="K202" s="4"/>
    </row>
    <row r="203" spans="1:11" ht="19.5" customHeight="1">
      <c r="A203" s="5">
        <v>24</v>
      </c>
      <c r="B203" s="6"/>
      <c r="C203" s="6"/>
      <c r="D203" s="6"/>
      <c r="E203" s="6"/>
      <c r="H203" s="6"/>
      <c r="I203" s="6"/>
      <c r="J203" s="6"/>
      <c r="K203" s="6"/>
    </row>
    <row r="204" spans="1:11" ht="19.5" customHeight="1">
      <c r="A204" s="3">
        <v>25</v>
      </c>
      <c r="B204" s="4"/>
      <c r="C204" s="4"/>
      <c r="D204" s="4"/>
      <c r="E204" s="4"/>
      <c r="H204" s="4"/>
      <c r="I204" s="4"/>
      <c r="J204" s="4"/>
      <c r="K204" s="4"/>
    </row>
    <row r="205" spans="1:11" ht="19.5" customHeight="1">
      <c r="A205" s="5">
        <v>26</v>
      </c>
      <c r="B205" s="6"/>
      <c r="C205" s="6"/>
      <c r="D205" s="6"/>
      <c r="E205" s="6"/>
      <c r="H205" s="6"/>
      <c r="I205" s="6"/>
      <c r="J205" s="6"/>
      <c r="K205" s="6"/>
    </row>
    <row r="206" spans="1:11" ht="19.5" customHeight="1">
      <c r="A206" s="3">
        <v>27</v>
      </c>
      <c r="B206" s="4"/>
      <c r="C206" s="4"/>
      <c r="D206" s="4"/>
      <c r="E206" s="4"/>
      <c r="H206" s="4"/>
      <c r="I206" s="4"/>
      <c r="J206" s="4"/>
      <c r="K206" s="4"/>
    </row>
    <row r="207" spans="1:11" ht="19.5" customHeight="1">
      <c r="A207" s="5">
        <v>28</v>
      </c>
      <c r="B207" s="6"/>
      <c r="C207" s="6"/>
      <c r="D207" s="6"/>
      <c r="E207" s="6"/>
      <c r="H207" s="6"/>
      <c r="I207" s="6"/>
      <c r="J207" s="6"/>
      <c r="K207" s="6"/>
    </row>
    <row r="208" spans="1:11" ht="19.5" customHeight="1">
      <c r="A208" s="3">
        <v>29</v>
      </c>
      <c r="B208" s="4"/>
      <c r="C208" s="4"/>
      <c r="D208" s="4"/>
      <c r="E208" s="4"/>
      <c r="H208" s="4"/>
      <c r="I208" s="4"/>
      <c r="J208" s="4"/>
      <c r="K208" s="4"/>
    </row>
    <row r="209" spans="1:11" ht="19.5" customHeight="1">
      <c r="A209" s="5">
        <v>30</v>
      </c>
      <c r="B209" s="6"/>
      <c r="C209" s="6"/>
      <c r="D209" s="6"/>
      <c r="E209" s="6"/>
      <c r="H209" s="6"/>
      <c r="I209" s="6"/>
      <c r="J209" s="6"/>
      <c r="K209" s="6"/>
    </row>
    <row r="210" spans="1:11" ht="19.5" customHeight="1">
      <c r="A210" s="3">
        <v>31</v>
      </c>
      <c r="B210" s="4"/>
      <c r="C210" s="4"/>
      <c r="D210" s="4"/>
      <c r="E210" s="4"/>
      <c r="H210" s="4"/>
      <c r="I210" s="4"/>
      <c r="J210" s="4"/>
      <c r="K210" s="4"/>
    </row>
    <row r="211" spans="1:11" ht="19.5" customHeight="1">
      <c r="A211" s="5">
        <v>32</v>
      </c>
      <c r="B211" s="6"/>
      <c r="C211" s="6"/>
      <c r="D211" s="6"/>
      <c r="E211" s="6"/>
      <c r="H211" s="6"/>
      <c r="I211" s="6"/>
      <c r="J211" s="6"/>
      <c r="K211" s="6"/>
    </row>
    <row r="212" spans="1:11" ht="19.5" customHeight="1">
      <c r="A212" s="3">
        <v>33</v>
      </c>
      <c r="B212" s="4"/>
      <c r="C212" s="4"/>
      <c r="D212" s="4"/>
      <c r="E212" s="4"/>
      <c r="H212" s="4"/>
      <c r="I212" s="4"/>
      <c r="J212" s="4"/>
      <c r="K212" s="4"/>
    </row>
    <row r="213" spans="1:11" ht="19.5" customHeight="1">
      <c r="A213" s="5">
        <v>34</v>
      </c>
      <c r="B213" s="6"/>
      <c r="C213" s="6"/>
      <c r="D213" s="6"/>
      <c r="E213" s="6"/>
      <c r="H213" s="6"/>
      <c r="I213" s="6"/>
      <c r="J213" s="6"/>
      <c r="K213" s="6"/>
    </row>
    <row r="214" spans="1:11" ht="19.5" customHeight="1">
      <c r="A214" s="3">
        <v>35</v>
      </c>
      <c r="B214" s="4"/>
      <c r="C214" s="4"/>
      <c r="D214" s="4"/>
      <c r="E214" s="4"/>
      <c r="H214" s="4"/>
      <c r="I214" s="4"/>
      <c r="J214" s="4"/>
      <c r="K214" s="4"/>
    </row>
    <row r="215" spans="1:11" ht="19.5" customHeight="1">
      <c r="A215" s="5">
        <v>36</v>
      </c>
      <c r="B215" s="6"/>
      <c r="C215" s="6"/>
      <c r="D215" s="6"/>
      <c r="E215" s="6"/>
      <c r="H215" s="6"/>
      <c r="I215" s="6"/>
      <c r="J215" s="6"/>
      <c r="K215" s="6"/>
    </row>
    <row r="216" spans="1:11" ht="19.5" customHeight="1">
      <c r="A216" s="3">
        <v>37</v>
      </c>
      <c r="B216" s="4"/>
      <c r="C216" s="4"/>
      <c r="D216" s="4"/>
      <c r="E216" s="4"/>
      <c r="H216" s="4"/>
      <c r="I216" s="4"/>
      <c r="J216" s="4"/>
      <c r="K216" s="4"/>
    </row>
    <row r="217" spans="1:11" ht="19.5" customHeight="1">
      <c r="A217" s="5">
        <v>38</v>
      </c>
      <c r="B217" s="6"/>
      <c r="C217" s="6"/>
      <c r="D217" s="6"/>
      <c r="E217" s="6"/>
      <c r="H217" s="6"/>
      <c r="I217" s="6"/>
      <c r="J217" s="6"/>
      <c r="K217" s="6"/>
    </row>
    <row r="218" spans="1:11" ht="19.5" customHeight="1">
      <c r="A218" s="3">
        <v>39</v>
      </c>
      <c r="B218" s="4"/>
      <c r="C218" s="4"/>
      <c r="D218" s="4"/>
      <c r="E218" s="4"/>
      <c r="H218" s="4"/>
      <c r="I218" s="4"/>
      <c r="J218" s="4"/>
      <c r="K218" s="4"/>
    </row>
    <row r="219" spans="1:11" ht="19.5" customHeight="1">
      <c r="A219" s="5">
        <v>40</v>
      </c>
      <c r="B219" s="6"/>
      <c r="C219" s="6"/>
      <c r="D219" s="6"/>
      <c r="E219" s="6"/>
      <c r="H219" s="6"/>
      <c r="I219" s="6"/>
      <c r="J219" s="6"/>
      <c r="K219" s="6"/>
    </row>
    <row r="220" spans="1:11" ht="15" customHeight="1">
      <c r="A220" s="27" t="s">
        <v>110</v>
      </c>
      <c r="B220" s="22"/>
      <c r="C220" s="22"/>
      <c r="D220" s="22"/>
      <c r="E220" s="22"/>
      <c r="G220" s="27" t="s">
        <v>110</v>
      </c>
      <c r="H220" s="22"/>
      <c r="I220" s="22"/>
      <c r="J220" s="22"/>
      <c r="K220" s="22"/>
    </row>
  </sheetData>
  <mergeCells count="25">
    <mergeCell ref="G220:K220"/>
    <mergeCell ref="A89:K89"/>
    <mergeCell ref="A2:E2"/>
    <mergeCell ref="G88:K88"/>
    <mergeCell ref="A134:E134"/>
    <mergeCell ref="A220:E220"/>
    <mergeCell ref="G44:K44"/>
    <mergeCell ref="G90:K90"/>
    <mergeCell ref="G134:K134"/>
    <mergeCell ref="A44:E44"/>
    <mergeCell ref="G46:K46"/>
    <mergeCell ref="A176:E176"/>
    <mergeCell ref="A1:K1"/>
    <mergeCell ref="A45:K45"/>
    <mergeCell ref="A90:E90"/>
    <mergeCell ref="A46:E46"/>
    <mergeCell ref="A133:K133"/>
    <mergeCell ref="G2:K2"/>
    <mergeCell ref="A178:E178"/>
    <mergeCell ref="G178:K178"/>
    <mergeCell ref="A132:E132"/>
    <mergeCell ref="G176:K176"/>
    <mergeCell ref="A88:E88"/>
    <mergeCell ref="G132:K132"/>
    <mergeCell ref="A177:K177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300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4.6328125" customWidth="1"/>
    <col min="6" max="6" width="2" customWidth="1"/>
    <col min="7" max="7" width="4" customWidth="1"/>
    <col min="8" max="8" width="5.54296875" customWidth="1"/>
    <col min="9" max="9" width="9" customWidth="1"/>
    <col min="10" max="10" width="8" customWidth="1"/>
    <col min="11" max="11" width="14.6328125" customWidth="1"/>
  </cols>
  <sheetData>
    <row r="1" spans="1:11" ht="27.75" customHeight="1">
      <c r="A1" s="28" t="s">
        <v>111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>
      <c r="A2" s="35" t="s">
        <v>44</v>
      </c>
      <c r="B2" s="22"/>
      <c r="C2" s="22"/>
      <c r="D2" s="22"/>
      <c r="E2" s="22"/>
      <c r="G2" s="35" t="s">
        <v>45</v>
      </c>
      <c r="H2" s="22"/>
      <c r="I2" s="22"/>
      <c r="J2" s="22"/>
      <c r="K2" s="22"/>
    </row>
    <row r="3" spans="1:11" ht="15" customHeight="1">
      <c r="A3" s="9" t="s">
        <v>112</v>
      </c>
      <c r="B3" s="10" t="s">
        <v>2</v>
      </c>
      <c r="C3" s="10" t="s">
        <v>18</v>
      </c>
      <c r="D3" s="10" t="s">
        <v>4</v>
      </c>
      <c r="E3" s="10" t="s">
        <v>8</v>
      </c>
      <c r="G3" s="9" t="s">
        <v>112</v>
      </c>
      <c r="H3" s="10" t="s">
        <v>2</v>
      </c>
      <c r="I3" s="10" t="s">
        <v>18</v>
      </c>
      <c r="J3" s="10" t="s">
        <v>4</v>
      </c>
      <c r="K3" s="10" t="s">
        <v>8</v>
      </c>
    </row>
    <row r="4" spans="1:11" ht="19.5" customHeight="1">
      <c r="A4" s="3">
        <v>1</v>
      </c>
      <c r="B4" s="4"/>
      <c r="C4" s="4"/>
      <c r="D4" s="4"/>
      <c r="E4" s="4"/>
      <c r="H4" s="4"/>
      <c r="I4" s="4"/>
      <c r="J4" s="4"/>
      <c r="K4" s="4"/>
    </row>
    <row r="5" spans="1:11" ht="19.5" customHeight="1">
      <c r="A5" s="5">
        <v>2</v>
      </c>
      <c r="B5" s="6"/>
      <c r="C5" s="6"/>
      <c r="D5" s="6"/>
      <c r="E5" s="6"/>
      <c r="H5" s="6"/>
      <c r="I5" s="6"/>
      <c r="J5" s="6"/>
      <c r="K5" s="6"/>
    </row>
    <row r="6" spans="1:11" ht="19.5" customHeight="1">
      <c r="A6" s="3">
        <v>3</v>
      </c>
      <c r="B6" s="4"/>
      <c r="C6" s="4"/>
      <c r="D6" s="4"/>
      <c r="E6" s="4"/>
      <c r="H6" s="4"/>
      <c r="I6" s="4"/>
      <c r="J6" s="4"/>
      <c r="K6" s="4"/>
    </row>
    <row r="7" spans="1:11" ht="19.5" customHeight="1">
      <c r="A7" s="5">
        <v>4</v>
      </c>
      <c r="B7" s="6"/>
      <c r="C7" s="6"/>
      <c r="D7" s="6"/>
      <c r="E7" s="6"/>
      <c r="H7" s="6"/>
      <c r="I7" s="6"/>
      <c r="J7" s="6"/>
      <c r="K7" s="6"/>
    </row>
    <row r="8" spans="1:11" ht="19.5" customHeight="1">
      <c r="A8" s="3">
        <v>5</v>
      </c>
      <c r="B8" s="4"/>
      <c r="C8" s="4"/>
      <c r="D8" s="4"/>
      <c r="E8" s="4"/>
      <c r="H8" s="4"/>
      <c r="I8" s="4"/>
      <c r="J8" s="4"/>
      <c r="K8" s="4"/>
    </row>
    <row r="9" spans="1:11" ht="19.5" customHeight="1">
      <c r="A9" s="5">
        <v>6</v>
      </c>
      <c r="B9" s="6"/>
      <c r="C9" s="6"/>
      <c r="D9" s="6"/>
      <c r="E9" s="6"/>
      <c r="H9" s="6"/>
      <c r="I9" s="6"/>
      <c r="J9" s="6"/>
      <c r="K9" s="6"/>
    </row>
    <row r="10" spans="1:11" ht="19.5" customHeight="1">
      <c r="A10" s="3">
        <v>7</v>
      </c>
      <c r="B10" s="4"/>
      <c r="C10" s="4"/>
      <c r="D10" s="4"/>
      <c r="E10" s="4"/>
      <c r="H10" s="4"/>
      <c r="I10" s="4"/>
      <c r="J10" s="4"/>
      <c r="K10" s="4"/>
    </row>
    <row r="11" spans="1:11" ht="23.9" customHeight="1">
      <c r="A11" s="28" t="s">
        <v>113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</row>
    <row r="12" spans="1:11" ht="15" customHeight="1">
      <c r="A12" s="35" t="s">
        <v>44</v>
      </c>
      <c r="B12" s="22"/>
      <c r="C12" s="22"/>
      <c r="D12" s="22"/>
      <c r="E12" s="22"/>
      <c r="G12" s="35" t="s">
        <v>45</v>
      </c>
      <c r="H12" s="22"/>
      <c r="I12" s="22"/>
      <c r="J12" s="22"/>
      <c r="K12" s="22"/>
    </row>
    <row r="13" spans="1:11" ht="15" customHeight="1">
      <c r="A13" s="9" t="s">
        <v>112</v>
      </c>
      <c r="B13" s="10" t="s">
        <v>2</v>
      </c>
      <c r="C13" s="10" t="s">
        <v>114</v>
      </c>
      <c r="D13" s="10" t="s">
        <v>4</v>
      </c>
      <c r="E13" s="10" t="s">
        <v>8</v>
      </c>
      <c r="G13" s="9" t="s">
        <v>112</v>
      </c>
      <c r="H13" s="10" t="s">
        <v>2</v>
      </c>
      <c r="I13" s="10" t="s">
        <v>114</v>
      </c>
      <c r="J13" s="10" t="s">
        <v>4</v>
      </c>
      <c r="K13" s="10" t="s">
        <v>8</v>
      </c>
    </row>
    <row r="14" spans="1:11" ht="19.5" customHeight="1">
      <c r="A14" s="3">
        <v>1</v>
      </c>
      <c r="B14" s="4"/>
      <c r="C14" s="4"/>
      <c r="D14" s="4"/>
      <c r="E14" s="4"/>
      <c r="H14" s="4"/>
      <c r="I14" s="4"/>
      <c r="J14" s="4"/>
      <c r="K14" s="4"/>
    </row>
    <row r="15" spans="1:11" ht="19.5" customHeight="1">
      <c r="A15" s="5">
        <v>2</v>
      </c>
      <c r="B15" s="6"/>
      <c r="C15" s="6"/>
      <c r="D15" s="6"/>
      <c r="E15" s="6"/>
      <c r="H15" s="6"/>
      <c r="I15" s="6"/>
      <c r="J15" s="6"/>
      <c r="K15" s="6"/>
    </row>
    <row r="16" spans="1:11" ht="19.5" customHeight="1">
      <c r="A16" s="3">
        <v>3</v>
      </c>
      <c r="B16" s="4"/>
      <c r="C16" s="4"/>
      <c r="D16" s="4"/>
      <c r="E16" s="4"/>
      <c r="H16" s="4"/>
      <c r="I16" s="4"/>
      <c r="J16" s="4"/>
      <c r="K16" s="4"/>
    </row>
    <row r="17" spans="1:11" ht="19.5" customHeight="1">
      <c r="A17" s="5">
        <v>4</v>
      </c>
      <c r="B17" s="6"/>
      <c r="C17" s="6"/>
      <c r="D17" s="6"/>
      <c r="E17" s="6"/>
      <c r="H17" s="6"/>
      <c r="I17" s="6"/>
      <c r="J17" s="6"/>
      <c r="K17" s="6"/>
    </row>
    <row r="18" spans="1:11" ht="19.5" customHeight="1">
      <c r="A18" s="3">
        <v>5</v>
      </c>
      <c r="B18" s="4"/>
      <c r="C18" s="4"/>
      <c r="D18" s="4"/>
      <c r="E18" s="4"/>
      <c r="H18" s="4"/>
      <c r="I18" s="4"/>
      <c r="J18" s="4"/>
      <c r="K18" s="4"/>
    </row>
    <row r="19" spans="1:11" ht="19.5" customHeight="1">
      <c r="A19" s="5">
        <v>6</v>
      </c>
      <c r="B19" s="6"/>
      <c r="C19" s="6"/>
      <c r="D19" s="6"/>
      <c r="E19" s="6"/>
      <c r="H19" s="6"/>
      <c r="I19" s="6"/>
      <c r="J19" s="6"/>
      <c r="K19" s="6"/>
    </row>
    <row r="20" spans="1:11" ht="19.5" customHeight="1">
      <c r="A20" s="3">
        <v>7</v>
      </c>
      <c r="B20" s="4"/>
      <c r="C20" s="4"/>
      <c r="D20" s="4"/>
      <c r="E20" s="4"/>
      <c r="H20" s="4"/>
      <c r="I20" s="4"/>
      <c r="J20" s="4"/>
      <c r="K20" s="4"/>
    </row>
    <row r="21" spans="1:11" ht="23.9" customHeight="1">
      <c r="A21" s="28" t="s">
        <v>115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15" customHeight="1">
      <c r="A22" s="35" t="s">
        <v>44</v>
      </c>
      <c r="B22" s="22"/>
      <c r="C22" s="22"/>
      <c r="D22" s="22"/>
      <c r="E22" s="22"/>
      <c r="G22" s="35" t="s">
        <v>45</v>
      </c>
      <c r="H22" s="22"/>
      <c r="I22" s="22"/>
      <c r="J22" s="22"/>
      <c r="K22" s="22"/>
    </row>
    <row r="23" spans="1:11" ht="15" customHeight="1">
      <c r="A23" s="9" t="s">
        <v>112</v>
      </c>
      <c r="B23" s="10" t="s">
        <v>2</v>
      </c>
      <c r="C23" s="10" t="s">
        <v>114</v>
      </c>
      <c r="D23" s="10" t="s">
        <v>4</v>
      </c>
      <c r="E23" s="10" t="s">
        <v>8</v>
      </c>
      <c r="G23" s="9" t="s">
        <v>112</v>
      </c>
      <c r="H23" s="10" t="s">
        <v>2</v>
      </c>
      <c r="I23" s="10" t="s">
        <v>114</v>
      </c>
      <c r="J23" s="10" t="s">
        <v>4</v>
      </c>
      <c r="K23" s="10" t="s">
        <v>8</v>
      </c>
    </row>
    <row r="24" spans="1:11" ht="19.5" customHeight="1">
      <c r="A24" s="3">
        <v>1</v>
      </c>
      <c r="B24" s="4"/>
      <c r="C24" s="4"/>
      <c r="D24" s="4"/>
      <c r="E24" s="4"/>
      <c r="H24" s="4"/>
      <c r="I24" s="4"/>
      <c r="J24" s="4"/>
      <c r="K24" s="4"/>
    </row>
    <row r="25" spans="1:11" ht="19.5" customHeight="1">
      <c r="A25" s="5">
        <v>2</v>
      </c>
      <c r="B25" s="6"/>
      <c r="C25" s="6"/>
      <c r="D25" s="6"/>
      <c r="E25" s="6"/>
      <c r="H25" s="6"/>
      <c r="I25" s="6"/>
      <c r="J25" s="6"/>
      <c r="K25" s="6"/>
    </row>
    <row r="26" spans="1:11" ht="19.5" customHeight="1">
      <c r="A26" s="3">
        <v>3</v>
      </c>
      <c r="B26" s="4"/>
      <c r="C26" s="4"/>
      <c r="D26" s="4"/>
      <c r="E26" s="4"/>
      <c r="H26" s="4"/>
      <c r="I26" s="4"/>
      <c r="J26" s="4"/>
      <c r="K26" s="4"/>
    </row>
    <row r="27" spans="1:11" ht="19.5" customHeight="1">
      <c r="A27" s="5">
        <v>4</v>
      </c>
      <c r="B27" s="6"/>
      <c r="C27" s="6"/>
      <c r="D27" s="6"/>
      <c r="E27" s="6"/>
      <c r="H27" s="6"/>
      <c r="I27" s="6"/>
      <c r="J27" s="6"/>
      <c r="K27" s="6"/>
    </row>
    <row r="28" spans="1:11" ht="19.5" customHeight="1">
      <c r="A28" s="3">
        <v>5</v>
      </c>
      <c r="B28" s="4"/>
      <c r="C28" s="4"/>
      <c r="D28" s="4"/>
      <c r="E28" s="4"/>
      <c r="H28" s="4"/>
      <c r="I28" s="4"/>
      <c r="J28" s="4"/>
      <c r="K28" s="4"/>
    </row>
    <row r="29" spans="1:11" ht="19.5" customHeight="1">
      <c r="A29" s="5">
        <v>6</v>
      </c>
      <c r="B29" s="6"/>
      <c r="C29" s="6"/>
      <c r="D29" s="6"/>
      <c r="E29" s="6"/>
      <c r="H29" s="6"/>
      <c r="I29" s="6"/>
      <c r="J29" s="6"/>
      <c r="K29" s="6"/>
    </row>
    <row r="30" spans="1:11" ht="19.5" customHeight="1">
      <c r="A30" s="3">
        <v>7</v>
      </c>
      <c r="B30" s="4"/>
      <c r="C30" s="4"/>
      <c r="D30" s="4"/>
      <c r="E30" s="4"/>
      <c r="H30" s="4"/>
      <c r="I30" s="4"/>
      <c r="J30" s="4"/>
      <c r="K30" s="4"/>
    </row>
    <row r="31" spans="1:11" ht="23.9" customHeight="1">
      <c r="A31" s="28" t="s">
        <v>116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</row>
    <row r="32" spans="1:11" ht="15" customHeight="1">
      <c r="A32" s="35" t="s">
        <v>44</v>
      </c>
      <c r="B32" s="22"/>
      <c r="C32" s="22"/>
      <c r="D32" s="22"/>
      <c r="E32" s="22"/>
      <c r="G32" s="35" t="s">
        <v>45</v>
      </c>
      <c r="H32" s="22"/>
      <c r="I32" s="22"/>
      <c r="J32" s="22"/>
      <c r="K32" s="22"/>
    </row>
    <row r="33" spans="1:11" ht="15" customHeight="1">
      <c r="A33" s="9" t="s">
        <v>112</v>
      </c>
      <c r="B33" s="10" t="s">
        <v>2</v>
      </c>
      <c r="C33" s="10" t="s">
        <v>114</v>
      </c>
      <c r="D33" s="10" t="s">
        <v>4</v>
      </c>
      <c r="E33" s="10" t="s">
        <v>8</v>
      </c>
      <c r="G33" s="9" t="s">
        <v>112</v>
      </c>
      <c r="H33" s="10" t="s">
        <v>2</v>
      </c>
      <c r="I33" s="10" t="s">
        <v>114</v>
      </c>
      <c r="J33" s="10" t="s">
        <v>4</v>
      </c>
      <c r="K33" s="10" t="s">
        <v>8</v>
      </c>
    </row>
    <row r="34" spans="1:11" ht="19.5" customHeight="1">
      <c r="A34" s="3">
        <v>1</v>
      </c>
      <c r="B34" s="4"/>
      <c r="C34" s="4"/>
      <c r="D34" s="4"/>
      <c r="E34" s="4"/>
      <c r="H34" s="4"/>
      <c r="I34" s="4"/>
      <c r="J34" s="4"/>
      <c r="K34" s="4"/>
    </row>
    <row r="35" spans="1:11" ht="19.5" customHeight="1">
      <c r="A35" s="5">
        <v>2</v>
      </c>
      <c r="B35" s="6"/>
      <c r="C35" s="6"/>
      <c r="D35" s="6"/>
      <c r="E35" s="6"/>
      <c r="H35" s="6"/>
      <c r="I35" s="6"/>
      <c r="J35" s="6"/>
      <c r="K35" s="6"/>
    </row>
    <row r="36" spans="1:11" ht="19.5" customHeight="1">
      <c r="A36" s="3">
        <v>3</v>
      </c>
      <c r="B36" s="4"/>
      <c r="C36" s="4"/>
      <c r="D36" s="4"/>
      <c r="E36" s="4"/>
      <c r="H36" s="4"/>
      <c r="I36" s="4"/>
      <c r="J36" s="4"/>
      <c r="K36" s="4"/>
    </row>
    <row r="37" spans="1:11" ht="19.5" customHeight="1">
      <c r="A37" s="5">
        <v>4</v>
      </c>
      <c r="B37" s="6"/>
      <c r="C37" s="6"/>
      <c r="D37" s="6"/>
      <c r="E37" s="6"/>
      <c r="H37" s="6"/>
      <c r="I37" s="6"/>
      <c r="J37" s="6"/>
      <c r="K37" s="6"/>
    </row>
    <row r="38" spans="1:11" ht="19.5" customHeight="1">
      <c r="A38" s="3">
        <v>5</v>
      </c>
      <c r="B38" s="4"/>
      <c r="C38" s="4"/>
      <c r="D38" s="4"/>
      <c r="E38" s="4"/>
      <c r="H38" s="4"/>
      <c r="I38" s="4"/>
      <c r="J38" s="4"/>
      <c r="K38" s="4"/>
    </row>
    <row r="39" spans="1:11" ht="19.5" customHeight="1">
      <c r="A39" s="5">
        <v>6</v>
      </c>
      <c r="B39" s="6"/>
      <c r="C39" s="6"/>
      <c r="D39" s="6"/>
      <c r="E39" s="6"/>
      <c r="H39" s="6"/>
      <c r="I39" s="6"/>
      <c r="J39" s="6"/>
      <c r="K39" s="6"/>
    </row>
    <row r="40" spans="1:11" ht="19.5" customHeight="1">
      <c r="A40" s="3">
        <v>7</v>
      </c>
      <c r="B40" s="4"/>
      <c r="C40" s="4"/>
      <c r="D40" s="4"/>
      <c r="E40" s="4"/>
      <c r="H40" s="4"/>
      <c r="I40" s="4"/>
      <c r="J40" s="4"/>
      <c r="K40" s="4"/>
    </row>
    <row r="41" spans="1:11" ht="23.9" customHeight="1">
      <c r="A41" s="28" t="s">
        <v>117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</row>
    <row r="42" spans="1:11" ht="15" customHeight="1">
      <c r="A42" s="35" t="s">
        <v>44</v>
      </c>
      <c r="B42" s="22"/>
      <c r="C42" s="22"/>
      <c r="D42" s="22"/>
      <c r="E42" s="22"/>
      <c r="G42" s="35" t="s">
        <v>45</v>
      </c>
      <c r="H42" s="22"/>
      <c r="I42" s="22"/>
      <c r="J42" s="22"/>
      <c r="K42" s="22"/>
    </row>
    <row r="43" spans="1:11" ht="15" customHeight="1">
      <c r="A43" s="9" t="s">
        <v>112</v>
      </c>
      <c r="B43" s="10" t="s">
        <v>2</v>
      </c>
      <c r="C43" s="10" t="s">
        <v>114</v>
      </c>
      <c r="D43" s="10" t="s">
        <v>4</v>
      </c>
      <c r="E43" s="10" t="s">
        <v>8</v>
      </c>
      <c r="G43" s="9" t="s">
        <v>112</v>
      </c>
      <c r="H43" s="10" t="s">
        <v>2</v>
      </c>
      <c r="I43" s="10" t="s">
        <v>114</v>
      </c>
      <c r="J43" s="10" t="s">
        <v>4</v>
      </c>
      <c r="K43" s="10" t="s">
        <v>8</v>
      </c>
    </row>
    <row r="44" spans="1:11" ht="19.5" customHeight="1">
      <c r="A44" s="3">
        <v>1</v>
      </c>
      <c r="B44" s="4"/>
      <c r="C44" s="4"/>
      <c r="D44" s="4"/>
      <c r="E44" s="4"/>
      <c r="H44" s="4"/>
      <c r="I44" s="4"/>
      <c r="J44" s="4"/>
      <c r="K44" s="4"/>
    </row>
    <row r="45" spans="1:11" ht="19.5" customHeight="1">
      <c r="A45" s="5">
        <v>2</v>
      </c>
      <c r="B45" s="6"/>
      <c r="C45" s="6"/>
      <c r="D45" s="6"/>
      <c r="E45" s="6"/>
      <c r="H45" s="6"/>
      <c r="I45" s="6"/>
      <c r="J45" s="6"/>
      <c r="K45" s="6"/>
    </row>
    <row r="46" spans="1:11" ht="19.5" customHeight="1">
      <c r="A46" s="3">
        <v>3</v>
      </c>
      <c r="B46" s="4"/>
      <c r="C46" s="4"/>
      <c r="D46" s="4"/>
      <c r="E46" s="4"/>
      <c r="H46" s="4"/>
      <c r="I46" s="4"/>
      <c r="J46" s="4"/>
      <c r="K46" s="4"/>
    </row>
    <row r="47" spans="1:11" ht="19.5" customHeight="1">
      <c r="A47" s="5">
        <v>4</v>
      </c>
      <c r="B47" s="6"/>
      <c r="C47" s="6"/>
      <c r="D47" s="6"/>
      <c r="E47" s="6"/>
      <c r="H47" s="6"/>
      <c r="I47" s="6"/>
      <c r="J47" s="6"/>
      <c r="K47" s="6"/>
    </row>
    <row r="48" spans="1:11" ht="19.5" customHeight="1">
      <c r="A48" s="3">
        <v>5</v>
      </c>
      <c r="B48" s="4"/>
      <c r="C48" s="4"/>
      <c r="D48" s="4"/>
      <c r="E48" s="4"/>
      <c r="H48" s="4"/>
      <c r="I48" s="4"/>
      <c r="J48" s="4"/>
      <c r="K48" s="4"/>
    </row>
    <row r="49" spans="1:11" ht="19.5" customHeight="1">
      <c r="A49" s="5">
        <v>6</v>
      </c>
      <c r="B49" s="6"/>
      <c r="C49" s="6"/>
      <c r="D49" s="6"/>
      <c r="E49" s="6"/>
      <c r="H49" s="6"/>
      <c r="I49" s="6"/>
      <c r="J49" s="6"/>
      <c r="K49" s="6"/>
    </row>
    <row r="50" spans="1:11" ht="19.5" customHeight="1">
      <c r="A50" s="3">
        <v>7</v>
      </c>
      <c r="B50" s="4"/>
      <c r="C50" s="4"/>
      <c r="D50" s="4"/>
      <c r="E50" s="4"/>
      <c r="H50" s="4"/>
      <c r="I50" s="4"/>
      <c r="J50" s="4"/>
      <c r="K50" s="4"/>
    </row>
    <row r="51" spans="1:11" ht="23.9" customHeight="1">
      <c r="A51" s="28" t="s">
        <v>118</v>
      </c>
      <c r="B51" s="22"/>
      <c r="C51" s="22"/>
      <c r="D51" s="22"/>
      <c r="E51" s="22"/>
      <c r="F51" s="22"/>
      <c r="G51" s="22"/>
      <c r="H51" s="22"/>
      <c r="I51" s="22"/>
      <c r="J51" s="22"/>
      <c r="K51" s="22"/>
    </row>
    <row r="52" spans="1:11" ht="15" customHeight="1">
      <c r="A52" s="35" t="s">
        <v>44</v>
      </c>
      <c r="B52" s="22"/>
      <c r="C52" s="22"/>
      <c r="D52" s="22"/>
      <c r="E52" s="22"/>
      <c r="G52" s="35" t="s">
        <v>45</v>
      </c>
      <c r="H52" s="22"/>
      <c r="I52" s="22"/>
      <c r="J52" s="22"/>
      <c r="K52" s="22"/>
    </row>
    <row r="53" spans="1:11" ht="15" customHeight="1">
      <c r="A53" s="9" t="s">
        <v>112</v>
      </c>
      <c r="B53" s="10" t="s">
        <v>2</v>
      </c>
      <c r="C53" s="10" t="s">
        <v>114</v>
      </c>
      <c r="D53" s="10" t="s">
        <v>4</v>
      </c>
      <c r="E53" s="10" t="s">
        <v>8</v>
      </c>
      <c r="G53" s="9" t="s">
        <v>112</v>
      </c>
      <c r="H53" s="10" t="s">
        <v>2</v>
      </c>
      <c r="I53" s="10" t="s">
        <v>114</v>
      </c>
      <c r="J53" s="10" t="s">
        <v>4</v>
      </c>
      <c r="K53" s="10" t="s">
        <v>8</v>
      </c>
    </row>
    <row r="54" spans="1:11" ht="19.5" customHeight="1">
      <c r="A54" s="3">
        <v>1</v>
      </c>
      <c r="B54" s="4"/>
      <c r="C54" s="4"/>
      <c r="D54" s="4"/>
      <c r="E54" s="4"/>
      <c r="H54" s="4"/>
      <c r="I54" s="4"/>
      <c r="J54" s="4"/>
      <c r="K54" s="4"/>
    </row>
    <row r="55" spans="1:11" ht="19.5" customHeight="1">
      <c r="A55" s="5">
        <v>2</v>
      </c>
      <c r="B55" s="6"/>
      <c r="C55" s="6"/>
      <c r="D55" s="6"/>
      <c r="E55" s="6"/>
      <c r="H55" s="6"/>
      <c r="I55" s="6"/>
      <c r="J55" s="6"/>
      <c r="K55" s="6"/>
    </row>
    <row r="56" spans="1:11" ht="19.5" customHeight="1">
      <c r="A56" s="3">
        <v>3</v>
      </c>
      <c r="B56" s="4"/>
      <c r="C56" s="4"/>
      <c r="D56" s="4"/>
      <c r="E56" s="4"/>
      <c r="H56" s="4"/>
      <c r="I56" s="4"/>
      <c r="J56" s="4"/>
      <c r="K56" s="4"/>
    </row>
    <row r="57" spans="1:11" ht="19.5" customHeight="1">
      <c r="A57" s="5">
        <v>4</v>
      </c>
      <c r="B57" s="6"/>
      <c r="C57" s="6"/>
      <c r="D57" s="6"/>
      <c r="E57" s="6"/>
      <c r="H57" s="6"/>
      <c r="I57" s="6"/>
      <c r="J57" s="6"/>
      <c r="K57" s="6"/>
    </row>
    <row r="58" spans="1:11" ht="19.5" customHeight="1">
      <c r="A58" s="3">
        <v>5</v>
      </c>
      <c r="B58" s="4"/>
      <c r="C58" s="4"/>
      <c r="D58" s="4"/>
      <c r="E58" s="4"/>
      <c r="H58" s="4"/>
      <c r="I58" s="4"/>
      <c r="J58" s="4"/>
      <c r="K58" s="4"/>
    </row>
    <row r="59" spans="1:11" ht="19.5" customHeight="1">
      <c r="A59" s="5">
        <v>6</v>
      </c>
      <c r="B59" s="6"/>
      <c r="C59" s="6"/>
      <c r="D59" s="6"/>
      <c r="E59" s="6"/>
      <c r="H59" s="6"/>
      <c r="I59" s="6"/>
      <c r="J59" s="6"/>
      <c r="K59" s="6"/>
    </row>
    <row r="60" spans="1:11" ht="19.5" customHeight="1">
      <c r="A60" s="3">
        <v>7</v>
      </c>
      <c r="B60" s="4"/>
      <c r="C60" s="4"/>
      <c r="D60" s="4"/>
      <c r="E60" s="4"/>
      <c r="H60" s="4"/>
      <c r="I60" s="4"/>
      <c r="J60" s="4"/>
      <c r="K60" s="4"/>
    </row>
    <row r="61" spans="1:11" ht="23.9" customHeight="1">
      <c r="A61" s="28" t="s">
        <v>119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</row>
    <row r="62" spans="1:11" ht="15" customHeight="1">
      <c r="A62" s="35" t="s">
        <v>44</v>
      </c>
      <c r="B62" s="22"/>
      <c r="C62" s="22"/>
      <c r="D62" s="22"/>
      <c r="E62" s="22"/>
      <c r="G62" s="35" t="s">
        <v>45</v>
      </c>
      <c r="H62" s="22"/>
      <c r="I62" s="22"/>
      <c r="J62" s="22"/>
      <c r="K62" s="22"/>
    </row>
    <row r="63" spans="1:11" ht="15" customHeight="1">
      <c r="A63" s="9" t="s">
        <v>112</v>
      </c>
      <c r="B63" s="10" t="s">
        <v>2</v>
      </c>
      <c r="C63" s="10" t="s">
        <v>114</v>
      </c>
      <c r="D63" s="10" t="s">
        <v>4</v>
      </c>
      <c r="E63" s="10" t="s">
        <v>8</v>
      </c>
      <c r="G63" s="9" t="s">
        <v>112</v>
      </c>
      <c r="H63" s="10" t="s">
        <v>2</v>
      </c>
      <c r="I63" s="10" t="s">
        <v>114</v>
      </c>
      <c r="J63" s="10" t="s">
        <v>4</v>
      </c>
      <c r="K63" s="10" t="s">
        <v>8</v>
      </c>
    </row>
    <row r="64" spans="1:11" ht="19.5" customHeight="1">
      <c r="A64" s="3">
        <v>1</v>
      </c>
      <c r="B64" s="4"/>
      <c r="C64" s="4"/>
      <c r="D64" s="4"/>
      <c r="E64" s="4"/>
      <c r="H64" s="4"/>
      <c r="I64" s="4"/>
      <c r="J64" s="4"/>
      <c r="K64" s="4"/>
    </row>
    <row r="65" spans="1:11" ht="19.5" customHeight="1">
      <c r="A65" s="5">
        <v>2</v>
      </c>
      <c r="B65" s="6"/>
      <c r="C65" s="6"/>
      <c r="D65" s="6"/>
      <c r="E65" s="6"/>
      <c r="H65" s="6"/>
      <c r="I65" s="6"/>
      <c r="J65" s="6"/>
      <c r="K65" s="6"/>
    </row>
    <row r="66" spans="1:11" ht="19.5" customHeight="1">
      <c r="A66" s="3">
        <v>3</v>
      </c>
      <c r="B66" s="4"/>
      <c r="C66" s="4"/>
      <c r="D66" s="4"/>
      <c r="E66" s="4"/>
      <c r="H66" s="4"/>
      <c r="I66" s="4"/>
      <c r="J66" s="4"/>
      <c r="K66" s="4"/>
    </row>
    <row r="67" spans="1:11" ht="19.5" customHeight="1">
      <c r="A67" s="5">
        <v>4</v>
      </c>
      <c r="B67" s="6"/>
      <c r="C67" s="6"/>
      <c r="D67" s="6"/>
      <c r="E67" s="6"/>
      <c r="H67" s="6"/>
      <c r="I67" s="6"/>
      <c r="J67" s="6"/>
      <c r="K67" s="6"/>
    </row>
    <row r="68" spans="1:11" ht="19.5" customHeight="1">
      <c r="A68" s="3">
        <v>5</v>
      </c>
      <c r="B68" s="4"/>
      <c r="C68" s="4"/>
      <c r="D68" s="4"/>
      <c r="E68" s="4"/>
      <c r="H68" s="4"/>
      <c r="I68" s="4"/>
      <c r="J68" s="4"/>
      <c r="K68" s="4"/>
    </row>
    <row r="69" spans="1:11" ht="19.5" customHeight="1">
      <c r="A69" s="5">
        <v>6</v>
      </c>
      <c r="B69" s="6"/>
      <c r="C69" s="6"/>
      <c r="D69" s="6"/>
      <c r="E69" s="6"/>
      <c r="H69" s="6"/>
      <c r="I69" s="6"/>
      <c r="J69" s="6"/>
      <c r="K69" s="6"/>
    </row>
    <row r="70" spans="1:11" ht="19.5" customHeight="1">
      <c r="A70" s="3">
        <v>7</v>
      </c>
      <c r="B70" s="4"/>
      <c r="C70" s="4"/>
      <c r="D70" s="4"/>
      <c r="E70" s="4"/>
      <c r="H70" s="4"/>
      <c r="I70" s="4"/>
      <c r="J70" s="4"/>
      <c r="K70" s="4"/>
    </row>
    <row r="71" spans="1:11" ht="23.9" customHeight="1">
      <c r="A71" s="28" t="s">
        <v>120</v>
      </c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spans="1:11" ht="15" customHeight="1">
      <c r="A72" s="35" t="s">
        <v>44</v>
      </c>
      <c r="B72" s="22"/>
      <c r="C72" s="22"/>
      <c r="D72" s="22"/>
      <c r="E72" s="22"/>
      <c r="G72" s="35" t="s">
        <v>45</v>
      </c>
      <c r="H72" s="22"/>
      <c r="I72" s="22"/>
      <c r="J72" s="22"/>
      <c r="K72" s="22"/>
    </row>
    <row r="73" spans="1:11" ht="15" customHeight="1">
      <c r="A73" s="9" t="s">
        <v>112</v>
      </c>
      <c r="B73" s="10" t="s">
        <v>2</v>
      </c>
      <c r="C73" s="10" t="s">
        <v>114</v>
      </c>
      <c r="D73" s="10" t="s">
        <v>4</v>
      </c>
      <c r="E73" s="10" t="s">
        <v>8</v>
      </c>
      <c r="G73" s="9" t="s">
        <v>112</v>
      </c>
      <c r="H73" s="10" t="s">
        <v>2</v>
      </c>
      <c r="I73" s="10" t="s">
        <v>114</v>
      </c>
      <c r="J73" s="10" t="s">
        <v>4</v>
      </c>
      <c r="K73" s="10" t="s">
        <v>8</v>
      </c>
    </row>
    <row r="74" spans="1:11" ht="19.5" customHeight="1">
      <c r="A74" s="3">
        <v>1</v>
      </c>
      <c r="B74" s="4"/>
      <c r="C74" s="4"/>
      <c r="D74" s="4"/>
      <c r="E74" s="4"/>
      <c r="H74" s="4"/>
      <c r="I74" s="4"/>
      <c r="J74" s="4"/>
      <c r="K74" s="4"/>
    </row>
    <row r="75" spans="1:11" ht="19.5" customHeight="1">
      <c r="A75" s="5">
        <v>2</v>
      </c>
      <c r="B75" s="6"/>
      <c r="C75" s="6"/>
      <c r="D75" s="6"/>
      <c r="E75" s="6"/>
      <c r="H75" s="6"/>
      <c r="I75" s="6"/>
      <c r="J75" s="6"/>
      <c r="K75" s="6"/>
    </row>
    <row r="76" spans="1:11" ht="19.5" customHeight="1">
      <c r="A76" s="3">
        <v>3</v>
      </c>
      <c r="B76" s="4"/>
      <c r="C76" s="4"/>
      <c r="D76" s="4"/>
      <c r="E76" s="4"/>
      <c r="H76" s="4"/>
      <c r="I76" s="4"/>
      <c r="J76" s="4"/>
      <c r="K76" s="4"/>
    </row>
    <row r="77" spans="1:11" ht="19.5" customHeight="1">
      <c r="A77" s="5">
        <v>4</v>
      </c>
      <c r="B77" s="6"/>
      <c r="C77" s="6"/>
      <c r="D77" s="6"/>
      <c r="E77" s="6"/>
      <c r="H77" s="6"/>
      <c r="I77" s="6"/>
      <c r="J77" s="6"/>
      <c r="K77" s="6"/>
    </row>
    <row r="78" spans="1:11" ht="19.5" customHeight="1">
      <c r="A78" s="3">
        <v>5</v>
      </c>
      <c r="B78" s="4"/>
      <c r="C78" s="4"/>
      <c r="D78" s="4"/>
      <c r="E78" s="4"/>
      <c r="H78" s="4"/>
      <c r="I78" s="4"/>
      <c r="J78" s="4"/>
      <c r="K78" s="4"/>
    </row>
    <row r="79" spans="1:11" ht="19.5" customHeight="1">
      <c r="A79" s="5">
        <v>6</v>
      </c>
      <c r="B79" s="6"/>
      <c r="C79" s="6"/>
      <c r="D79" s="6"/>
      <c r="E79" s="6"/>
      <c r="H79" s="6"/>
      <c r="I79" s="6"/>
      <c r="J79" s="6"/>
      <c r="K79" s="6"/>
    </row>
    <row r="80" spans="1:11" ht="19.5" customHeight="1">
      <c r="A80" s="3">
        <v>7</v>
      </c>
      <c r="B80" s="4"/>
      <c r="C80" s="4"/>
      <c r="D80" s="4"/>
      <c r="E80" s="4"/>
      <c r="H80" s="4"/>
      <c r="I80" s="4"/>
      <c r="J80" s="4"/>
      <c r="K80" s="4"/>
    </row>
    <row r="81" spans="1:11" ht="23.9" customHeight="1">
      <c r="A81" s="28" t="s">
        <v>121</v>
      </c>
      <c r="B81" s="22"/>
      <c r="C81" s="22"/>
      <c r="D81" s="22"/>
      <c r="E81" s="22"/>
      <c r="F81" s="22"/>
      <c r="G81" s="22"/>
      <c r="H81" s="22"/>
      <c r="I81" s="22"/>
      <c r="J81" s="22"/>
      <c r="K81" s="22"/>
    </row>
    <row r="82" spans="1:11" ht="15" customHeight="1">
      <c r="A82" s="35" t="s">
        <v>44</v>
      </c>
      <c r="B82" s="22"/>
      <c r="C82" s="22"/>
      <c r="D82" s="22"/>
      <c r="E82" s="22"/>
      <c r="G82" s="35" t="s">
        <v>45</v>
      </c>
      <c r="H82" s="22"/>
      <c r="I82" s="22"/>
      <c r="J82" s="22"/>
      <c r="K82" s="22"/>
    </row>
    <row r="83" spans="1:11" ht="15" customHeight="1">
      <c r="A83" s="9" t="s">
        <v>112</v>
      </c>
      <c r="B83" s="10" t="s">
        <v>2</v>
      </c>
      <c r="C83" s="10" t="s">
        <v>114</v>
      </c>
      <c r="D83" s="10" t="s">
        <v>4</v>
      </c>
      <c r="E83" s="10" t="s">
        <v>8</v>
      </c>
      <c r="G83" s="9" t="s">
        <v>112</v>
      </c>
      <c r="H83" s="10" t="s">
        <v>2</v>
      </c>
      <c r="I83" s="10" t="s">
        <v>114</v>
      </c>
      <c r="J83" s="10" t="s">
        <v>4</v>
      </c>
      <c r="K83" s="10" t="s">
        <v>8</v>
      </c>
    </row>
    <row r="84" spans="1:11" ht="19.5" customHeight="1">
      <c r="A84" s="3">
        <v>1</v>
      </c>
      <c r="B84" s="4"/>
      <c r="C84" s="4"/>
      <c r="D84" s="4"/>
      <c r="E84" s="4"/>
      <c r="H84" s="4"/>
      <c r="I84" s="4"/>
      <c r="J84" s="4"/>
      <c r="K84" s="4"/>
    </row>
    <row r="85" spans="1:11" ht="19.5" customHeight="1">
      <c r="A85" s="5">
        <v>2</v>
      </c>
      <c r="B85" s="6"/>
      <c r="C85" s="6"/>
      <c r="D85" s="6"/>
      <c r="E85" s="6"/>
      <c r="H85" s="6"/>
      <c r="I85" s="6"/>
      <c r="J85" s="6"/>
      <c r="K85" s="6"/>
    </row>
    <row r="86" spans="1:11" ht="19.5" customHeight="1">
      <c r="A86" s="3">
        <v>3</v>
      </c>
      <c r="B86" s="4"/>
      <c r="C86" s="4"/>
      <c r="D86" s="4"/>
      <c r="E86" s="4"/>
      <c r="H86" s="4"/>
      <c r="I86" s="4"/>
      <c r="J86" s="4"/>
      <c r="K86" s="4"/>
    </row>
    <row r="87" spans="1:11" ht="19.5" customHeight="1">
      <c r="A87" s="5">
        <v>4</v>
      </c>
      <c r="B87" s="6"/>
      <c r="C87" s="6"/>
      <c r="D87" s="6"/>
      <c r="E87" s="6"/>
      <c r="H87" s="6"/>
      <c r="I87" s="6"/>
      <c r="J87" s="6"/>
      <c r="K87" s="6"/>
    </row>
    <row r="88" spans="1:11" ht="19.5" customHeight="1">
      <c r="A88" s="3">
        <v>5</v>
      </c>
      <c r="B88" s="4"/>
      <c r="C88" s="4"/>
      <c r="D88" s="4"/>
      <c r="E88" s="4"/>
      <c r="H88" s="4"/>
      <c r="I88" s="4"/>
      <c r="J88" s="4"/>
      <c r="K88" s="4"/>
    </row>
    <row r="89" spans="1:11" ht="19.5" customHeight="1">
      <c r="A89" s="5">
        <v>6</v>
      </c>
      <c r="B89" s="6"/>
      <c r="C89" s="6"/>
      <c r="D89" s="6"/>
      <c r="E89" s="6"/>
      <c r="H89" s="6"/>
      <c r="I89" s="6"/>
      <c r="J89" s="6"/>
      <c r="K89" s="6"/>
    </row>
    <row r="90" spans="1:11" ht="19.5" customHeight="1">
      <c r="A90" s="3">
        <v>7</v>
      </c>
      <c r="B90" s="4"/>
      <c r="C90" s="4"/>
      <c r="D90" s="4"/>
      <c r="E90" s="4"/>
      <c r="H90" s="4"/>
      <c r="I90" s="4"/>
      <c r="J90" s="4"/>
      <c r="K90" s="4"/>
    </row>
    <row r="91" spans="1:11" ht="23.9" customHeight="1">
      <c r="A91" s="28" t="s">
        <v>122</v>
      </c>
      <c r="B91" s="22"/>
      <c r="C91" s="22"/>
      <c r="D91" s="22"/>
      <c r="E91" s="22"/>
      <c r="F91" s="22"/>
      <c r="G91" s="22"/>
      <c r="H91" s="22"/>
      <c r="I91" s="22"/>
      <c r="J91" s="22"/>
      <c r="K91" s="22"/>
    </row>
    <row r="92" spans="1:11" ht="15" customHeight="1">
      <c r="A92" s="35" t="s">
        <v>44</v>
      </c>
      <c r="B92" s="22"/>
      <c r="C92" s="22"/>
      <c r="D92" s="22"/>
      <c r="E92" s="22"/>
      <c r="G92" s="35" t="s">
        <v>45</v>
      </c>
      <c r="H92" s="22"/>
      <c r="I92" s="22"/>
      <c r="J92" s="22"/>
      <c r="K92" s="22"/>
    </row>
    <row r="93" spans="1:11" ht="15" customHeight="1">
      <c r="A93" s="9" t="s">
        <v>112</v>
      </c>
      <c r="B93" s="10" t="s">
        <v>2</v>
      </c>
      <c r="C93" s="10" t="s">
        <v>114</v>
      </c>
      <c r="D93" s="10" t="s">
        <v>4</v>
      </c>
      <c r="E93" s="10" t="s">
        <v>8</v>
      </c>
      <c r="G93" s="9" t="s">
        <v>112</v>
      </c>
      <c r="H93" s="10" t="s">
        <v>2</v>
      </c>
      <c r="I93" s="10" t="s">
        <v>114</v>
      </c>
      <c r="J93" s="10" t="s">
        <v>4</v>
      </c>
      <c r="K93" s="10" t="s">
        <v>8</v>
      </c>
    </row>
    <row r="94" spans="1:11" ht="19.5" customHeight="1">
      <c r="A94" s="3">
        <v>1</v>
      </c>
      <c r="B94" s="4"/>
      <c r="C94" s="4"/>
      <c r="D94" s="4"/>
      <c r="E94" s="4"/>
      <c r="H94" s="4"/>
      <c r="I94" s="4"/>
      <c r="J94" s="4"/>
      <c r="K94" s="4"/>
    </row>
    <row r="95" spans="1:11" ht="19.5" customHeight="1">
      <c r="A95" s="5">
        <v>2</v>
      </c>
      <c r="B95" s="6"/>
      <c r="C95" s="6"/>
      <c r="D95" s="6"/>
      <c r="E95" s="6"/>
      <c r="H95" s="6"/>
      <c r="I95" s="6"/>
      <c r="J95" s="6"/>
      <c r="K95" s="6"/>
    </row>
    <row r="96" spans="1:11" ht="19.5" customHeight="1">
      <c r="A96" s="3">
        <v>3</v>
      </c>
      <c r="B96" s="4"/>
      <c r="C96" s="4"/>
      <c r="D96" s="4"/>
      <c r="E96" s="4"/>
      <c r="H96" s="4"/>
      <c r="I96" s="4"/>
      <c r="J96" s="4"/>
      <c r="K96" s="4"/>
    </row>
    <row r="97" spans="1:11" ht="19.5" customHeight="1">
      <c r="A97" s="5">
        <v>4</v>
      </c>
      <c r="B97" s="6"/>
      <c r="C97" s="6"/>
      <c r="D97" s="6"/>
      <c r="E97" s="6"/>
      <c r="H97" s="6"/>
      <c r="I97" s="6"/>
      <c r="J97" s="6"/>
      <c r="K97" s="6"/>
    </row>
    <row r="98" spans="1:11" ht="19.5" customHeight="1">
      <c r="A98" s="3">
        <v>5</v>
      </c>
      <c r="B98" s="4"/>
      <c r="C98" s="4"/>
      <c r="D98" s="4"/>
      <c r="E98" s="4"/>
      <c r="H98" s="4"/>
      <c r="I98" s="4"/>
      <c r="J98" s="4"/>
      <c r="K98" s="4"/>
    </row>
    <row r="99" spans="1:11" ht="19.5" customHeight="1">
      <c r="A99" s="5">
        <v>6</v>
      </c>
      <c r="B99" s="6"/>
      <c r="C99" s="6"/>
      <c r="D99" s="6"/>
      <c r="E99" s="6"/>
      <c r="H99" s="6"/>
      <c r="I99" s="6"/>
      <c r="J99" s="6"/>
      <c r="K99" s="6"/>
    </row>
    <row r="100" spans="1:11" ht="19.5" customHeight="1">
      <c r="A100" s="3">
        <v>7</v>
      </c>
      <c r="B100" s="4"/>
      <c r="C100" s="4"/>
      <c r="D100" s="4"/>
      <c r="E100" s="4"/>
      <c r="H100" s="4"/>
      <c r="I100" s="4"/>
      <c r="J100" s="4"/>
      <c r="K100" s="4"/>
    </row>
    <row r="101" spans="1:11" ht="23.9" customHeight="1">
      <c r="A101" s="28" t="s">
        <v>123</v>
      </c>
      <c r="B101" s="22"/>
      <c r="C101" s="22"/>
      <c r="D101" s="22"/>
      <c r="E101" s="22"/>
      <c r="F101" s="22"/>
      <c r="G101" s="22"/>
      <c r="H101" s="22"/>
      <c r="I101" s="22"/>
      <c r="J101" s="22"/>
      <c r="K101" s="22"/>
    </row>
    <row r="102" spans="1:11" ht="15" customHeight="1">
      <c r="A102" s="35" t="s">
        <v>44</v>
      </c>
      <c r="B102" s="22"/>
      <c r="C102" s="22"/>
      <c r="D102" s="22"/>
      <c r="E102" s="22"/>
      <c r="G102" s="35" t="s">
        <v>45</v>
      </c>
      <c r="H102" s="22"/>
      <c r="I102" s="22"/>
      <c r="J102" s="22"/>
      <c r="K102" s="22"/>
    </row>
    <row r="103" spans="1:11" ht="15" customHeight="1">
      <c r="A103" s="9" t="s">
        <v>112</v>
      </c>
      <c r="B103" s="10" t="s">
        <v>2</v>
      </c>
      <c r="C103" s="10" t="s">
        <v>114</v>
      </c>
      <c r="D103" s="10" t="s">
        <v>4</v>
      </c>
      <c r="E103" s="10" t="s">
        <v>8</v>
      </c>
      <c r="G103" s="9" t="s">
        <v>112</v>
      </c>
      <c r="H103" s="10" t="s">
        <v>2</v>
      </c>
      <c r="I103" s="10" t="s">
        <v>114</v>
      </c>
      <c r="J103" s="10" t="s">
        <v>4</v>
      </c>
      <c r="K103" s="10" t="s">
        <v>8</v>
      </c>
    </row>
    <row r="104" spans="1:11" ht="19.5" customHeight="1">
      <c r="A104" s="3">
        <v>1</v>
      </c>
      <c r="B104" s="4"/>
      <c r="C104" s="4"/>
      <c r="D104" s="4"/>
      <c r="E104" s="4"/>
      <c r="H104" s="4"/>
      <c r="I104" s="4"/>
      <c r="J104" s="4"/>
      <c r="K104" s="4"/>
    </row>
    <row r="105" spans="1:11" ht="19.5" customHeight="1">
      <c r="A105" s="5">
        <v>2</v>
      </c>
      <c r="B105" s="6"/>
      <c r="C105" s="6"/>
      <c r="D105" s="6"/>
      <c r="E105" s="6"/>
      <c r="H105" s="6"/>
      <c r="I105" s="6"/>
      <c r="J105" s="6"/>
      <c r="K105" s="6"/>
    </row>
    <row r="106" spans="1:11" ht="19.5" customHeight="1">
      <c r="A106" s="3">
        <v>3</v>
      </c>
      <c r="B106" s="4"/>
      <c r="C106" s="4"/>
      <c r="D106" s="4"/>
      <c r="E106" s="4"/>
      <c r="H106" s="4"/>
      <c r="I106" s="4"/>
      <c r="J106" s="4"/>
      <c r="K106" s="4"/>
    </row>
    <row r="107" spans="1:11" ht="19.5" customHeight="1">
      <c r="A107" s="5">
        <v>4</v>
      </c>
      <c r="B107" s="6"/>
      <c r="C107" s="6"/>
      <c r="D107" s="6"/>
      <c r="E107" s="6"/>
      <c r="H107" s="6"/>
      <c r="I107" s="6"/>
      <c r="J107" s="6"/>
      <c r="K107" s="6"/>
    </row>
    <row r="108" spans="1:11" ht="19.5" customHeight="1">
      <c r="A108" s="3">
        <v>5</v>
      </c>
      <c r="B108" s="4"/>
      <c r="C108" s="4"/>
      <c r="D108" s="4"/>
      <c r="E108" s="4"/>
      <c r="H108" s="4"/>
      <c r="I108" s="4"/>
      <c r="J108" s="4"/>
      <c r="K108" s="4"/>
    </row>
    <row r="109" spans="1:11" ht="19.5" customHeight="1">
      <c r="A109" s="5">
        <v>6</v>
      </c>
      <c r="B109" s="6"/>
      <c r="C109" s="6"/>
      <c r="D109" s="6"/>
      <c r="E109" s="6"/>
      <c r="H109" s="6"/>
      <c r="I109" s="6"/>
      <c r="J109" s="6"/>
      <c r="K109" s="6"/>
    </row>
    <row r="110" spans="1:11" ht="19.5" customHeight="1">
      <c r="A110" s="3">
        <v>7</v>
      </c>
      <c r="B110" s="4"/>
      <c r="C110" s="4"/>
      <c r="D110" s="4"/>
      <c r="E110" s="4"/>
      <c r="H110" s="4"/>
      <c r="I110" s="4"/>
      <c r="J110" s="4"/>
      <c r="K110" s="4"/>
    </row>
    <row r="111" spans="1:11" ht="23.9" customHeight="1">
      <c r="A111" s="28" t="s">
        <v>124</v>
      </c>
      <c r="B111" s="22"/>
      <c r="C111" s="22"/>
      <c r="D111" s="22"/>
      <c r="E111" s="22"/>
      <c r="F111" s="22"/>
      <c r="G111" s="22"/>
      <c r="H111" s="22"/>
      <c r="I111" s="22"/>
      <c r="J111" s="22"/>
      <c r="K111" s="22"/>
    </row>
    <row r="112" spans="1:11" ht="15" customHeight="1">
      <c r="A112" s="35" t="s">
        <v>44</v>
      </c>
      <c r="B112" s="22"/>
      <c r="C112" s="22"/>
      <c r="D112" s="22"/>
      <c r="E112" s="22"/>
      <c r="G112" s="35" t="s">
        <v>45</v>
      </c>
      <c r="H112" s="22"/>
      <c r="I112" s="22"/>
      <c r="J112" s="22"/>
      <c r="K112" s="22"/>
    </row>
    <row r="113" spans="1:11" ht="15" customHeight="1">
      <c r="A113" s="9" t="s">
        <v>112</v>
      </c>
      <c r="B113" s="10" t="s">
        <v>2</v>
      </c>
      <c r="C113" s="10" t="s">
        <v>114</v>
      </c>
      <c r="D113" s="10" t="s">
        <v>4</v>
      </c>
      <c r="E113" s="10" t="s">
        <v>8</v>
      </c>
      <c r="G113" s="9" t="s">
        <v>112</v>
      </c>
      <c r="H113" s="10" t="s">
        <v>2</v>
      </c>
      <c r="I113" s="10" t="s">
        <v>114</v>
      </c>
      <c r="J113" s="10" t="s">
        <v>4</v>
      </c>
      <c r="K113" s="10" t="s">
        <v>8</v>
      </c>
    </row>
    <row r="114" spans="1:11" ht="19.5" customHeight="1">
      <c r="A114" s="3">
        <v>1</v>
      </c>
      <c r="B114" s="4"/>
      <c r="C114" s="4"/>
      <c r="D114" s="4"/>
      <c r="E114" s="4"/>
      <c r="H114" s="4"/>
      <c r="I114" s="4"/>
      <c r="J114" s="4"/>
      <c r="K114" s="4"/>
    </row>
    <row r="115" spans="1:11" ht="19.5" customHeight="1">
      <c r="A115" s="5">
        <v>2</v>
      </c>
      <c r="B115" s="6"/>
      <c r="C115" s="6"/>
      <c r="D115" s="6"/>
      <c r="E115" s="6"/>
      <c r="H115" s="6"/>
      <c r="I115" s="6"/>
      <c r="J115" s="6"/>
      <c r="K115" s="6"/>
    </row>
    <row r="116" spans="1:11" ht="19.5" customHeight="1">
      <c r="A116" s="3">
        <v>3</v>
      </c>
      <c r="B116" s="4"/>
      <c r="C116" s="4"/>
      <c r="D116" s="4"/>
      <c r="E116" s="4"/>
      <c r="H116" s="4"/>
      <c r="I116" s="4"/>
      <c r="J116" s="4"/>
      <c r="K116" s="4"/>
    </row>
    <row r="117" spans="1:11" ht="19.5" customHeight="1">
      <c r="A117" s="5">
        <v>4</v>
      </c>
      <c r="B117" s="6"/>
      <c r="C117" s="6"/>
      <c r="D117" s="6"/>
      <c r="E117" s="6"/>
      <c r="H117" s="6"/>
      <c r="I117" s="6"/>
      <c r="J117" s="6"/>
      <c r="K117" s="6"/>
    </row>
    <row r="118" spans="1:11" ht="19.5" customHeight="1">
      <c r="A118" s="3">
        <v>5</v>
      </c>
      <c r="B118" s="4"/>
      <c r="C118" s="4"/>
      <c r="D118" s="4"/>
      <c r="E118" s="4"/>
      <c r="H118" s="4"/>
      <c r="I118" s="4"/>
      <c r="J118" s="4"/>
      <c r="K118" s="4"/>
    </row>
    <row r="119" spans="1:11" ht="19.5" customHeight="1">
      <c r="A119" s="5">
        <v>6</v>
      </c>
      <c r="B119" s="6"/>
      <c r="C119" s="6"/>
      <c r="D119" s="6"/>
      <c r="E119" s="6"/>
      <c r="H119" s="6"/>
      <c r="I119" s="6"/>
      <c r="J119" s="6"/>
      <c r="K119" s="6"/>
    </row>
    <row r="120" spans="1:11" ht="19.5" customHeight="1">
      <c r="A120" s="3">
        <v>7</v>
      </c>
      <c r="B120" s="4"/>
      <c r="C120" s="4"/>
      <c r="D120" s="4"/>
      <c r="E120" s="4"/>
      <c r="H120" s="4"/>
      <c r="I120" s="4"/>
      <c r="J120" s="4"/>
      <c r="K120" s="4"/>
    </row>
    <row r="121" spans="1:11" ht="23.9" customHeight="1">
      <c r="A121" s="28" t="s">
        <v>125</v>
      </c>
      <c r="B121" s="22"/>
      <c r="C121" s="22"/>
      <c r="D121" s="22"/>
      <c r="E121" s="22"/>
      <c r="F121" s="22"/>
      <c r="G121" s="22"/>
      <c r="H121" s="22"/>
      <c r="I121" s="22"/>
      <c r="J121" s="22"/>
      <c r="K121" s="22"/>
    </row>
    <row r="122" spans="1:11" ht="15" customHeight="1">
      <c r="A122" s="35" t="s">
        <v>44</v>
      </c>
      <c r="B122" s="22"/>
      <c r="C122" s="22"/>
      <c r="D122" s="22"/>
      <c r="E122" s="22"/>
      <c r="G122" s="35" t="s">
        <v>45</v>
      </c>
      <c r="H122" s="22"/>
      <c r="I122" s="22"/>
      <c r="J122" s="22"/>
      <c r="K122" s="22"/>
    </row>
    <row r="123" spans="1:11" ht="15" customHeight="1">
      <c r="A123" s="9" t="s">
        <v>112</v>
      </c>
      <c r="B123" s="10" t="s">
        <v>2</v>
      </c>
      <c r="C123" s="10" t="s">
        <v>114</v>
      </c>
      <c r="D123" s="10" t="s">
        <v>4</v>
      </c>
      <c r="E123" s="10" t="s">
        <v>8</v>
      </c>
      <c r="G123" s="9" t="s">
        <v>112</v>
      </c>
      <c r="H123" s="10" t="s">
        <v>2</v>
      </c>
      <c r="I123" s="10" t="s">
        <v>114</v>
      </c>
      <c r="J123" s="10" t="s">
        <v>4</v>
      </c>
      <c r="K123" s="10" t="s">
        <v>8</v>
      </c>
    </row>
    <row r="124" spans="1:11" ht="19.5" customHeight="1">
      <c r="A124" s="3">
        <v>1</v>
      </c>
      <c r="B124" s="4"/>
      <c r="C124" s="4"/>
      <c r="D124" s="4"/>
      <c r="E124" s="4"/>
      <c r="H124" s="4"/>
      <c r="I124" s="4"/>
      <c r="J124" s="4"/>
      <c r="K124" s="4"/>
    </row>
    <row r="125" spans="1:11" ht="19.5" customHeight="1">
      <c r="A125" s="5">
        <v>2</v>
      </c>
      <c r="B125" s="6"/>
      <c r="C125" s="6"/>
      <c r="D125" s="6"/>
      <c r="E125" s="6"/>
      <c r="H125" s="6"/>
      <c r="I125" s="6"/>
      <c r="J125" s="6"/>
      <c r="K125" s="6"/>
    </row>
    <row r="126" spans="1:11" ht="19.5" customHeight="1">
      <c r="A126" s="3">
        <v>3</v>
      </c>
      <c r="B126" s="4"/>
      <c r="C126" s="4"/>
      <c r="D126" s="4"/>
      <c r="E126" s="4"/>
      <c r="H126" s="4"/>
      <c r="I126" s="4"/>
      <c r="J126" s="4"/>
      <c r="K126" s="4"/>
    </row>
    <row r="127" spans="1:11" ht="19.5" customHeight="1">
      <c r="A127" s="5">
        <v>4</v>
      </c>
      <c r="B127" s="6"/>
      <c r="C127" s="6"/>
      <c r="D127" s="6"/>
      <c r="E127" s="6"/>
      <c r="H127" s="6"/>
      <c r="I127" s="6"/>
      <c r="J127" s="6"/>
      <c r="K127" s="6"/>
    </row>
    <row r="128" spans="1:11" ht="19.5" customHeight="1">
      <c r="A128" s="3">
        <v>5</v>
      </c>
      <c r="B128" s="4"/>
      <c r="C128" s="4"/>
      <c r="D128" s="4"/>
      <c r="E128" s="4"/>
      <c r="H128" s="4"/>
      <c r="I128" s="4"/>
      <c r="J128" s="4"/>
      <c r="K128" s="4"/>
    </row>
    <row r="129" spans="1:11" ht="19.5" customHeight="1">
      <c r="A129" s="5">
        <v>6</v>
      </c>
      <c r="B129" s="6"/>
      <c r="C129" s="6"/>
      <c r="D129" s="6"/>
      <c r="E129" s="6"/>
      <c r="H129" s="6"/>
      <c r="I129" s="6"/>
      <c r="J129" s="6"/>
      <c r="K129" s="6"/>
    </row>
    <row r="130" spans="1:11" ht="19.5" customHeight="1">
      <c r="A130" s="3">
        <v>7</v>
      </c>
      <c r="B130" s="4"/>
      <c r="C130" s="4"/>
      <c r="D130" s="4"/>
      <c r="E130" s="4"/>
      <c r="H130" s="4"/>
      <c r="I130" s="4"/>
      <c r="J130" s="4"/>
      <c r="K130" s="4"/>
    </row>
    <row r="131" spans="1:11" ht="23.9" customHeight="1">
      <c r="A131" s="28" t="s">
        <v>126</v>
      </c>
      <c r="B131" s="22"/>
      <c r="C131" s="22"/>
      <c r="D131" s="22"/>
      <c r="E131" s="22"/>
      <c r="F131" s="22"/>
      <c r="G131" s="22"/>
      <c r="H131" s="22"/>
      <c r="I131" s="22"/>
      <c r="J131" s="22"/>
      <c r="K131" s="22"/>
    </row>
    <row r="132" spans="1:11" ht="15" customHeight="1">
      <c r="A132" s="35" t="s">
        <v>44</v>
      </c>
      <c r="B132" s="22"/>
      <c r="C132" s="22"/>
      <c r="D132" s="22"/>
      <c r="E132" s="22"/>
      <c r="G132" s="35" t="s">
        <v>45</v>
      </c>
      <c r="H132" s="22"/>
      <c r="I132" s="22"/>
      <c r="J132" s="22"/>
      <c r="K132" s="22"/>
    </row>
    <row r="133" spans="1:11" ht="15" customHeight="1">
      <c r="A133" s="9" t="s">
        <v>112</v>
      </c>
      <c r="B133" s="10" t="s">
        <v>2</v>
      </c>
      <c r="C133" s="10" t="s">
        <v>114</v>
      </c>
      <c r="D133" s="10" t="s">
        <v>4</v>
      </c>
      <c r="E133" s="10" t="s">
        <v>8</v>
      </c>
      <c r="G133" s="9" t="s">
        <v>112</v>
      </c>
      <c r="H133" s="10" t="s">
        <v>2</v>
      </c>
      <c r="I133" s="10" t="s">
        <v>114</v>
      </c>
      <c r="J133" s="10" t="s">
        <v>4</v>
      </c>
      <c r="K133" s="10" t="s">
        <v>8</v>
      </c>
    </row>
    <row r="134" spans="1:11" ht="19.5" customHeight="1">
      <c r="A134" s="3">
        <v>1</v>
      </c>
      <c r="B134" s="4"/>
      <c r="C134" s="4"/>
      <c r="D134" s="4"/>
      <c r="E134" s="4"/>
      <c r="H134" s="4"/>
      <c r="I134" s="4"/>
      <c r="J134" s="4"/>
      <c r="K134" s="4"/>
    </row>
    <row r="135" spans="1:11" ht="19.5" customHeight="1">
      <c r="A135" s="5">
        <v>2</v>
      </c>
      <c r="B135" s="6"/>
      <c r="C135" s="6"/>
      <c r="D135" s="6"/>
      <c r="E135" s="6"/>
      <c r="H135" s="6"/>
      <c r="I135" s="6"/>
      <c r="J135" s="6"/>
      <c r="K135" s="6"/>
    </row>
    <row r="136" spans="1:11" ht="19.5" customHeight="1">
      <c r="A136" s="3">
        <v>3</v>
      </c>
      <c r="B136" s="4"/>
      <c r="C136" s="4"/>
      <c r="D136" s="4"/>
      <c r="E136" s="4"/>
      <c r="H136" s="4"/>
      <c r="I136" s="4"/>
      <c r="J136" s="4"/>
      <c r="K136" s="4"/>
    </row>
    <row r="137" spans="1:11" ht="19.5" customHeight="1">
      <c r="A137" s="5">
        <v>4</v>
      </c>
      <c r="B137" s="6"/>
      <c r="C137" s="6"/>
      <c r="D137" s="6"/>
      <c r="E137" s="6"/>
      <c r="H137" s="6"/>
      <c r="I137" s="6"/>
      <c r="J137" s="6"/>
      <c r="K137" s="6"/>
    </row>
    <row r="138" spans="1:11" ht="19.5" customHeight="1">
      <c r="A138" s="3">
        <v>5</v>
      </c>
      <c r="B138" s="4"/>
      <c r="C138" s="4"/>
      <c r="D138" s="4"/>
      <c r="E138" s="4"/>
      <c r="H138" s="4"/>
      <c r="I138" s="4"/>
      <c r="J138" s="4"/>
      <c r="K138" s="4"/>
    </row>
    <row r="139" spans="1:11" ht="19.5" customHeight="1">
      <c r="A139" s="5">
        <v>6</v>
      </c>
      <c r="B139" s="6"/>
      <c r="C139" s="6"/>
      <c r="D139" s="6"/>
      <c r="E139" s="6"/>
      <c r="H139" s="6"/>
      <c r="I139" s="6"/>
      <c r="J139" s="6"/>
      <c r="K139" s="6"/>
    </row>
    <row r="140" spans="1:11" ht="19.5" customHeight="1">
      <c r="A140" s="3">
        <v>7</v>
      </c>
      <c r="B140" s="4"/>
      <c r="C140" s="4"/>
      <c r="D140" s="4"/>
      <c r="E140" s="4"/>
      <c r="H140" s="4"/>
      <c r="I140" s="4"/>
      <c r="J140" s="4"/>
      <c r="K140" s="4"/>
    </row>
    <row r="141" spans="1:11" ht="23.9" customHeight="1">
      <c r="A141" s="28" t="s">
        <v>127</v>
      </c>
      <c r="B141" s="22"/>
      <c r="C141" s="22"/>
      <c r="D141" s="22"/>
      <c r="E141" s="22"/>
      <c r="F141" s="22"/>
      <c r="G141" s="22"/>
      <c r="H141" s="22"/>
      <c r="I141" s="22"/>
      <c r="J141" s="22"/>
      <c r="K141" s="22"/>
    </row>
    <row r="142" spans="1:11" ht="15" customHeight="1">
      <c r="A142" s="35" t="s">
        <v>44</v>
      </c>
      <c r="B142" s="22"/>
      <c r="C142" s="22"/>
      <c r="D142" s="22"/>
      <c r="E142" s="22"/>
      <c r="G142" s="35" t="s">
        <v>45</v>
      </c>
      <c r="H142" s="22"/>
      <c r="I142" s="22"/>
      <c r="J142" s="22"/>
      <c r="K142" s="22"/>
    </row>
    <row r="143" spans="1:11" ht="15" customHeight="1">
      <c r="A143" s="9" t="s">
        <v>112</v>
      </c>
      <c r="B143" s="10" t="s">
        <v>2</v>
      </c>
      <c r="C143" s="10" t="s">
        <v>114</v>
      </c>
      <c r="D143" s="10" t="s">
        <v>4</v>
      </c>
      <c r="E143" s="10" t="s">
        <v>8</v>
      </c>
      <c r="G143" s="9" t="s">
        <v>112</v>
      </c>
      <c r="H143" s="10" t="s">
        <v>2</v>
      </c>
      <c r="I143" s="10" t="s">
        <v>114</v>
      </c>
      <c r="J143" s="10" t="s">
        <v>4</v>
      </c>
      <c r="K143" s="10" t="s">
        <v>8</v>
      </c>
    </row>
    <row r="144" spans="1:11" ht="19.5" customHeight="1">
      <c r="A144" s="3">
        <v>1</v>
      </c>
      <c r="B144" s="4"/>
      <c r="C144" s="4"/>
      <c r="D144" s="4"/>
      <c r="E144" s="4"/>
      <c r="H144" s="4"/>
      <c r="I144" s="4"/>
      <c r="J144" s="4"/>
      <c r="K144" s="4"/>
    </row>
    <row r="145" spans="1:11" ht="19.5" customHeight="1">
      <c r="A145" s="5">
        <v>2</v>
      </c>
      <c r="B145" s="6"/>
      <c r="C145" s="6"/>
      <c r="D145" s="6"/>
      <c r="E145" s="6"/>
      <c r="H145" s="6"/>
      <c r="I145" s="6"/>
      <c r="J145" s="6"/>
      <c r="K145" s="6"/>
    </row>
    <row r="146" spans="1:11" ht="19.5" customHeight="1">
      <c r="A146" s="3">
        <v>3</v>
      </c>
      <c r="B146" s="4"/>
      <c r="C146" s="4"/>
      <c r="D146" s="4"/>
      <c r="E146" s="4"/>
      <c r="H146" s="4"/>
      <c r="I146" s="4"/>
      <c r="J146" s="4"/>
      <c r="K146" s="4"/>
    </row>
    <row r="147" spans="1:11" ht="19.5" customHeight="1">
      <c r="A147" s="5">
        <v>4</v>
      </c>
      <c r="B147" s="6"/>
      <c r="C147" s="6"/>
      <c r="D147" s="6"/>
      <c r="E147" s="6"/>
      <c r="H147" s="6"/>
      <c r="I147" s="6"/>
      <c r="J147" s="6"/>
      <c r="K147" s="6"/>
    </row>
    <row r="148" spans="1:11" ht="19.5" customHeight="1">
      <c r="A148" s="3">
        <v>5</v>
      </c>
      <c r="B148" s="4"/>
      <c r="C148" s="4"/>
      <c r="D148" s="4"/>
      <c r="E148" s="4"/>
      <c r="H148" s="4"/>
      <c r="I148" s="4"/>
      <c r="J148" s="4"/>
      <c r="K148" s="4"/>
    </row>
    <row r="149" spans="1:11" ht="19.5" customHeight="1">
      <c r="A149" s="5">
        <v>6</v>
      </c>
      <c r="B149" s="6"/>
      <c r="C149" s="6"/>
      <c r="D149" s="6"/>
      <c r="E149" s="6"/>
      <c r="H149" s="6"/>
      <c r="I149" s="6"/>
      <c r="J149" s="6"/>
      <c r="K149" s="6"/>
    </row>
    <row r="150" spans="1:11" ht="19.5" customHeight="1">
      <c r="A150" s="3">
        <v>7</v>
      </c>
      <c r="B150" s="4"/>
      <c r="C150" s="4"/>
      <c r="D150" s="4"/>
      <c r="E150" s="4"/>
      <c r="H150" s="4"/>
      <c r="I150" s="4"/>
      <c r="J150" s="4"/>
      <c r="K150" s="4"/>
    </row>
    <row r="151" spans="1:11" ht="23.9" customHeight="1">
      <c r="A151" s="28" t="s">
        <v>128</v>
      </c>
      <c r="B151" s="22"/>
      <c r="C151" s="22"/>
      <c r="D151" s="22"/>
      <c r="E151" s="22"/>
      <c r="F151" s="22"/>
      <c r="G151" s="22"/>
      <c r="H151" s="22"/>
      <c r="I151" s="22"/>
      <c r="J151" s="22"/>
      <c r="K151" s="22"/>
    </row>
    <row r="152" spans="1:11" ht="15" customHeight="1">
      <c r="A152" s="35" t="s">
        <v>44</v>
      </c>
      <c r="B152" s="22"/>
      <c r="C152" s="22"/>
      <c r="D152" s="22"/>
      <c r="E152" s="22"/>
      <c r="G152" s="35" t="s">
        <v>45</v>
      </c>
      <c r="H152" s="22"/>
      <c r="I152" s="22"/>
      <c r="J152" s="22"/>
      <c r="K152" s="22"/>
    </row>
    <row r="153" spans="1:11" ht="15" customHeight="1">
      <c r="A153" s="9" t="s">
        <v>112</v>
      </c>
      <c r="B153" s="10" t="s">
        <v>2</v>
      </c>
      <c r="C153" s="10" t="s">
        <v>114</v>
      </c>
      <c r="D153" s="10" t="s">
        <v>4</v>
      </c>
      <c r="E153" s="10" t="s">
        <v>8</v>
      </c>
      <c r="G153" s="9" t="s">
        <v>112</v>
      </c>
      <c r="H153" s="10" t="s">
        <v>2</v>
      </c>
      <c r="I153" s="10" t="s">
        <v>114</v>
      </c>
      <c r="J153" s="10" t="s">
        <v>4</v>
      </c>
      <c r="K153" s="10" t="s">
        <v>8</v>
      </c>
    </row>
    <row r="154" spans="1:11" ht="19.5" customHeight="1">
      <c r="A154" s="3">
        <v>1</v>
      </c>
      <c r="B154" s="4"/>
      <c r="C154" s="4"/>
      <c r="D154" s="4"/>
      <c r="E154" s="4"/>
      <c r="H154" s="4"/>
      <c r="I154" s="4"/>
      <c r="J154" s="4"/>
      <c r="K154" s="4"/>
    </row>
    <row r="155" spans="1:11" ht="19.5" customHeight="1">
      <c r="A155" s="5">
        <v>2</v>
      </c>
      <c r="B155" s="6"/>
      <c r="C155" s="6"/>
      <c r="D155" s="6"/>
      <c r="E155" s="6"/>
      <c r="H155" s="6"/>
      <c r="I155" s="6"/>
      <c r="J155" s="6"/>
      <c r="K155" s="6"/>
    </row>
    <row r="156" spans="1:11" ht="19.5" customHeight="1">
      <c r="A156" s="3">
        <v>3</v>
      </c>
      <c r="B156" s="4"/>
      <c r="C156" s="4"/>
      <c r="D156" s="4"/>
      <c r="E156" s="4"/>
      <c r="H156" s="4"/>
      <c r="I156" s="4"/>
      <c r="J156" s="4"/>
      <c r="K156" s="4"/>
    </row>
    <row r="157" spans="1:11" ht="19.5" customHeight="1">
      <c r="A157" s="5">
        <v>4</v>
      </c>
      <c r="B157" s="6"/>
      <c r="C157" s="6"/>
      <c r="D157" s="6"/>
      <c r="E157" s="6"/>
      <c r="H157" s="6"/>
      <c r="I157" s="6"/>
      <c r="J157" s="6"/>
      <c r="K157" s="6"/>
    </row>
    <row r="158" spans="1:11" ht="19.5" customHeight="1">
      <c r="A158" s="3">
        <v>5</v>
      </c>
      <c r="B158" s="4"/>
      <c r="C158" s="4"/>
      <c r="D158" s="4"/>
      <c r="E158" s="4"/>
      <c r="H158" s="4"/>
      <c r="I158" s="4"/>
      <c r="J158" s="4"/>
      <c r="K158" s="4"/>
    </row>
    <row r="159" spans="1:11" ht="19.5" customHeight="1">
      <c r="A159" s="5">
        <v>6</v>
      </c>
      <c r="B159" s="6"/>
      <c r="C159" s="6"/>
      <c r="D159" s="6"/>
      <c r="E159" s="6"/>
      <c r="H159" s="6"/>
      <c r="I159" s="6"/>
      <c r="J159" s="6"/>
      <c r="K159" s="6"/>
    </row>
    <row r="160" spans="1:11" ht="19.5" customHeight="1">
      <c r="A160" s="3">
        <v>7</v>
      </c>
      <c r="B160" s="4"/>
      <c r="C160" s="4"/>
      <c r="D160" s="4"/>
      <c r="E160" s="4"/>
      <c r="H160" s="4"/>
      <c r="I160" s="4"/>
      <c r="J160" s="4"/>
      <c r="K160" s="4"/>
    </row>
    <row r="161" spans="1:11" ht="23.9" customHeight="1">
      <c r="A161" s="28" t="s">
        <v>129</v>
      </c>
      <c r="B161" s="22"/>
      <c r="C161" s="22"/>
      <c r="D161" s="22"/>
      <c r="E161" s="22"/>
      <c r="F161" s="22"/>
      <c r="G161" s="22"/>
      <c r="H161" s="22"/>
      <c r="I161" s="22"/>
      <c r="J161" s="22"/>
      <c r="K161" s="22"/>
    </row>
    <row r="162" spans="1:11" ht="15" customHeight="1">
      <c r="A162" s="35" t="s">
        <v>44</v>
      </c>
      <c r="B162" s="22"/>
      <c r="C162" s="22"/>
      <c r="D162" s="22"/>
      <c r="E162" s="22"/>
      <c r="G162" s="35" t="s">
        <v>45</v>
      </c>
      <c r="H162" s="22"/>
      <c r="I162" s="22"/>
      <c r="J162" s="22"/>
      <c r="K162" s="22"/>
    </row>
    <row r="163" spans="1:11" ht="15" customHeight="1">
      <c r="A163" s="9" t="s">
        <v>112</v>
      </c>
      <c r="B163" s="10" t="s">
        <v>2</v>
      </c>
      <c r="C163" s="10" t="s">
        <v>114</v>
      </c>
      <c r="D163" s="10" t="s">
        <v>4</v>
      </c>
      <c r="E163" s="10" t="s">
        <v>8</v>
      </c>
      <c r="G163" s="9" t="s">
        <v>112</v>
      </c>
      <c r="H163" s="10" t="s">
        <v>2</v>
      </c>
      <c r="I163" s="10" t="s">
        <v>114</v>
      </c>
      <c r="J163" s="10" t="s">
        <v>4</v>
      </c>
      <c r="K163" s="10" t="s">
        <v>8</v>
      </c>
    </row>
    <row r="164" spans="1:11" ht="19.5" customHeight="1">
      <c r="A164" s="3">
        <v>1</v>
      </c>
      <c r="B164" s="4"/>
      <c r="C164" s="4"/>
      <c r="D164" s="4"/>
      <c r="E164" s="4"/>
      <c r="H164" s="4"/>
      <c r="I164" s="4"/>
      <c r="J164" s="4"/>
      <c r="K164" s="4"/>
    </row>
    <row r="165" spans="1:11" ht="19.5" customHeight="1">
      <c r="A165" s="5">
        <v>2</v>
      </c>
      <c r="B165" s="6"/>
      <c r="C165" s="6"/>
      <c r="D165" s="6"/>
      <c r="E165" s="6"/>
      <c r="H165" s="6"/>
      <c r="I165" s="6"/>
      <c r="J165" s="6"/>
      <c r="K165" s="6"/>
    </row>
    <row r="166" spans="1:11" ht="19.5" customHeight="1">
      <c r="A166" s="3">
        <v>3</v>
      </c>
      <c r="B166" s="4"/>
      <c r="C166" s="4"/>
      <c r="D166" s="4"/>
      <c r="E166" s="4"/>
      <c r="H166" s="4"/>
      <c r="I166" s="4"/>
      <c r="J166" s="4"/>
      <c r="K166" s="4"/>
    </row>
    <row r="167" spans="1:11" ht="19.5" customHeight="1">
      <c r="A167" s="5">
        <v>4</v>
      </c>
      <c r="B167" s="6"/>
      <c r="C167" s="6"/>
      <c r="D167" s="6"/>
      <c r="E167" s="6"/>
      <c r="H167" s="6"/>
      <c r="I167" s="6"/>
      <c r="J167" s="6"/>
      <c r="K167" s="6"/>
    </row>
    <row r="168" spans="1:11" ht="19.5" customHeight="1">
      <c r="A168" s="3">
        <v>5</v>
      </c>
      <c r="B168" s="4"/>
      <c r="C168" s="4"/>
      <c r="D168" s="4"/>
      <c r="E168" s="4"/>
      <c r="H168" s="4"/>
      <c r="I168" s="4"/>
      <c r="J168" s="4"/>
      <c r="K168" s="4"/>
    </row>
    <row r="169" spans="1:11" ht="19.5" customHeight="1">
      <c r="A169" s="5">
        <v>6</v>
      </c>
      <c r="B169" s="6"/>
      <c r="C169" s="6"/>
      <c r="D169" s="6"/>
      <c r="E169" s="6"/>
      <c r="H169" s="6"/>
      <c r="I169" s="6"/>
      <c r="J169" s="6"/>
      <c r="K169" s="6"/>
    </row>
    <row r="170" spans="1:11" ht="19.5" customHeight="1">
      <c r="A170" s="3">
        <v>7</v>
      </c>
      <c r="B170" s="4"/>
      <c r="C170" s="4"/>
      <c r="D170" s="4"/>
      <c r="E170" s="4"/>
      <c r="H170" s="4"/>
      <c r="I170" s="4"/>
      <c r="J170" s="4"/>
      <c r="K170" s="4"/>
    </row>
    <row r="171" spans="1:11" ht="23.9" customHeight="1">
      <c r="A171" s="28" t="s">
        <v>130</v>
      </c>
      <c r="B171" s="22"/>
      <c r="C171" s="22"/>
      <c r="D171" s="22"/>
      <c r="E171" s="22"/>
      <c r="F171" s="22"/>
      <c r="G171" s="22"/>
      <c r="H171" s="22"/>
      <c r="I171" s="22"/>
      <c r="J171" s="22"/>
      <c r="K171" s="22"/>
    </row>
    <row r="172" spans="1:11" ht="15" customHeight="1">
      <c r="A172" s="35" t="s">
        <v>44</v>
      </c>
      <c r="B172" s="22"/>
      <c r="C172" s="22"/>
      <c r="D172" s="22"/>
      <c r="E172" s="22"/>
      <c r="G172" s="35" t="s">
        <v>45</v>
      </c>
      <c r="H172" s="22"/>
      <c r="I172" s="22"/>
      <c r="J172" s="22"/>
      <c r="K172" s="22"/>
    </row>
    <row r="173" spans="1:11" ht="15" customHeight="1">
      <c r="A173" s="9" t="s">
        <v>112</v>
      </c>
      <c r="B173" s="10" t="s">
        <v>2</v>
      </c>
      <c r="C173" s="10" t="s">
        <v>114</v>
      </c>
      <c r="D173" s="10" t="s">
        <v>4</v>
      </c>
      <c r="E173" s="10" t="s">
        <v>8</v>
      </c>
      <c r="G173" s="9" t="s">
        <v>112</v>
      </c>
      <c r="H173" s="10" t="s">
        <v>2</v>
      </c>
      <c r="I173" s="10" t="s">
        <v>114</v>
      </c>
      <c r="J173" s="10" t="s">
        <v>4</v>
      </c>
      <c r="K173" s="10" t="s">
        <v>8</v>
      </c>
    </row>
    <row r="174" spans="1:11" ht="19.5" customHeight="1">
      <c r="A174" s="3">
        <v>1</v>
      </c>
      <c r="B174" s="4"/>
      <c r="C174" s="4"/>
      <c r="D174" s="4"/>
      <c r="E174" s="4"/>
      <c r="H174" s="4"/>
      <c r="I174" s="4"/>
      <c r="J174" s="4"/>
      <c r="K174" s="4"/>
    </row>
    <row r="175" spans="1:11" ht="19.5" customHeight="1">
      <c r="A175" s="5">
        <v>2</v>
      </c>
      <c r="B175" s="6"/>
      <c r="C175" s="6"/>
      <c r="D175" s="6"/>
      <c r="E175" s="6"/>
      <c r="H175" s="6"/>
      <c r="I175" s="6"/>
      <c r="J175" s="6"/>
      <c r="K175" s="6"/>
    </row>
    <row r="176" spans="1:11" ht="19.5" customHeight="1">
      <c r="A176" s="3">
        <v>3</v>
      </c>
      <c r="B176" s="4"/>
      <c r="C176" s="4"/>
      <c r="D176" s="4"/>
      <c r="E176" s="4"/>
      <c r="H176" s="4"/>
      <c r="I176" s="4"/>
      <c r="J176" s="4"/>
      <c r="K176" s="4"/>
    </row>
    <row r="177" spans="1:11" ht="19.5" customHeight="1">
      <c r="A177" s="5">
        <v>4</v>
      </c>
      <c r="B177" s="6"/>
      <c r="C177" s="6"/>
      <c r="D177" s="6"/>
      <c r="E177" s="6"/>
      <c r="H177" s="6"/>
      <c r="I177" s="6"/>
      <c r="J177" s="6"/>
      <c r="K177" s="6"/>
    </row>
    <row r="178" spans="1:11" ht="19.5" customHeight="1">
      <c r="A178" s="3">
        <v>5</v>
      </c>
      <c r="B178" s="4"/>
      <c r="C178" s="4"/>
      <c r="D178" s="4"/>
      <c r="E178" s="4"/>
      <c r="H178" s="4"/>
      <c r="I178" s="4"/>
      <c r="J178" s="4"/>
      <c r="K178" s="4"/>
    </row>
    <row r="179" spans="1:11" ht="19.5" customHeight="1">
      <c r="A179" s="5">
        <v>6</v>
      </c>
      <c r="B179" s="6"/>
      <c r="C179" s="6"/>
      <c r="D179" s="6"/>
      <c r="E179" s="6"/>
      <c r="H179" s="6"/>
      <c r="I179" s="6"/>
      <c r="J179" s="6"/>
      <c r="K179" s="6"/>
    </row>
    <row r="180" spans="1:11" ht="19.5" customHeight="1">
      <c r="A180" s="3">
        <v>7</v>
      </c>
      <c r="B180" s="4"/>
      <c r="C180" s="4"/>
      <c r="D180" s="4"/>
      <c r="E180" s="4"/>
      <c r="H180" s="4"/>
      <c r="I180" s="4"/>
      <c r="J180" s="4"/>
      <c r="K180" s="4"/>
    </row>
    <row r="181" spans="1:11" ht="23.9" customHeight="1">
      <c r="A181" s="28" t="s">
        <v>131</v>
      </c>
      <c r="B181" s="22"/>
      <c r="C181" s="22"/>
      <c r="D181" s="22"/>
      <c r="E181" s="22"/>
      <c r="F181" s="22"/>
      <c r="G181" s="22"/>
      <c r="H181" s="22"/>
      <c r="I181" s="22"/>
      <c r="J181" s="22"/>
      <c r="K181" s="22"/>
    </row>
    <row r="182" spans="1:11" ht="15" customHeight="1">
      <c r="A182" s="35" t="s">
        <v>44</v>
      </c>
      <c r="B182" s="22"/>
      <c r="C182" s="22"/>
      <c r="D182" s="22"/>
      <c r="E182" s="22"/>
      <c r="G182" s="35" t="s">
        <v>45</v>
      </c>
      <c r="H182" s="22"/>
      <c r="I182" s="22"/>
      <c r="J182" s="22"/>
      <c r="K182" s="22"/>
    </row>
    <row r="183" spans="1:11" ht="15" customHeight="1">
      <c r="A183" s="9" t="s">
        <v>112</v>
      </c>
      <c r="B183" s="10" t="s">
        <v>2</v>
      </c>
      <c r="C183" s="10" t="s">
        <v>114</v>
      </c>
      <c r="D183" s="10" t="s">
        <v>4</v>
      </c>
      <c r="E183" s="10" t="s">
        <v>8</v>
      </c>
      <c r="G183" s="9" t="s">
        <v>112</v>
      </c>
      <c r="H183" s="10" t="s">
        <v>2</v>
      </c>
      <c r="I183" s="10" t="s">
        <v>114</v>
      </c>
      <c r="J183" s="10" t="s">
        <v>4</v>
      </c>
      <c r="K183" s="10" t="s">
        <v>8</v>
      </c>
    </row>
    <row r="184" spans="1:11" ht="19.5" customHeight="1">
      <c r="A184" s="3">
        <v>1</v>
      </c>
      <c r="B184" s="4"/>
      <c r="C184" s="4"/>
      <c r="D184" s="4"/>
      <c r="E184" s="4"/>
      <c r="H184" s="4"/>
      <c r="I184" s="4"/>
      <c r="J184" s="4"/>
      <c r="K184" s="4"/>
    </row>
    <row r="185" spans="1:11" ht="19.5" customHeight="1">
      <c r="A185" s="5">
        <v>2</v>
      </c>
      <c r="B185" s="6"/>
      <c r="C185" s="6"/>
      <c r="D185" s="6"/>
      <c r="E185" s="6"/>
      <c r="H185" s="6"/>
      <c r="I185" s="6"/>
      <c r="J185" s="6"/>
      <c r="K185" s="6"/>
    </row>
    <row r="186" spans="1:11" ht="19.5" customHeight="1">
      <c r="A186" s="3">
        <v>3</v>
      </c>
      <c r="B186" s="4"/>
      <c r="C186" s="4"/>
      <c r="D186" s="4"/>
      <c r="E186" s="4"/>
      <c r="H186" s="4"/>
      <c r="I186" s="4"/>
      <c r="J186" s="4"/>
      <c r="K186" s="4"/>
    </row>
    <row r="187" spans="1:11" ht="19.5" customHeight="1">
      <c r="A187" s="5">
        <v>4</v>
      </c>
      <c r="B187" s="6"/>
      <c r="C187" s="6"/>
      <c r="D187" s="6"/>
      <c r="E187" s="6"/>
      <c r="H187" s="6"/>
      <c r="I187" s="6"/>
      <c r="J187" s="6"/>
      <c r="K187" s="6"/>
    </row>
    <row r="188" spans="1:11" ht="19.5" customHeight="1">
      <c r="A188" s="3">
        <v>5</v>
      </c>
      <c r="B188" s="4"/>
      <c r="C188" s="4"/>
      <c r="D188" s="4"/>
      <c r="E188" s="4"/>
      <c r="H188" s="4"/>
      <c r="I188" s="4"/>
      <c r="J188" s="4"/>
      <c r="K188" s="4"/>
    </row>
    <row r="189" spans="1:11" ht="19.5" customHeight="1">
      <c r="A189" s="5">
        <v>6</v>
      </c>
      <c r="B189" s="6"/>
      <c r="C189" s="6"/>
      <c r="D189" s="6"/>
      <c r="E189" s="6"/>
      <c r="H189" s="6"/>
      <c r="I189" s="6"/>
      <c r="J189" s="6"/>
      <c r="K189" s="6"/>
    </row>
    <row r="190" spans="1:11" ht="19.5" customHeight="1">
      <c r="A190" s="3">
        <v>7</v>
      </c>
      <c r="B190" s="4"/>
      <c r="C190" s="4"/>
      <c r="D190" s="4"/>
      <c r="E190" s="4"/>
      <c r="H190" s="4"/>
      <c r="I190" s="4"/>
      <c r="J190" s="4"/>
      <c r="K190" s="4"/>
    </row>
    <row r="191" spans="1:11" ht="23.9" customHeight="1">
      <c r="A191" s="28" t="s">
        <v>132</v>
      </c>
      <c r="B191" s="22"/>
      <c r="C191" s="22"/>
      <c r="D191" s="22"/>
      <c r="E191" s="22"/>
      <c r="F191" s="22"/>
      <c r="G191" s="22"/>
      <c r="H191" s="22"/>
      <c r="I191" s="22"/>
      <c r="J191" s="22"/>
      <c r="K191" s="22"/>
    </row>
    <row r="192" spans="1:11" ht="15" customHeight="1">
      <c r="A192" s="35" t="s">
        <v>44</v>
      </c>
      <c r="B192" s="22"/>
      <c r="C192" s="22"/>
      <c r="D192" s="22"/>
      <c r="E192" s="22"/>
      <c r="G192" s="35" t="s">
        <v>45</v>
      </c>
      <c r="H192" s="22"/>
      <c r="I192" s="22"/>
      <c r="J192" s="22"/>
      <c r="K192" s="22"/>
    </row>
    <row r="193" spans="1:11" ht="15" customHeight="1">
      <c r="A193" s="9" t="s">
        <v>112</v>
      </c>
      <c r="B193" s="10" t="s">
        <v>2</v>
      </c>
      <c r="C193" s="10" t="s">
        <v>114</v>
      </c>
      <c r="D193" s="10" t="s">
        <v>4</v>
      </c>
      <c r="E193" s="10" t="s">
        <v>8</v>
      </c>
      <c r="G193" s="9" t="s">
        <v>112</v>
      </c>
      <c r="H193" s="10" t="s">
        <v>2</v>
      </c>
      <c r="I193" s="10" t="s">
        <v>114</v>
      </c>
      <c r="J193" s="10" t="s">
        <v>4</v>
      </c>
      <c r="K193" s="10" t="s">
        <v>8</v>
      </c>
    </row>
    <row r="194" spans="1:11" ht="19.5" customHeight="1">
      <c r="A194" s="3">
        <v>1</v>
      </c>
      <c r="B194" s="4"/>
      <c r="C194" s="4"/>
      <c r="D194" s="4"/>
      <c r="E194" s="4"/>
      <c r="H194" s="4"/>
      <c r="I194" s="4"/>
      <c r="J194" s="4"/>
      <c r="K194" s="4"/>
    </row>
    <row r="195" spans="1:11" ht="19.5" customHeight="1">
      <c r="A195" s="5">
        <v>2</v>
      </c>
      <c r="B195" s="6"/>
      <c r="C195" s="6"/>
      <c r="D195" s="6"/>
      <c r="E195" s="6"/>
      <c r="H195" s="6"/>
      <c r="I195" s="6"/>
      <c r="J195" s="6"/>
      <c r="K195" s="6"/>
    </row>
    <row r="196" spans="1:11" ht="19.5" customHeight="1">
      <c r="A196" s="3">
        <v>3</v>
      </c>
      <c r="B196" s="4"/>
      <c r="C196" s="4"/>
      <c r="D196" s="4"/>
      <c r="E196" s="4"/>
      <c r="H196" s="4"/>
      <c r="I196" s="4"/>
      <c r="J196" s="4"/>
      <c r="K196" s="4"/>
    </row>
    <row r="197" spans="1:11" ht="19.5" customHeight="1">
      <c r="A197" s="5">
        <v>4</v>
      </c>
      <c r="B197" s="6"/>
      <c r="C197" s="6"/>
      <c r="D197" s="6"/>
      <c r="E197" s="6"/>
      <c r="H197" s="6"/>
      <c r="I197" s="6"/>
      <c r="J197" s="6"/>
      <c r="K197" s="6"/>
    </row>
    <row r="198" spans="1:11" ht="19.5" customHeight="1">
      <c r="A198" s="3">
        <v>5</v>
      </c>
      <c r="B198" s="4"/>
      <c r="C198" s="4"/>
      <c r="D198" s="4"/>
      <c r="E198" s="4"/>
      <c r="H198" s="4"/>
      <c r="I198" s="4"/>
      <c r="J198" s="4"/>
      <c r="K198" s="4"/>
    </row>
    <row r="199" spans="1:11" ht="19.5" customHeight="1">
      <c r="A199" s="5">
        <v>6</v>
      </c>
      <c r="B199" s="6"/>
      <c r="C199" s="6"/>
      <c r="D199" s="6"/>
      <c r="E199" s="6"/>
      <c r="H199" s="6"/>
      <c r="I199" s="6"/>
      <c r="J199" s="6"/>
      <c r="K199" s="6"/>
    </row>
    <row r="200" spans="1:11" ht="19.5" customHeight="1">
      <c r="A200" s="3">
        <v>7</v>
      </c>
      <c r="B200" s="4"/>
      <c r="C200" s="4"/>
      <c r="D200" s="4"/>
      <c r="E200" s="4"/>
      <c r="H200" s="4"/>
      <c r="I200" s="4"/>
      <c r="J200" s="4"/>
      <c r="K200" s="4"/>
    </row>
    <row r="201" spans="1:11" ht="27.75" customHeight="1">
      <c r="A201" s="28" t="s">
        <v>133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2"/>
    </row>
    <row r="202" spans="1:11" ht="15" customHeight="1">
      <c r="A202" s="35" t="s">
        <v>44</v>
      </c>
      <c r="B202" s="22"/>
      <c r="C202" s="22"/>
      <c r="D202" s="22"/>
      <c r="E202" s="22"/>
      <c r="G202" s="35" t="s">
        <v>45</v>
      </c>
      <c r="H202" s="22"/>
      <c r="I202" s="22"/>
      <c r="J202" s="22"/>
      <c r="K202" s="22"/>
    </row>
    <row r="203" spans="1:11" ht="15" customHeight="1">
      <c r="A203" s="9" t="s">
        <v>112</v>
      </c>
      <c r="B203" s="10" t="s">
        <v>2</v>
      </c>
      <c r="C203" s="10" t="s">
        <v>18</v>
      </c>
      <c r="D203" s="10" t="s">
        <v>4</v>
      </c>
      <c r="E203" s="10" t="s">
        <v>8</v>
      </c>
      <c r="G203" s="9" t="s">
        <v>112</v>
      </c>
      <c r="H203" s="10" t="s">
        <v>2</v>
      </c>
      <c r="I203" s="10" t="s">
        <v>18</v>
      </c>
      <c r="J203" s="10" t="s">
        <v>4</v>
      </c>
      <c r="K203" s="10" t="s">
        <v>8</v>
      </c>
    </row>
    <row r="204" spans="1:11" ht="19.5" customHeight="1">
      <c r="A204" s="3">
        <v>1</v>
      </c>
      <c r="B204" s="4"/>
      <c r="C204" s="4"/>
      <c r="D204" s="4"/>
      <c r="E204" s="4"/>
      <c r="H204" s="4"/>
      <c r="I204" s="4"/>
      <c r="J204" s="4"/>
      <c r="K204" s="4"/>
    </row>
    <row r="205" spans="1:11" ht="19.5" customHeight="1">
      <c r="A205" s="5">
        <v>2</v>
      </c>
      <c r="B205" s="6"/>
      <c r="C205" s="6"/>
      <c r="D205" s="6"/>
      <c r="E205" s="6"/>
      <c r="H205" s="6"/>
      <c r="I205" s="6"/>
      <c r="J205" s="6"/>
      <c r="K205" s="6"/>
    </row>
    <row r="206" spans="1:11" ht="19.5" customHeight="1">
      <c r="A206" s="3">
        <v>3</v>
      </c>
      <c r="B206" s="4"/>
      <c r="C206" s="4"/>
      <c r="D206" s="4"/>
      <c r="E206" s="4"/>
      <c r="H206" s="4"/>
      <c r="I206" s="4"/>
      <c r="J206" s="4"/>
      <c r="K206" s="4"/>
    </row>
    <row r="207" spans="1:11" ht="19.5" customHeight="1">
      <c r="A207" s="5">
        <v>4</v>
      </c>
      <c r="B207" s="6"/>
      <c r="C207" s="6"/>
      <c r="D207" s="6"/>
      <c r="E207" s="6"/>
      <c r="H207" s="6"/>
      <c r="I207" s="6"/>
      <c r="J207" s="6"/>
      <c r="K207" s="6"/>
    </row>
    <row r="208" spans="1:11" ht="19.5" customHeight="1">
      <c r="A208" s="3">
        <v>5</v>
      </c>
      <c r="B208" s="4"/>
      <c r="C208" s="4"/>
      <c r="D208" s="4"/>
      <c r="E208" s="4"/>
      <c r="H208" s="4"/>
      <c r="I208" s="4"/>
      <c r="J208" s="4"/>
      <c r="K208" s="4"/>
    </row>
    <row r="209" spans="1:11" ht="19.5" customHeight="1">
      <c r="A209" s="5">
        <v>6</v>
      </c>
      <c r="B209" s="6"/>
      <c r="C209" s="6"/>
      <c r="D209" s="6"/>
      <c r="E209" s="6"/>
      <c r="H209" s="6"/>
      <c r="I209" s="6"/>
      <c r="J209" s="6"/>
      <c r="K209" s="6"/>
    </row>
    <row r="210" spans="1:11" ht="19.5" customHeight="1">
      <c r="A210" s="3">
        <v>7</v>
      </c>
      <c r="B210" s="4"/>
      <c r="C210" s="4"/>
      <c r="D210" s="4"/>
      <c r="E210" s="4"/>
      <c r="H210" s="4"/>
      <c r="I210" s="4"/>
      <c r="J210" s="4"/>
      <c r="K210" s="4"/>
    </row>
    <row r="211" spans="1:11" ht="27.75" customHeight="1">
      <c r="A211" s="28" t="s">
        <v>134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2"/>
    </row>
    <row r="212" spans="1:11" ht="15" customHeight="1">
      <c r="A212" s="35" t="s">
        <v>44</v>
      </c>
      <c r="B212" s="22"/>
      <c r="C212" s="22"/>
      <c r="D212" s="22"/>
      <c r="E212" s="22"/>
      <c r="G212" s="35" t="s">
        <v>45</v>
      </c>
      <c r="H212" s="22"/>
      <c r="I212" s="22"/>
      <c r="J212" s="22"/>
      <c r="K212" s="22"/>
    </row>
    <row r="213" spans="1:11" ht="15" customHeight="1">
      <c r="A213" s="9" t="s">
        <v>112</v>
      </c>
      <c r="B213" s="10" t="s">
        <v>2</v>
      </c>
      <c r="C213" s="10" t="s">
        <v>18</v>
      </c>
      <c r="D213" s="10" t="s">
        <v>4</v>
      </c>
      <c r="E213" s="10" t="s">
        <v>8</v>
      </c>
      <c r="G213" s="9" t="s">
        <v>112</v>
      </c>
      <c r="H213" s="10" t="s">
        <v>2</v>
      </c>
      <c r="I213" s="10" t="s">
        <v>18</v>
      </c>
      <c r="J213" s="10" t="s">
        <v>4</v>
      </c>
      <c r="K213" s="10" t="s">
        <v>8</v>
      </c>
    </row>
    <row r="214" spans="1:11" ht="19.5" customHeight="1">
      <c r="A214" s="3">
        <v>1</v>
      </c>
      <c r="B214" s="4"/>
      <c r="C214" s="4"/>
      <c r="D214" s="4"/>
      <c r="E214" s="4"/>
      <c r="H214" s="4"/>
      <c r="I214" s="4"/>
      <c r="J214" s="4"/>
      <c r="K214" s="4"/>
    </row>
    <row r="215" spans="1:11" ht="19.5" customHeight="1">
      <c r="A215" s="5">
        <v>2</v>
      </c>
      <c r="B215" s="6"/>
      <c r="C215" s="6"/>
      <c r="D215" s="6"/>
      <c r="E215" s="6"/>
      <c r="H215" s="6"/>
      <c r="I215" s="6"/>
      <c r="J215" s="6"/>
      <c r="K215" s="6"/>
    </row>
    <row r="216" spans="1:11" ht="19.5" customHeight="1">
      <c r="A216" s="3">
        <v>3</v>
      </c>
      <c r="B216" s="4"/>
      <c r="C216" s="4"/>
      <c r="D216" s="4"/>
      <c r="E216" s="4"/>
      <c r="H216" s="4"/>
      <c r="I216" s="4"/>
      <c r="J216" s="4"/>
      <c r="K216" s="4"/>
    </row>
    <row r="217" spans="1:11" ht="19.5" customHeight="1">
      <c r="A217" s="5">
        <v>4</v>
      </c>
      <c r="B217" s="6"/>
      <c r="C217" s="6"/>
      <c r="D217" s="6"/>
      <c r="E217" s="6"/>
      <c r="H217" s="6"/>
      <c r="I217" s="6"/>
      <c r="J217" s="6"/>
      <c r="K217" s="6"/>
    </row>
    <row r="218" spans="1:11" ht="19.5" customHeight="1">
      <c r="A218" s="3">
        <v>5</v>
      </c>
      <c r="B218" s="4"/>
      <c r="C218" s="4"/>
      <c r="D218" s="4"/>
      <c r="E218" s="4"/>
      <c r="H218" s="4"/>
      <c r="I218" s="4"/>
      <c r="J218" s="4"/>
      <c r="K218" s="4"/>
    </row>
    <row r="219" spans="1:11" ht="19.5" customHeight="1">
      <c r="A219" s="5">
        <v>6</v>
      </c>
      <c r="B219" s="6"/>
      <c r="C219" s="6"/>
      <c r="D219" s="6"/>
      <c r="E219" s="6"/>
      <c r="H219" s="6"/>
      <c r="I219" s="6"/>
      <c r="J219" s="6"/>
      <c r="K219" s="6"/>
    </row>
    <row r="220" spans="1:11" ht="19.5" customHeight="1">
      <c r="A220" s="3">
        <v>7</v>
      </c>
      <c r="B220" s="4"/>
      <c r="C220" s="4"/>
      <c r="D220" s="4"/>
      <c r="E220" s="4"/>
      <c r="H220" s="4"/>
      <c r="I220" s="4"/>
      <c r="J220" s="4"/>
      <c r="K220" s="4"/>
    </row>
    <row r="221" spans="1:11" ht="27.75" customHeight="1">
      <c r="A221" s="28" t="s">
        <v>135</v>
      </c>
      <c r="B221" s="22"/>
      <c r="C221" s="22"/>
      <c r="D221" s="22"/>
      <c r="E221" s="22"/>
      <c r="F221" s="22"/>
      <c r="G221" s="22"/>
      <c r="H221" s="22"/>
      <c r="I221" s="22"/>
      <c r="J221" s="22"/>
      <c r="K221" s="22"/>
    </row>
    <row r="222" spans="1:11" ht="15" customHeight="1">
      <c r="A222" s="35" t="s">
        <v>44</v>
      </c>
      <c r="B222" s="22"/>
      <c r="C222" s="22"/>
      <c r="D222" s="22"/>
      <c r="E222" s="22"/>
      <c r="G222" s="35" t="s">
        <v>45</v>
      </c>
      <c r="H222" s="22"/>
      <c r="I222" s="22"/>
      <c r="J222" s="22"/>
      <c r="K222" s="22"/>
    </row>
    <row r="223" spans="1:11" ht="15" customHeight="1">
      <c r="A223" s="9" t="s">
        <v>112</v>
      </c>
      <c r="B223" s="10" t="s">
        <v>2</v>
      </c>
      <c r="C223" s="10" t="s">
        <v>18</v>
      </c>
      <c r="D223" s="10" t="s">
        <v>4</v>
      </c>
      <c r="E223" s="10" t="s">
        <v>8</v>
      </c>
      <c r="G223" s="9" t="s">
        <v>112</v>
      </c>
      <c r="H223" s="10" t="s">
        <v>2</v>
      </c>
      <c r="I223" s="10" t="s">
        <v>18</v>
      </c>
      <c r="J223" s="10" t="s">
        <v>4</v>
      </c>
      <c r="K223" s="10" t="s">
        <v>8</v>
      </c>
    </row>
    <row r="224" spans="1:11" ht="19.5" customHeight="1">
      <c r="A224" s="3">
        <v>1</v>
      </c>
      <c r="B224" s="4"/>
      <c r="C224" s="4"/>
      <c r="D224" s="4"/>
      <c r="E224" s="4"/>
      <c r="H224" s="4"/>
      <c r="I224" s="4"/>
      <c r="J224" s="4"/>
      <c r="K224" s="4"/>
    </row>
    <row r="225" spans="1:11" ht="19.5" customHeight="1">
      <c r="A225" s="5">
        <v>2</v>
      </c>
      <c r="B225" s="6"/>
      <c r="C225" s="6"/>
      <c r="D225" s="6"/>
      <c r="E225" s="6"/>
      <c r="H225" s="6"/>
      <c r="I225" s="6"/>
      <c r="J225" s="6"/>
      <c r="K225" s="6"/>
    </row>
    <row r="226" spans="1:11" ht="19.5" customHeight="1">
      <c r="A226" s="3">
        <v>3</v>
      </c>
      <c r="B226" s="4"/>
      <c r="C226" s="4"/>
      <c r="D226" s="4"/>
      <c r="E226" s="4"/>
      <c r="H226" s="4"/>
      <c r="I226" s="4"/>
      <c r="J226" s="4"/>
      <c r="K226" s="4"/>
    </row>
    <row r="227" spans="1:11" ht="19.5" customHeight="1">
      <c r="A227" s="5">
        <v>4</v>
      </c>
      <c r="B227" s="6"/>
      <c r="C227" s="6"/>
      <c r="D227" s="6"/>
      <c r="E227" s="6"/>
      <c r="H227" s="6"/>
      <c r="I227" s="6"/>
      <c r="J227" s="6"/>
      <c r="K227" s="6"/>
    </row>
    <row r="228" spans="1:11" ht="19.5" customHeight="1">
      <c r="A228" s="3">
        <v>5</v>
      </c>
      <c r="B228" s="4"/>
      <c r="C228" s="4"/>
      <c r="D228" s="4"/>
      <c r="E228" s="4"/>
      <c r="H228" s="4"/>
      <c r="I228" s="4"/>
      <c r="J228" s="4"/>
      <c r="K228" s="4"/>
    </row>
    <row r="229" spans="1:11" ht="19.5" customHeight="1">
      <c r="A229" s="5">
        <v>6</v>
      </c>
      <c r="B229" s="6"/>
      <c r="C229" s="6"/>
      <c r="D229" s="6"/>
      <c r="E229" s="6"/>
      <c r="H229" s="6"/>
      <c r="I229" s="6"/>
      <c r="J229" s="6"/>
      <c r="K229" s="6"/>
    </row>
    <row r="230" spans="1:11" ht="19.5" customHeight="1">
      <c r="A230" s="3">
        <v>7</v>
      </c>
      <c r="B230" s="4"/>
      <c r="C230" s="4"/>
      <c r="D230" s="4"/>
      <c r="E230" s="4"/>
      <c r="H230" s="4"/>
      <c r="I230" s="4"/>
      <c r="J230" s="4"/>
      <c r="K230" s="4"/>
    </row>
    <row r="231" spans="1:11" ht="27.75" customHeight="1">
      <c r="A231" s="28" t="s">
        <v>136</v>
      </c>
      <c r="B231" s="22"/>
      <c r="C231" s="22"/>
      <c r="D231" s="22"/>
      <c r="E231" s="22"/>
      <c r="F231" s="22"/>
      <c r="G231" s="22"/>
      <c r="H231" s="22"/>
      <c r="I231" s="22"/>
      <c r="J231" s="22"/>
      <c r="K231" s="22"/>
    </row>
    <row r="232" spans="1:11" ht="15" customHeight="1">
      <c r="A232" s="35" t="s">
        <v>44</v>
      </c>
      <c r="B232" s="22"/>
      <c r="C232" s="22"/>
      <c r="D232" s="22"/>
      <c r="E232" s="22"/>
      <c r="G232" s="35" t="s">
        <v>45</v>
      </c>
      <c r="H232" s="22"/>
      <c r="I232" s="22"/>
      <c r="J232" s="22"/>
      <c r="K232" s="22"/>
    </row>
    <row r="233" spans="1:11" ht="15" customHeight="1">
      <c r="A233" s="9" t="s">
        <v>112</v>
      </c>
      <c r="B233" s="10" t="s">
        <v>2</v>
      </c>
      <c r="C233" s="10" t="s">
        <v>18</v>
      </c>
      <c r="D233" s="10" t="s">
        <v>4</v>
      </c>
      <c r="E233" s="10" t="s">
        <v>8</v>
      </c>
      <c r="G233" s="9" t="s">
        <v>112</v>
      </c>
      <c r="H233" s="10" t="s">
        <v>2</v>
      </c>
      <c r="I233" s="10" t="s">
        <v>18</v>
      </c>
      <c r="J233" s="10" t="s">
        <v>4</v>
      </c>
      <c r="K233" s="10" t="s">
        <v>8</v>
      </c>
    </row>
    <row r="234" spans="1:11" ht="19.5" customHeight="1">
      <c r="A234" s="3">
        <v>1</v>
      </c>
      <c r="B234" s="4"/>
      <c r="C234" s="4"/>
      <c r="D234" s="4"/>
      <c r="E234" s="4"/>
      <c r="H234" s="4"/>
      <c r="I234" s="4"/>
      <c r="J234" s="4"/>
      <c r="K234" s="4"/>
    </row>
    <row r="235" spans="1:11" ht="19.5" customHeight="1">
      <c r="A235" s="5">
        <v>2</v>
      </c>
      <c r="B235" s="6"/>
      <c r="C235" s="6"/>
      <c r="D235" s="6"/>
      <c r="E235" s="6"/>
      <c r="H235" s="6"/>
      <c r="I235" s="6"/>
      <c r="J235" s="6"/>
      <c r="K235" s="6"/>
    </row>
    <row r="236" spans="1:11" ht="19.5" customHeight="1">
      <c r="A236" s="3">
        <v>3</v>
      </c>
      <c r="B236" s="4"/>
      <c r="C236" s="4"/>
      <c r="D236" s="4"/>
      <c r="E236" s="4"/>
      <c r="H236" s="4"/>
      <c r="I236" s="4"/>
      <c r="J236" s="4"/>
      <c r="K236" s="4"/>
    </row>
    <row r="237" spans="1:11" ht="19.5" customHeight="1">
      <c r="A237" s="5">
        <v>4</v>
      </c>
      <c r="B237" s="6"/>
      <c r="C237" s="6"/>
      <c r="D237" s="6"/>
      <c r="E237" s="6"/>
      <c r="H237" s="6"/>
      <c r="I237" s="6"/>
      <c r="J237" s="6"/>
      <c r="K237" s="6"/>
    </row>
    <row r="238" spans="1:11" ht="19.5" customHeight="1">
      <c r="A238" s="3">
        <v>5</v>
      </c>
      <c r="B238" s="4"/>
      <c r="C238" s="4"/>
      <c r="D238" s="4"/>
      <c r="E238" s="4"/>
      <c r="H238" s="4"/>
      <c r="I238" s="4"/>
      <c r="J238" s="4"/>
      <c r="K238" s="4"/>
    </row>
    <row r="239" spans="1:11" ht="19.5" customHeight="1">
      <c r="A239" s="5">
        <v>6</v>
      </c>
      <c r="B239" s="6"/>
      <c r="C239" s="6"/>
      <c r="D239" s="6"/>
      <c r="E239" s="6"/>
      <c r="H239" s="6"/>
      <c r="I239" s="6"/>
      <c r="J239" s="6"/>
      <c r="K239" s="6"/>
    </row>
    <row r="240" spans="1:11" ht="19.5" customHeight="1">
      <c r="A240" s="3">
        <v>7</v>
      </c>
      <c r="B240" s="4"/>
      <c r="C240" s="4"/>
      <c r="D240" s="4"/>
      <c r="E240" s="4"/>
      <c r="H240" s="4"/>
      <c r="I240" s="4"/>
      <c r="J240" s="4"/>
      <c r="K240" s="4"/>
    </row>
    <row r="241" spans="1:11" ht="27.75" customHeight="1">
      <c r="A241" s="28" t="s">
        <v>137</v>
      </c>
      <c r="B241" s="22"/>
      <c r="C241" s="22"/>
      <c r="D241" s="22"/>
      <c r="E241" s="22"/>
      <c r="F241" s="22"/>
      <c r="G241" s="22"/>
      <c r="H241" s="22"/>
      <c r="I241" s="22"/>
      <c r="J241" s="22"/>
      <c r="K241" s="22"/>
    </row>
    <row r="242" spans="1:11" ht="15" customHeight="1">
      <c r="A242" s="35" t="s">
        <v>44</v>
      </c>
      <c r="B242" s="22"/>
      <c r="C242" s="22"/>
      <c r="D242" s="22"/>
      <c r="E242" s="22"/>
      <c r="G242" s="35" t="s">
        <v>45</v>
      </c>
      <c r="H242" s="22"/>
      <c r="I242" s="22"/>
      <c r="J242" s="22"/>
      <c r="K242" s="22"/>
    </row>
    <row r="243" spans="1:11" ht="15" customHeight="1">
      <c r="A243" s="9" t="s">
        <v>112</v>
      </c>
      <c r="B243" s="10" t="s">
        <v>2</v>
      </c>
      <c r="C243" s="10" t="s">
        <v>18</v>
      </c>
      <c r="D243" s="10" t="s">
        <v>4</v>
      </c>
      <c r="E243" s="10" t="s">
        <v>8</v>
      </c>
      <c r="G243" s="9" t="s">
        <v>112</v>
      </c>
      <c r="H243" s="10" t="s">
        <v>2</v>
      </c>
      <c r="I243" s="10" t="s">
        <v>18</v>
      </c>
      <c r="J243" s="10" t="s">
        <v>4</v>
      </c>
      <c r="K243" s="10" t="s">
        <v>8</v>
      </c>
    </row>
    <row r="244" spans="1:11" ht="19.5" customHeight="1">
      <c r="A244" s="3">
        <v>1</v>
      </c>
      <c r="B244" s="4"/>
      <c r="C244" s="4"/>
      <c r="D244" s="4"/>
      <c r="E244" s="4"/>
      <c r="H244" s="4"/>
      <c r="I244" s="4"/>
      <c r="J244" s="4"/>
      <c r="K244" s="4"/>
    </row>
    <row r="245" spans="1:11" ht="19.5" customHeight="1">
      <c r="A245" s="5">
        <v>2</v>
      </c>
      <c r="B245" s="6"/>
      <c r="C245" s="6"/>
      <c r="D245" s="6"/>
      <c r="E245" s="6"/>
      <c r="H245" s="6"/>
      <c r="I245" s="6"/>
      <c r="J245" s="6"/>
      <c r="K245" s="6"/>
    </row>
    <row r="246" spans="1:11" ht="19.5" customHeight="1">
      <c r="A246" s="3">
        <v>3</v>
      </c>
      <c r="B246" s="4"/>
      <c r="C246" s="4"/>
      <c r="D246" s="4"/>
      <c r="E246" s="4"/>
      <c r="H246" s="4"/>
      <c r="I246" s="4"/>
      <c r="J246" s="4"/>
      <c r="K246" s="4"/>
    </row>
    <row r="247" spans="1:11" ht="19.5" customHeight="1">
      <c r="A247" s="5">
        <v>4</v>
      </c>
      <c r="B247" s="6"/>
      <c r="C247" s="6"/>
      <c r="D247" s="6"/>
      <c r="E247" s="6"/>
      <c r="H247" s="6"/>
      <c r="I247" s="6"/>
      <c r="J247" s="6"/>
      <c r="K247" s="6"/>
    </row>
    <row r="248" spans="1:11" ht="19.5" customHeight="1">
      <c r="A248" s="3">
        <v>5</v>
      </c>
      <c r="B248" s="4"/>
      <c r="C248" s="4"/>
      <c r="D248" s="4"/>
      <c r="E248" s="4"/>
      <c r="H248" s="4"/>
      <c r="I248" s="4"/>
      <c r="J248" s="4"/>
      <c r="K248" s="4"/>
    </row>
    <row r="249" spans="1:11" ht="19.5" customHeight="1">
      <c r="A249" s="5">
        <v>6</v>
      </c>
      <c r="B249" s="6"/>
      <c r="C249" s="6"/>
      <c r="D249" s="6"/>
      <c r="E249" s="6"/>
      <c r="H249" s="6"/>
      <c r="I249" s="6"/>
      <c r="J249" s="6"/>
      <c r="K249" s="6"/>
    </row>
    <row r="250" spans="1:11" ht="19.5" customHeight="1">
      <c r="A250" s="3">
        <v>7</v>
      </c>
      <c r="B250" s="4"/>
      <c r="C250" s="4"/>
      <c r="D250" s="4"/>
      <c r="E250" s="4"/>
      <c r="H250" s="4"/>
      <c r="I250" s="4"/>
      <c r="J250" s="4"/>
      <c r="K250" s="4"/>
    </row>
    <row r="251" spans="1:11" ht="27.75" customHeight="1">
      <c r="A251" s="28" t="s">
        <v>138</v>
      </c>
      <c r="B251" s="22"/>
      <c r="C251" s="22"/>
      <c r="D251" s="22"/>
      <c r="E251" s="22"/>
      <c r="F251" s="22"/>
      <c r="G251" s="22"/>
      <c r="H251" s="22"/>
      <c r="I251" s="22"/>
      <c r="J251" s="22"/>
      <c r="K251" s="22"/>
    </row>
    <row r="252" spans="1:11" ht="15" customHeight="1">
      <c r="A252" s="35" t="s">
        <v>44</v>
      </c>
      <c r="B252" s="22"/>
      <c r="C252" s="22"/>
      <c r="D252" s="22"/>
      <c r="E252" s="22"/>
      <c r="G252" s="35" t="s">
        <v>45</v>
      </c>
      <c r="H252" s="22"/>
      <c r="I252" s="22"/>
      <c r="J252" s="22"/>
      <c r="K252" s="22"/>
    </row>
    <row r="253" spans="1:11" ht="15" customHeight="1">
      <c r="A253" s="9" t="s">
        <v>112</v>
      </c>
      <c r="B253" s="10" t="s">
        <v>2</v>
      </c>
      <c r="C253" s="10" t="s">
        <v>18</v>
      </c>
      <c r="D253" s="10" t="s">
        <v>4</v>
      </c>
      <c r="E253" s="10" t="s">
        <v>8</v>
      </c>
      <c r="G253" s="9" t="s">
        <v>112</v>
      </c>
      <c r="H253" s="10" t="s">
        <v>2</v>
      </c>
      <c r="I253" s="10" t="s">
        <v>18</v>
      </c>
      <c r="J253" s="10" t="s">
        <v>4</v>
      </c>
      <c r="K253" s="10" t="s">
        <v>8</v>
      </c>
    </row>
    <row r="254" spans="1:11" ht="19.5" customHeight="1">
      <c r="A254" s="3">
        <v>1</v>
      </c>
      <c r="B254" s="4"/>
      <c r="C254" s="4"/>
      <c r="D254" s="4"/>
      <c r="E254" s="4"/>
      <c r="H254" s="4"/>
      <c r="I254" s="4"/>
      <c r="J254" s="4"/>
      <c r="K254" s="4"/>
    </row>
    <row r="255" spans="1:11" ht="19.5" customHeight="1">
      <c r="A255" s="5">
        <v>2</v>
      </c>
      <c r="B255" s="6"/>
      <c r="C255" s="6"/>
      <c r="D255" s="6"/>
      <c r="E255" s="6"/>
      <c r="H255" s="6"/>
      <c r="I255" s="6"/>
      <c r="J255" s="6"/>
      <c r="K255" s="6"/>
    </row>
    <row r="256" spans="1:11" ht="19.5" customHeight="1">
      <c r="A256" s="3">
        <v>3</v>
      </c>
      <c r="B256" s="4"/>
      <c r="C256" s="4"/>
      <c r="D256" s="4"/>
      <c r="E256" s="4"/>
      <c r="H256" s="4"/>
      <c r="I256" s="4"/>
      <c r="J256" s="4"/>
      <c r="K256" s="4"/>
    </row>
    <row r="257" spans="1:11" ht="19.5" customHeight="1">
      <c r="A257" s="5">
        <v>4</v>
      </c>
      <c r="B257" s="6"/>
      <c r="C257" s="6"/>
      <c r="D257" s="6"/>
      <c r="E257" s="6"/>
      <c r="H257" s="6"/>
      <c r="I257" s="6"/>
      <c r="J257" s="6"/>
      <c r="K257" s="6"/>
    </row>
    <row r="258" spans="1:11" ht="19.5" customHeight="1">
      <c r="A258" s="3">
        <v>5</v>
      </c>
      <c r="B258" s="4"/>
      <c r="C258" s="4"/>
      <c r="D258" s="4"/>
      <c r="E258" s="4"/>
      <c r="H258" s="4"/>
      <c r="I258" s="4"/>
      <c r="J258" s="4"/>
      <c r="K258" s="4"/>
    </row>
    <row r="259" spans="1:11" ht="19.5" customHeight="1">
      <c r="A259" s="5">
        <v>6</v>
      </c>
      <c r="B259" s="6"/>
      <c r="C259" s="6"/>
      <c r="D259" s="6"/>
      <c r="E259" s="6"/>
      <c r="H259" s="6"/>
      <c r="I259" s="6"/>
      <c r="J259" s="6"/>
      <c r="K259" s="6"/>
    </row>
    <row r="260" spans="1:11" ht="19.5" customHeight="1">
      <c r="A260" s="3">
        <v>7</v>
      </c>
      <c r="B260" s="4"/>
      <c r="C260" s="4"/>
      <c r="D260" s="4"/>
      <c r="E260" s="4"/>
      <c r="H260" s="4"/>
      <c r="I260" s="4"/>
      <c r="J260" s="4"/>
      <c r="K260" s="4"/>
    </row>
    <row r="261" spans="1:11" ht="27.75" customHeight="1">
      <c r="A261" s="28" t="s">
        <v>139</v>
      </c>
      <c r="B261" s="22"/>
      <c r="C261" s="22"/>
      <c r="D261" s="22"/>
      <c r="E261" s="22"/>
      <c r="F261" s="22"/>
      <c r="G261" s="22"/>
      <c r="H261" s="22"/>
      <c r="I261" s="22"/>
      <c r="J261" s="22"/>
      <c r="K261" s="22"/>
    </row>
    <row r="262" spans="1:11" ht="15" customHeight="1">
      <c r="A262" s="35" t="s">
        <v>44</v>
      </c>
      <c r="B262" s="22"/>
      <c r="C262" s="22"/>
      <c r="D262" s="22"/>
      <c r="E262" s="22"/>
      <c r="G262" s="35" t="s">
        <v>45</v>
      </c>
      <c r="H262" s="22"/>
      <c r="I262" s="22"/>
      <c r="J262" s="22"/>
      <c r="K262" s="22"/>
    </row>
    <row r="263" spans="1:11" ht="15" customHeight="1">
      <c r="A263" s="9" t="s">
        <v>112</v>
      </c>
      <c r="B263" s="10" t="s">
        <v>2</v>
      </c>
      <c r="C263" s="10" t="s">
        <v>18</v>
      </c>
      <c r="D263" s="10" t="s">
        <v>4</v>
      </c>
      <c r="E263" s="10" t="s">
        <v>8</v>
      </c>
      <c r="G263" s="9" t="s">
        <v>112</v>
      </c>
      <c r="H263" s="10" t="s">
        <v>2</v>
      </c>
      <c r="I263" s="10" t="s">
        <v>18</v>
      </c>
      <c r="J263" s="10" t="s">
        <v>4</v>
      </c>
      <c r="K263" s="10" t="s">
        <v>8</v>
      </c>
    </row>
    <row r="264" spans="1:11" ht="19.5" customHeight="1">
      <c r="A264" s="3">
        <v>1</v>
      </c>
      <c r="B264" s="4"/>
      <c r="C264" s="4"/>
      <c r="D264" s="4"/>
      <c r="E264" s="4"/>
      <c r="H264" s="4"/>
      <c r="I264" s="4"/>
      <c r="J264" s="4"/>
      <c r="K264" s="4"/>
    </row>
    <row r="265" spans="1:11" ht="19.5" customHeight="1">
      <c r="A265" s="5">
        <v>2</v>
      </c>
      <c r="B265" s="6"/>
      <c r="C265" s="6"/>
      <c r="D265" s="6"/>
      <c r="E265" s="6"/>
      <c r="H265" s="6"/>
      <c r="I265" s="6"/>
      <c r="J265" s="6"/>
      <c r="K265" s="6"/>
    </row>
    <row r="266" spans="1:11" ht="19.5" customHeight="1">
      <c r="A266" s="3">
        <v>3</v>
      </c>
      <c r="B266" s="4"/>
      <c r="C266" s="4"/>
      <c r="D266" s="4"/>
      <c r="E266" s="4"/>
      <c r="H266" s="4"/>
      <c r="I266" s="4"/>
      <c r="J266" s="4"/>
      <c r="K266" s="4"/>
    </row>
    <row r="267" spans="1:11" ht="19.5" customHeight="1">
      <c r="A267" s="5">
        <v>4</v>
      </c>
      <c r="B267" s="6"/>
      <c r="C267" s="6"/>
      <c r="D267" s="6"/>
      <c r="E267" s="6"/>
      <c r="H267" s="6"/>
      <c r="I267" s="6"/>
      <c r="J267" s="6"/>
      <c r="K267" s="6"/>
    </row>
    <row r="268" spans="1:11" ht="19.5" customHeight="1">
      <c r="A268" s="3">
        <v>5</v>
      </c>
      <c r="B268" s="4"/>
      <c r="C268" s="4"/>
      <c r="D268" s="4"/>
      <c r="E268" s="4"/>
      <c r="H268" s="4"/>
      <c r="I268" s="4"/>
      <c r="J268" s="4"/>
      <c r="K268" s="4"/>
    </row>
    <row r="269" spans="1:11" ht="19.5" customHeight="1">
      <c r="A269" s="5">
        <v>6</v>
      </c>
      <c r="B269" s="6"/>
      <c r="C269" s="6"/>
      <c r="D269" s="6"/>
      <c r="E269" s="6"/>
      <c r="H269" s="6"/>
      <c r="I269" s="6"/>
      <c r="J269" s="6"/>
      <c r="K269" s="6"/>
    </row>
    <row r="270" spans="1:11" ht="19.5" customHeight="1">
      <c r="A270" s="3">
        <v>7</v>
      </c>
      <c r="B270" s="4"/>
      <c r="C270" s="4"/>
      <c r="D270" s="4"/>
      <c r="E270" s="4"/>
      <c r="H270" s="4"/>
      <c r="I270" s="4"/>
      <c r="J270" s="4"/>
      <c r="K270" s="4"/>
    </row>
    <row r="271" spans="1:11" ht="27.75" customHeight="1">
      <c r="A271" s="28" t="s">
        <v>140</v>
      </c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 spans="1:11" ht="15" customHeight="1">
      <c r="A272" s="35" t="s">
        <v>44</v>
      </c>
      <c r="B272" s="22"/>
      <c r="C272" s="22"/>
      <c r="D272" s="22"/>
      <c r="E272" s="22"/>
      <c r="G272" s="35" t="s">
        <v>45</v>
      </c>
      <c r="H272" s="22"/>
      <c r="I272" s="22"/>
      <c r="J272" s="22"/>
      <c r="K272" s="22"/>
    </row>
    <row r="273" spans="1:11" ht="15" customHeight="1">
      <c r="A273" s="9" t="s">
        <v>112</v>
      </c>
      <c r="B273" s="10" t="s">
        <v>2</v>
      </c>
      <c r="C273" s="10" t="s">
        <v>18</v>
      </c>
      <c r="D273" s="10" t="s">
        <v>4</v>
      </c>
      <c r="E273" s="10" t="s">
        <v>8</v>
      </c>
      <c r="G273" s="9" t="s">
        <v>112</v>
      </c>
      <c r="H273" s="10" t="s">
        <v>2</v>
      </c>
      <c r="I273" s="10" t="s">
        <v>18</v>
      </c>
      <c r="J273" s="10" t="s">
        <v>4</v>
      </c>
      <c r="K273" s="10" t="s">
        <v>8</v>
      </c>
    </row>
    <row r="274" spans="1:11" ht="19.5" customHeight="1">
      <c r="A274" s="3">
        <v>1</v>
      </c>
      <c r="B274" s="4"/>
      <c r="C274" s="4"/>
      <c r="D274" s="4"/>
      <c r="E274" s="4"/>
      <c r="H274" s="4"/>
      <c r="I274" s="4"/>
      <c r="J274" s="4"/>
      <c r="K274" s="4"/>
    </row>
    <row r="275" spans="1:11" ht="19.5" customHeight="1">
      <c r="A275" s="5">
        <v>2</v>
      </c>
      <c r="B275" s="6"/>
      <c r="C275" s="6"/>
      <c r="D275" s="6"/>
      <c r="E275" s="6"/>
      <c r="H275" s="6"/>
      <c r="I275" s="6"/>
      <c r="J275" s="6"/>
      <c r="K275" s="6"/>
    </row>
    <row r="276" spans="1:11" ht="19.5" customHeight="1">
      <c r="A276" s="3">
        <v>3</v>
      </c>
      <c r="B276" s="4"/>
      <c r="C276" s="4"/>
      <c r="D276" s="4"/>
      <c r="E276" s="4"/>
      <c r="H276" s="4"/>
      <c r="I276" s="4"/>
      <c r="J276" s="4"/>
      <c r="K276" s="4"/>
    </row>
    <row r="277" spans="1:11" ht="19.5" customHeight="1">
      <c r="A277" s="5">
        <v>4</v>
      </c>
      <c r="B277" s="6"/>
      <c r="C277" s="6"/>
      <c r="D277" s="6"/>
      <c r="E277" s="6"/>
      <c r="H277" s="6"/>
      <c r="I277" s="6"/>
      <c r="J277" s="6"/>
      <c r="K277" s="6"/>
    </row>
    <row r="278" spans="1:11" ht="19.5" customHeight="1">
      <c r="A278" s="3">
        <v>5</v>
      </c>
      <c r="B278" s="4"/>
      <c r="C278" s="4"/>
      <c r="D278" s="4"/>
      <c r="E278" s="4"/>
      <c r="H278" s="4"/>
      <c r="I278" s="4"/>
      <c r="J278" s="4"/>
      <c r="K278" s="4"/>
    </row>
    <row r="279" spans="1:11" ht="19.5" customHeight="1">
      <c r="A279" s="5">
        <v>6</v>
      </c>
      <c r="B279" s="6"/>
      <c r="C279" s="6"/>
      <c r="D279" s="6"/>
      <c r="E279" s="6"/>
      <c r="H279" s="6"/>
      <c r="I279" s="6"/>
      <c r="J279" s="6"/>
      <c r="K279" s="6"/>
    </row>
    <row r="280" spans="1:11" ht="19.5" customHeight="1">
      <c r="A280" s="3">
        <v>7</v>
      </c>
      <c r="B280" s="4"/>
      <c r="C280" s="4"/>
      <c r="D280" s="4"/>
      <c r="E280" s="4"/>
      <c r="H280" s="4"/>
      <c r="I280" s="4"/>
      <c r="J280" s="4"/>
      <c r="K280" s="4"/>
    </row>
    <row r="281" spans="1:11" ht="27.75" customHeight="1">
      <c r="A281" s="28" t="s">
        <v>141</v>
      </c>
      <c r="B281" s="22"/>
      <c r="C281" s="22"/>
      <c r="D281" s="22"/>
      <c r="E281" s="22"/>
      <c r="F281" s="22"/>
      <c r="G281" s="22"/>
      <c r="H281" s="22"/>
      <c r="I281" s="22"/>
      <c r="J281" s="22"/>
      <c r="K281" s="22"/>
    </row>
    <row r="282" spans="1:11" ht="15" customHeight="1">
      <c r="A282" s="35" t="s">
        <v>44</v>
      </c>
      <c r="B282" s="22"/>
      <c r="C282" s="22"/>
      <c r="D282" s="22"/>
      <c r="E282" s="22"/>
      <c r="G282" s="35" t="s">
        <v>45</v>
      </c>
      <c r="H282" s="22"/>
      <c r="I282" s="22"/>
      <c r="J282" s="22"/>
      <c r="K282" s="22"/>
    </row>
    <row r="283" spans="1:11" ht="15" customHeight="1">
      <c r="A283" s="9" t="s">
        <v>112</v>
      </c>
      <c r="B283" s="10" t="s">
        <v>2</v>
      </c>
      <c r="C283" s="10" t="s">
        <v>18</v>
      </c>
      <c r="D283" s="10" t="s">
        <v>4</v>
      </c>
      <c r="E283" s="10" t="s">
        <v>8</v>
      </c>
      <c r="G283" s="9" t="s">
        <v>112</v>
      </c>
      <c r="H283" s="10" t="s">
        <v>2</v>
      </c>
      <c r="I283" s="10" t="s">
        <v>18</v>
      </c>
      <c r="J283" s="10" t="s">
        <v>4</v>
      </c>
      <c r="K283" s="10" t="s">
        <v>8</v>
      </c>
    </row>
    <row r="284" spans="1:11" ht="19.5" customHeight="1">
      <c r="A284" s="3">
        <v>1</v>
      </c>
      <c r="B284" s="4"/>
      <c r="C284" s="4"/>
      <c r="D284" s="4"/>
      <c r="E284" s="4"/>
      <c r="H284" s="4"/>
      <c r="I284" s="4"/>
      <c r="J284" s="4"/>
      <c r="K284" s="4"/>
    </row>
    <row r="285" spans="1:11" ht="19.5" customHeight="1">
      <c r="A285" s="5">
        <v>2</v>
      </c>
      <c r="B285" s="6"/>
      <c r="C285" s="6"/>
      <c r="D285" s="6"/>
      <c r="E285" s="6"/>
      <c r="H285" s="6"/>
      <c r="I285" s="6"/>
      <c r="J285" s="6"/>
      <c r="K285" s="6"/>
    </row>
    <row r="286" spans="1:11" ht="19.5" customHeight="1">
      <c r="A286" s="3">
        <v>3</v>
      </c>
      <c r="B286" s="4"/>
      <c r="C286" s="4"/>
      <c r="D286" s="4"/>
      <c r="E286" s="4"/>
      <c r="H286" s="4"/>
      <c r="I286" s="4"/>
      <c r="J286" s="4"/>
      <c r="K286" s="4"/>
    </row>
    <row r="287" spans="1:11" ht="19.5" customHeight="1">
      <c r="A287" s="5">
        <v>4</v>
      </c>
      <c r="B287" s="6"/>
      <c r="C287" s="6"/>
      <c r="D287" s="6"/>
      <c r="E287" s="6"/>
      <c r="H287" s="6"/>
      <c r="I287" s="6"/>
      <c r="J287" s="6"/>
      <c r="K287" s="6"/>
    </row>
    <row r="288" spans="1:11" ht="19.5" customHeight="1">
      <c r="A288" s="3">
        <v>5</v>
      </c>
      <c r="B288" s="4"/>
      <c r="C288" s="4"/>
      <c r="D288" s="4"/>
      <c r="E288" s="4"/>
      <c r="H288" s="4"/>
      <c r="I288" s="4"/>
      <c r="J288" s="4"/>
      <c r="K288" s="4"/>
    </row>
    <row r="289" spans="1:11" ht="19.5" customHeight="1">
      <c r="A289" s="5">
        <v>6</v>
      </c>
      <c r="B289" s="6"/>
      <c r="C289" s="6"/>
      <c r="D289" s="6"/>
      <c r="E289" s="6"/>
      <c r="H289" s="6"/>
      <c r="I289" s="6"/>
      <c r="J289" s="6"/>
      <c r="K289" s="6"/>
    </row>
    <row r="290" spans="1:11" ht="19.5" customHeight="1">
      <c r="A290" s="3">
        <v>7</v>
      </c>
      <c r="B290" s="4"/>
      <c r="C290" s="4"/>
      <c r="D290" s="4"/>
      <c r="E290" s="4"/>
      <c r="H290" s="4"/>
      <c r="I290" s="4"/>
      <c r="J290" s="4"/>
      <c r="K290" s="4"/>
    </row>
    <row r="291" spans="1:11" ht="27.75" customHeight="1">
      <c r="A291" s="28" t="s">
        <v>142</v>
      </c>
      <c r="B291" s="22"/>
      <c r="C291" s="22"/>
      <c r="D291" s="22"/>
      <c r="E291" s="22"/>
      <c r="F291" s="22"/>
      <c r="G291" s="22"/>
      <c r="H291" s="22"/>
      <c r="I291" s="22"/>
      <c r="J291" s="22"/>
      <c r="K291" s="22"/>
    </row>
    <row r="292" spans="1:11" ht="15" customHeight="1">
      <c r="A292" s="35" t="s">
        <v>44</v>
      </c>
      <c r="B292" s="22"/>
      <c r="C292" s="22"/>
      <c r="D292" s="22"/>
      <c r="E292" s="22"/>
      <c r="G292" s="35" t="s">
        <v>45</v>
      </c>
      <c r="H292" s="22"/>
      <c r="I292" s="22"/>
      <c r="J292" s="22"/>
      <c r="K292" s="22"/>
    </row>
    <row r="293" spans="1:11" ht="15" customHeight="1">
      <c r="A293" s="9" t="s">
        <v>112</v>
      </c>
      <c r="B293" s="10" t="s">
        <v>2</v>
      </c>
      <c r="C293" s="10" t="s">
        <v>18</v>
      </c>
      <c r="D293" s="10" t="s">
        <v>4</v>
      </c>
      <c r="E293" s="10" t="s">
        <v>8</v>
      </c>
      <c r="G293" s="9" t="s">
        <v>112</v>
      </c>
      <c r="H293" s="10" t="s">
        <v>2</v>
      </c>
      <c r="I293" s="10" t="s">
        <v>18</v>
      </c>
      <c r="J293" s="10" t="s">
        <v>4</v>
      </c>
      <c r="K293" s="10" t="s">
        <v>8</v>
      </c>
    </row>
    <row r="294" spans="1:11" ht="19.5" customHeight="1">
      <c r="A294" s="3">
        <v>1</v>
      </c>
      <c r="B294" s="4"/>
      <c r="C294" s="4"/>
      <c r="D294" s="4"/>
      <c r="E294" s="4"/>
      <c r="H294" s="4"/>
      <c r="I294" s="4"/>
      <c r="J294" s="4"/>
      <c r="K294" s="4"/>
    </row>
    <row r="295" spans="1:11" ht="19.5" customHeight="1">
      <c r="A295" s="5">
        <v>2</v>
      </c>
      <c r="B295" s="6"/>
      <c r="C295" s="6"/>
      <c r="D295" s="6"/>
      <c r="E295" s="6"/>
      <c r="H295" s="6"/>
      <c r="I295" s="6"/>
      <c r="J295" s="6"/>
      <c r="K295" s="6"/>
    </row>
    <row r="296" spans="1:11" ht="19.5" customHeight="1">
      <c r="A296" s="3">
        <v>3</v>
      </c>
      <c r="B296" s="4"/>
      <c r="C296" s="4"/>
      <c r="D296" s="4"/>
      <c r="E296" s="4"/>
      <c r="H296" s="4"/>
      <c r="I296" s="4"/>
      <c r="J296" s="4"/>
      <c r="K296" s="4"/>
    </row>
    <row r="297" spans="1:11" ht="19.5" customHeight="1">
      <c r="A297" s="5">
        <v>4</v>
      </c>
      <c r="B297" s="6"/>
      <c r="C297" s="6"/>
      <c r="D297" s="6"/>
      <c r="E297" s="6"/>
      <c r="H297" s="6"/>
      <c r="I297" s="6"/>
      <c r="J297" s="6"/>
      <c r="K297" s="6"/>
    </row>
    <row r="298" spans="1:11" ht="19.5" customHeight="1">
      <c r="A298" s="3">
        <v>5</v>
      </c>
      <c r="B298" s="4"/>
      <c r="C298" s="4"/>
      <c r="D298" s="4"/>
      <c r="E298" s="4"/>
      <c r="H298" s="4"/>
      <c r="I298" s="4"/>
      <c r="J298" s="4"/>
      <c r="K298" s="4"/>
    </row>
    <row r="299" spans="1:11" ht="19.5" customHeight="1">
      <c r="A299" s="5">
        <v>6</v>
      </c>
      <c r="B299" s="6"/>
      <c r="C299" s="6"/>
      <c r="D299" s="6"/>
      <c r="E299" s="6"/>
      <c r="H299" s="6"/>
      <c r="I299" s="6"/>
      <c r="J299" s="6"/>
      <c r="K299" s="6"/>
    </row>
    <row r="300" spans="1:11" ht="19.5" customHeight="1">
      <c r="A300" s="3">
        <v>7</v>
      </c>
      <c r="B300" s="4"/>
      <c r="C300" s="4"/>
      <c r="D300" s="4"/>
      <c r="E300" s="4"/>
      <c r="H300" s="4"/>
      <c r="I300" s="4"/>
      <c r="J300" s="4"/>
      <c r="K300" s="4"/>
    </row>
  </sheetData>
  <mergeCells count="90">
    <mergeCell ref="G292:K292"/>
    <mergeCell ref="G162:K162"/>
    <mergeCell ref="A242:E242"/>
    <mergeCell ref="G222:K222"/>
    <mergeCell ref="A262:E262"/>
    <mergeCell ref="A292:E292"/>
    <mergeCell ref="A2:E2"/>
    <mergeCell ref="A21:K21"/>
    <mergeCell ref="A42:E42"/>
    <mergeCell ref="A22:E22"/>
    <mergeCell ref="A122:E122"/>
    <mergeCell ref="G182:K182"/>
    <mergeCell ref="A72:E72"/>
    <mergeCell ref="A112:E112"/>
    <mergeCell ref="A152:E152"/>
    <mergeCell ref="G202:K202"/>
    <mergeCell ref="G102:K102"/>
    <mergeCell ref="G242:K242"/>
    <mergeCell ref="A211:K211"/>
    <mergeCell ref="G282:K282"/>
    <mergeCell ref="G72:K72"/>
    <mergeCell ref="A1:K1"/>
    <mergeCell ref="A281:K281"/>
    <mergeCell ref="G82:K82"/>
    <mergeCell ref="A172:E172"/>
    <mergeCell ref="A252:E252"/>
    <mergeCell ref="A271:K271"/>
    <mergeCell ref="A201:K201"/>
    <mergeCell ref="A261:K261"/>
    <mergeCell ref="A162:E162"/>
    <mergeCell ref="A212:E212"/>
    <mergeCell ref="A62:E62"/>
    <mergeCell ref="A92:E92"/>
    <mergeCell ref="A81:K81"/>
    <mergeCell ref="A102:E102"/>
    <mergeCell ref="A121:K121"/>
    <mergeCell ref="A161:K161"/>
    <mergeCell ref="G262:K262"/>
    <mergeCell ref="G122:K122"/>
    <mergeCell ref="G172:K172"/>
    <mergeCell ref="A12:E12"/>
    <mergeCell ref="G92:K92"/>
    <mergeCell ref="G152:K152"/>
    <mergeCell ref="A71:K71"/>
    <mergeCell ref="G142:K142"/>
    <mergeCell ref="A32:E32"/>
    <mergeCell ref="A181:K181"/>
    <mergeCell ref="A91:K91"/>
    <mergeCell ref="A131:K131"/>
    <mergeCell ref="A171:K171"/>
    <mergeCell ref="A231:K231"/>
    <mergeCell ref="G32:K32"/>
    <mergeCell ref="A202:E202"/>
    <mergeCell ref="G252:K252"/>
    <mergeCell ref="G52:K52"/>
    <mergeCell ref="A222:E222"/>
    <mergeCell ref="G2:K2"/>
    <mergeCell ref="A11:K11"/>
    <mergeCell ref="G42:K42"/>
    <mergeCell ref="A132:E132"/>
    <mergeCell ref="A191:K191"/>
    <mergeCell ref="A61:K61"/>
    <mergeCell ref="A111:K111"/>
    <mergeCell ref="A82:E82"/>
    <mergeCell ref="G22:K22"/>
    <mergeCell ref="A31:K31"/>
    <mergeCell ref="A291:K291"/>
    <mergeCell ref="G132:K132"/>
    <mergeCell ref="A241:K241"/>
    <mergeCell ref="G272:K272"/>
    <mergeCell ref="A41:K41"/>
    <mergeCell ref="G112:K112"/>
    <mergeCell ref="A221:K221"/>
    <mergeCell ref="A282:E282"/>
    <mergeCell ref="G62:K62"/>
    <mergeCell ref="A192:E192"/>
    <mergeCell ref="A272:E272"/>
    <mergeCell ref="A101:K101"/>
    <mergeCell ref="A251:K251"/>
    <mergeCell ref="A151:K151"/>
    <mergeCell ref="G192:K192"/>
    <mergeCell ref="A141:K141"/>
    <mergeCell ref="G232:K232"/>
    <mergeCell ref="A232:E232"/>
    <mergeCell ref="G12:K12"/>
    <mergeCell ref="A142:E142"/>
    <mergeCell ref="A182:E182"/>
    <mergeCell ref="A51:K51"/>
    <mergeCell ref="A52:E52"/>
    <mergeCell ref="G212:K2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88"/>
  <sheetViews>
    <sheetView zoomScaleNormal="100" workbookViewId="0"/>
  </sheetViews>
  <sheetFormatPr defaultColWidth="8.6328125" defaultRowHeight="14.5"/>
  <cols>
    <col min="1" max="1" width="4" customWidth="1"/>
    <col min="2" max="2" width="5.54296875" customWidth="1"/>
    <col min="3" max="3" width="9" customWidth="1"/>
    <col min="4" max="4" width="8" customWidth="1"/>
    <col min="5" max="5" width="14.6328125" customWidth="1"/>
    <col min="6" max="6" width="2" customWidth="1"/>
    <col min="7" max="7" width="4" customWidth="1"/>
    <col min="8" max="8" width="5.54296875" customWidth="1"/>
    <col min="9" max="9" width="9" customWidth="1"/>
    <col min="10" max="10" width="8" customWidth="1"/>
    <col min="11" max="11" width="14.6328125" customWidth="1"/>
  </cols>
  <sheetData>
    <row r="1" spans="1:11" ht="30" customHeight="1">
      <c r="A1" s="28" t="s">
        <v>41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>
      <c r="A2" s="35" t="s">
        <v>44</v>
      </c>
      <c r="B2" s="22"/>
      <c r="C2" s="22"/>
      <c r="D2" s="22"/>
      <c r="E2" s="22"/>
      <c r="G2" s="35" t="s">
        <v>45</v>
      </c>
      <c r="H2" s="22"/>
      <c r="I2" s="22"/>
      <c r="J2" s="22"/>
      <c r="K2" s="22"/>
    </row>
    <row r="3" spans="1:11" ht="15" customHeight="1">
      <c r="A3" s="9" t="s">
        <v>1</v>
      </c>
      <c r="B3" s="10" t="s">
        <v>2</v>
      </c>
      <c r="C3" s="10" t="s">
        <v>18</v>
      </c>
      <c r="D3" s="10" t="s">
        <v>4</v>
      </c>
      <c r="E3" s="10" t="s">
        <v>8</v>
      </c>
      <c r="G3" s="9" t="s">
        <v>1</v>
      </c>
      <c r="H3" s="10" t="s">
        <v>2</v>
      </c>
      <c r="I3" s="10" t="s">
        <v>18</v>
      </c>
      <c r="J3" s="10" t="s">
        <v>4</v>
      </c>
      <c r="K3" s="10" t="s">
        <v>8</v>
      </c>
    </row>
    <row r="4" spans="1:11" ht="19.5" customHeight="1">
      <c r="A4" s="3">
        <v>1</v>
      </c>
      <c r="B4" s="4"/>
      <c r="C4" s="4"/>
      <c r="D4" s="4"/>
      <c r="E4" s="4"/>
      <c r="H4" s="4"/>
      <c r="I4" s="4"/>
      <c r="J4" s="4"/>
      <c r="K4" s="4"/>
    </row>
    <row r="5" spans="1:11" ht="19.5" customHeight="1">
      <c r="A5" s="5">
        <v>2</v>
      </c>
      <c r="B5" s="6"/>
      <c r="C5" s="6"/>
      <c r="D5" s="6"/>
      <c r="E5" s="6"/>
      <c r="H5" s="6"/>
      <c r="I5" s="6"/>
      <c r="J5" s="6"/>
      <c r="K5" s="6"/>
    </row>
    <row r="6" spans="1:11" ht="19.5" customHeight="1">
      <c r="A6" s="3">
        <v>3</v>
      </c>
      <c r="B6" s="4"/>
      <c r="C6" s="4"/>
      <c r="D6" s="4"/>
      <c r="E6" s="4"/>
      <c r="H6" s="4"/>
      <c r="I6" s="4"/>
      <c r="J6" s="4"/>
      <c r="K6" s="4"/>
    </row>
    <row r="7" spans="1:11" ht="19.5" customHeight="1">
      <c r="A7" s="5">
        <v>4</v>
      </c>
      <c r="B7" s="6"/>
      <c r="C7" s="6"/>
      <c r="D7" s="6"/>
      <c r="E7" s="6"/>
      <c r="H7" s="6"/>
      <c r="I7" s="6"/>
      <c r="J7" s="6"/>
      <c r="K7" s="6"/>
    </row>
    <row r="8" spans="1:11" ht="19.5" customHeight="1">
      <c r="A8" s="3">
        <v>5</v>
      </c>
      <c r="B8" s="4"/>
      <c r="C8" s="4"/>
      <c r="D8" s="4"/>
      <c r="E8" s="4"/>
      <c r="H8" s="4"/>
      <c r="I8" s="4"/>
      <c r="J8" s="4"/>
      <c r="K8" s="4"/>
    </row>
    <row r="9" spans="1:11" ht="19.5" customHeight="1">
      <c r="A9" s="5">
        <v>6</v>
      </c>
      <c r="B9" s="6"/>
      <c r="C9" s="6"/>
      <c r="D9" s="6"/>
      <c r="E9" s="6"/>
      <c r="H9" s="6"/>
      <c r="I9" s="6"/>
      <c r="J9" s="6"/>
      <c r="K9" s="6"/>
    </row>
    <row r="10" spans="1:11" ht="19.5" customHeight="1">
      <c r="A10" s="3">
        <v>7</v>
      </c>
      <c r="B10" s="4"/>
      <c r="C10" s="4"/>
      <c r="D10" s="4"/>
      <c r="E10" s="4"/>
      <c r="H10" s="4"/>
      <c r="I10" s="4"/>
      <c r="J10" s="4"/>
      <c r="K10" s="4"/>
    </row>
    <row r="11" spans="1:11" ht="19.5" customHeight="1">
      <c r="A11" s="5">
        <v>8</v>
      </c>
      <c r="B11" s="6"/>
      <c r="C11" s="6"/>
      <c r="D11" s="6"/>
      <c r="E11" s="6"/>
      <c r="H11" s="6"/>
      <c r="I11" s="6"/>
      <c r="J11" s="6"/>
      <c r="K11" s="6"/>
    </row>
    <row r="12" spans="1:11" ht="19.5" customHeight="1">
      <c r="A12" s="3">
        <v>9</v>
      </c>
      <c r="B12" s="4"/>
      <c r="C12" s="4"/>
      <c r="D12" s="4"/>
      <c r="E12" s="4"/>
      <c r="H12" s="4"/>
      <c r="I12" s="4"/>
      <c r="J12" s="4"/>
      <c r="K12" s="4"/>
    </row>
    <row r="13" spans="1:11" ht="19.5" customHeight="1">
      <c r="A13" s="5">
        <v>10</v>
      </c>
      <c r="B13" s="6"/>
      <c r="C13" s="6"/>
      <c r="D13" s="6"/>
      <c r="E13" s="6"/>
      <c r="H13" s="6"/>
      <c r="I13" s="6"/>
      <c r="J13" s="6"/>
      <c r="K13" s="6"/>
    </row>
    <row r="14" spans="1:11" ht="19.5" customHeight="1">
      <c r="A14" s="3">
        <v>11</v>
      </c>
      <c r="B14" s="4"/>
      <c r="C14" s="4"/>
      <c r="D14" s="4"/>
      <c r="E14" s="4"/>
      <c r="H14" s="4"/>
      <c r="I14" s="4"/>
      <c r="J14" s="4"/>
      <c r="K14" s="4"/>
    </row>
    <row r="15" spans="1:11" ht="19.5" customHeight="1">
      <c r="A15" s="5">
        <v>12</v>
      </c>
      <c r="B15" s="6"/>
      <c r="C15" s="6"/>
      <c r="D15" s="6"/>
      <c r="E15" s="6"/>
      <c r="H15" s="6"/>
      <c r="I15" s="6"/>
      <c r="J15" s="6"/>
      <c r="K15" s="6"/>
    </row>
    <row r="16" spans="1:11" ht="19.5" customHeight="1">
      <c r="A16" s="3">
        <v>13</v>
      </c>
      <c r="B16" s="4"/>
      <c r="C16" s="4"/>
      <c r="D16" s="4"/>
      <c r="E16" s="4"/>
      <c r="H16" s="4"/>
      <c r="I16" s="4"/>
      <c r="J16" s="4"/>
      <c r="K16" s="4"/>
    </row>
    <row r="17" spans="1:11" ht="19.5" customHeight="1">
      <c r="A17" s="5">
        <v>14</v>
      </c>
      <c r="B17" s="6"/>
      <c r="C17" s="6"/>
      <c r="D17" s="6"/>
      <c r="E17" s="6"/>
      <c r="H17" s="6"/>
      <c r="I17" s="6"/>
      <c r="J17" s="6"/>
      <c r="K17" s="6"/>
    </row>
    <row r="18" spans="1:11" ht="19.5" customHeight="1">
      <c r="A18" s="3">
        <v>15</v>
      </c>
      <c r="B18" s="4"/>
      <c r="C18" s="4"/>
      <c r="D18" s="4"/>
      <c r="E18" s="4"/>
      <c r="H18" s="4"/>
      <c r="I18" s="4"/>
      <c r="J18" s="4"/>
      <c r="K18" s="4"/>
    </row>
    <row r="19" spans="1:11" ht="19.5" customHeight="1">
      <c r="A19" s="5">
        <v>16</v>
      </c>
      <c r="B19" s="6"/>
      <c r="C19" s="6"/>
      <c r="D19" s="6"/>
      <c r="E19" s="6"/>
      <c r="H19" s="6"/>
      <c r="I19" s="6"/>
      <c r="J19" s="6"/>
      <c r="K19" s="6"/>
    </row>
    <row r="20" spans="1:11" ht="19.5" customHeight="1">
      <c r="A20" s="3">
        <v>17</v>
      </c>
      <c r="B20" s="4"/>
      <c r="C20" s="4"/>
      <c r="D20" s="4"/>
      <c r="E20" s="4"/>
      <c r="H20" s="4"/>
      <c r="I20" s="4"/>
      <c r="J20" s="4"/>
      <c r="K20" s="4"/>
    </row>
    <row r="21" spans="1:11" ht="19.5" customHeight="1">
      <c r="A21" s="5">
        <v>18</v>
      </c>
      <c r="B21" s="6"/>
      <c r="C21" s="6"/>
      <c r="D21" s="6"/>
      <c r="E21" s="6"/>
      <c r="H21" s="6"/>
      <c r="I21" s="6"/>
      <c r="J21" s="6"/>
      <c r="K21" s="6"/>
    </row>
    <row r="22" spans="1:11" ht="19.5" customHeight="1">
      <c r="A22" s="3">
        <v>19</v>
      </c>
      <c r="B22" s="4"/>
      <c r="C22" s="4"/>
      <c r="D22" s="4"/>
      <c r="E22" s="4"/>
      <c r="H22" s="4"/>
      <c r="I22" s="4"/>
      <c r="J22" s="4"/>
      <c r="K22" s="4"/>
    </row>
    <row r="23" spans="1:11" ht="19.5" customHeight="1">
      <c r="A23" s="5">
        <v>20</v>
      </c>
      <c r="B23" s="6"/>
      <c r="C23" s="6"/>
      <c r="D23" s="6"/>
      <c r="E23" s="6"/>
      <c r="H23" s="6"/>
      <c r="I23" s="6"/>
      <c r="J23" s="6"/>
      <c r="K23" s="6"/>
    </row>
    <row r="24" spans="1:11" ht="19.5" customHeight="1">
      <c r="A24" s="3">
        <v>21</v>
      </c>
      <c r="B24" s="4"/>
      <c r="C24" s="4"/>
      <c r="D24" s="4"/>
      <c r="E24" s="4"/>
      <c r="H24" s="4"/>
      <c r="I24" s="4"/>
      <c r="J24" s="4"/>
      <c r="K24" s="4"/>
    </row>
    <row r="25" spans="1:11" ht="19.5" customHeight="1">
      <c r="A25" s="5">
        <v>22</v>
      </c>
      <c r="B25" s="6"/>
      <c r="C25" s="6"/>
      <c r="D25" s="6"/>
      <c r="E25" s="6"/>
      <c r="H25" s="6"/>
      <c r="I25" s="6"/>
      <c r="J25" s="6"/>
      <c r="K25" s="6"/>
    </row>
    <row r="26" spans="1:11" ht="19.5" customHeight="1">
      <c r="A26" s="3">
        <v>23</v>
      </c>
      <c r="B26" s="4"/>
      <c r="C26" s="4"/>
      <c r="D26" s="4"/>
      <c r="E26" s="4"/>
      <c r="H26" s="4"/>
      <c r="I26" s="4"/>
      <c r="J26" s="4"/>
      <c r="K26" s="4"/>
    </row>
    <row r="27" spans="1:11" ht="19.5" customHeight="1">
      <c r="A27" s="5">
        <v>24</v>
      </c>
      <c r="B27" s="6"/>
      <c r="C27" s="6"/>
      <c r="D27" s="6"/>
      <c r="E27" s="6"/>
      <c r="H27" s="6"/>
      <c r="I27" s="6"/>
      <c r="J27" s="6"/>
      <c r="K27" s="6"/>
    </row>
    <row r="28" spans="1:11" ht="19.5" customHeight="1">
      <c r="A28" s="3">
        <v>25</v>
      </c>
      <c r="B28" s="4"/>
      <c r="C28" s="4"/>
      <c r="D28" s="4"/>
      <c r="E28" s="4"/>
      <c r="H28" s="4"/>
      <c r="I28" s="4"/>
      <c r="J28" s="4"/>
      <c r="K28" s="4"/>
    </row>
    <row r="29" spans="1:11" ht="19.5" customHeight="1">
      <c r="A29" s="5">
        <v>26</v>
      </c>
      <c r="B29" s="6"/>
      <c r="C29" s="6"/>
      <c r="D29" s="6"/>
      <c r="E29" s="6"/>
      <c r="H29" s="6"/>
      <c r="I29" s="6"/>
      <c r="J29" s="6"/>
      <c r="K29" s="6"/>
    </row>
    <row r="30" spans="1:11" ht="19.5" customHeight="1">
      <c r="A30" s="3">
        <v>27</v>
      </c>
      <c r="B30" s="4"/>
      <c r="C30" s="4"/>
      <c r="D30" s="4"/>
      <c r="E30" s="4"/>
      <c r="H30" s="4"/>
      <c r="I30" s="4"/>
      <c r="J30" s="4"/>
      <c r="K30" s="4"/>
    </row>
    <row r="31" spans="1:11" ht="19.5" customHeight="1">
      <c r="A31" s="5">
        <v>28</v>
      </c>
      <c r="B31" s="6"/>
      <c r="C31" s="6"/>
      <c r="D31" s="6"/>
      <c r="E31" s="6"/>
      <c r="H31" s="6"/>
      <c r="I31" s="6"/>
      <c r="J31" s="6"/>
      <c r="K31" s="6"/>
    </row>
    <row r="32" spans="1:11" ht="19.5" customHeight="1">
      <c r="A32" s="3">
        <v>29</v>
      </c>
      <c r="B32" s="4"/>
      <c r="C32" s="4"/>
      <c r="D32" s="4"/>
      <c r="E32" s="4"/>
      <c r="H32" s="4"/>
      <c r="I32" s="4"/>
      <c r="J32" s="4"/>
      <c r="K32" s="4"/>
    </row>
    <row r="33" spans="1:11" ht="19.5" customHeight="1">
      <c r="A33" s="5">
        <v>30</v>
      </c>
      <c r="B33" s="6"/>
      <c r="C33" s="6"/>
      <c r="D33" s="6"/>
      <c r="E33" s="6"/>
      <c r="H33" s="6"/>
      <c r="I33" s="6"/>
      <c r="J33" s="6"/>
      <c r="K33" s="6"/>
    </row>
    <row r="34" spans="1:11" ht="19.5" customHeight="1">
      <c r="A34" s="3">
        <v>31</v>
      </c>
      <c r="B34" s="4"/>
      <c r="C34" s="4"/>
      <c r="D34" s="4"/>
      <c r="E34" s="4"/>
      <c r="H34" s="4"/>
      <c r="I34" s="4"/>
      <c r="J34" s="4"/>
      <c r="K34" s="4"/>
    </row>
    <row r="35" spans="1:11" ht="19.5" customHeight="1">
      <c r="A35" s="5">
        <v>32</v>
      </c>
      <c r="B35" s="6"/>
      <c r="C35" s="6"/>
      <c r="D35" s="6"/>
      <c r="E35" s="6"/>
      <c r="H35" s="6"/>
      <c r="I35" s="6"/>
      <c r="J35" s="6"/>
      <c r="K35" s="6"/>
    </row>
    <row r="36" spans="1:11" ht="19.5" customHeight="1">
      <c r="A36" s="3">
        <v>33</v>
      </c>
      <c r="B36" s="4"/>
      <c r="C36" s="4"/>
      <c r="D36" s="4"/>
      <c r="E36" s="4"/>
      <c r="H36" s="4"/>
      <c r="I36" s="4"/>
      <c r="J36" s="4"/>
      <c r="K36" s="4"/>
    </row>
    <row r="37" spans="1:11" ht="19.5" customHeight="1">
      <c r="A37" s="5">
        <v>34</v>
      </c>
      <c r="B37" s="6"/>
      <c r="C37" s="6"/>
      <c r="D37" s="6"/>
      <c r="E37" s="6"/>
      <c r="H37" s="6"/>
      <c r="I37" s="6"/>
      <c r="J37" s="6"/>
      <c r="K37" s="6"/>
    </row>
    <row r="38" spans="1:11" ht="19.5" customHeight="1">
      <c r="A38" s="3">
        <v>35</v>
      </c>
      <c r="B38" s="4"/>
      <c r="C38" s="4"/>
      <c r="D38" s="4"/>
      <c r="E38" s="4"/>
      <c r="H38" s="4"/>
      <c r="I38" s="4"/>
      <c r="J38" s="4"/>
      <c r="K38" s="4"/>
    </row>
    <row r="39" spans="1:11" ht="19.5" customHeight="1">
      <c r="A39" s="5">
        <v>36</v>
      </c>
      <c r="B39" s="6"/>
      <c r="C39" s="6"/>
      <c r="D39" s="6"/>
      <c r="E39" s="6"/>
      <c r="H39" s="6"/>
      <c r="I39" s="6"/>
      <c r="J39" s="6"/>
      <c r="K39" s="6"/>
    </row>
    <row r="40" spans="1:11" ht="19.5" customHeight="1">
      <c r="A40" s="3">
        <v>37</v>
      </c>
      <c r="B40" s="4"/>
      <c r="C40" s="4"/>
      <c r="D40" s="4"/>
      <c r="E40" s="4"/>
      <c r="H40" s="4"/>
      <c r="I40" s="4"/>
      <c r="J40" s="4"/>
      <c r="K40" s="4"/>
    </row>
    <row r="41" spans="1:11" ht="19.5" customHeight="1">
      <c r="A41" s="5">
        <v>38</v>
      </c>
      <c r="B41" s="6"/>
      <c r="C41" s="6"/>
      <c r="D41" s="6"/>
      <c r="E41" s="6"/>
      <c r="H41" s="6"/>
      <c r="I41" s="6"/>
      <c r="J41" s="6"/>
      <c r="K41" s="6"/>
    </row>
    <row r="42" spans="1:11" ht="19.5" customHeight="1">
      <c r="A42" s="3">
        <v>39</v>
      </c>
      <c r="B42" s="4"/>
      <c r="C42" s="4"/>
      <c r="D42" s="4"/>
      <c r="E42" s="4"/>
      <c r="H42" s="4"/>
      <c r="I42" s="4"/>
      <c r="J42" s="4"/>
      <c r="K42" s="4"/>
    </row>
    <row r="43" spans="1:11" ht="19.5" customHeight="1">
      <c r="A43" s="5">
        <v>40</v>
      </c>
      <c r="B43" s="6"/>
      <c r="C43" s="6"/>
      <c r="D43" s="6"/>
      <c r="E43" s="6"/>
      <c r="H43" s="6"/>
      <c r="I43" s="6"/>
      <c r="J43" s="6"/>
      <c r="K43" s="6"/>
    </row>
    <row r="44" spans="1:11" ht="15" customHeight="1">
      <c r="A44" s="27" t="s">
        <v>143</v>
      </c>
      <c r="B44" s="22"/>
      <c r="C44" s="22"/>
      <c r="D44" s="22"/>
      <c r="E44" s="22"/>
      <c r="G44" s="27" t="s">
        <v>143</v>
      </c>
      <c r="H44" s="22"/>
      <c r="I44" s="22"/>
      <c r="J44" s="22"/>
      <c r="K44" s="22"/>
    </row>
    <row r="45" spans="1:11" ht="23.9" customHeight="1">
      <c r="A45" s="28" t="s">
        <v>43</v>
      </c>
      <c r="B45" s="22"/>
      <c r="C45" s="22"/>
      <c r="D45" s="22"/>
      <c r="E45" s="22"/>
      <c r="F45" s="22"/>
      <c r="G45" s="22"/>
      <c r="H45" s="22"/>
      <c r="I45" s="22"/>
      <c r="J45" s="22"/>
      <c r="K45" s="22"/>
    </row>
    <row r="46" spans="1:11" ht="15" customHeight="1">
      <c r="A46" s="35" t="s">
        <v>44</v>
      </c>
      <c r="B46" s="22"/>
      <c r="C46" s="22"/>
      <c r="D46" s="22"/>
      <c r="E46" s="22"/>
      <c r="G46" s="35" t="s">
        <v>45</v>
      </c>
      <c r="H46" s="22"/>
      <c r="I46" s="22"/>
      <c r="J46" s="22"/>
      <c r="K46" s="22"/>
    </row>
    <row r="47" spans="1:11" ht="15" customHeight="1">
      <c r="A47" s="9" t="s">
        <v>1</v>
      </c>
      <c r="B47" s="10" t="s">
        <v>2</v>
      </c>
      <c r="C47" s="10" t="s">
        <v>103</v>
      </c>
      <c r="D47" s="10" t="s">
        <v>4</v>
      </c>
      <c r="E47" s="10" t="s">
        <v>8</v>
      </c>
      <c r="G47" s="9" t="s">
        <v>1</v>
      </c>
      <c r="H47" s="10" t="s">
        <v>2</v>
      </c>
      <c r="I47" s="10" t="s">
        <v>103</v>
      </c>
      <c r="J47" s="10" t="s">
        <v>4</v>
      </c>
      <c r="K47" s="10" t="s">
        <v>8</v>
      </c>
    </row>
    <row r="48" spans="1:11" ht="19.5" customHeight="1">
      <c r="A48" s="3">
        <v>1</v>
      </c>
      <c r="B48" s="4"/>
      <c r="C48" s="4"/>
      <c r="D48" s="4"/>
      <c r="E48" s="4"/>
      <c r="H48" s="4"/>
      <c r="I48" s="4"/>
      <c r="J48" s="4"/>
      <c r="K48" s="4"/>
    </row>
    <row r="49" spans="1:11" ht="19.5" customHeight="1">
      <c r="A49" s="5">
        <v>2</v>
      </c>
      <c r="B49" s="6"/>
      <c r="C49" s="6"/>
      <c r="D49" s="6"/>
      <c r="E49" s="6"/>
      <c r="H49" s="6"/>
      <c r="I49" s="6"/>
      <c r="J49" s="6"/>
      <c r="K49" s="6"/>
    </row>
    <row r="50" spans="1:11" ht="19.5" customHeight="1">
      <c r="A50" s="3">
        <v>3</v>
      </c>
      <c r="B50" s="4"/>
      <c r="C50" s="4"/>
      <c r="D50" s="4"/>
      <c r="E50" s="4"/>
      <c r="H50" s="4"/>
      <c r="I50" s="4"/>
      <c r="J50" s="4"/>
      <c r="K50" s="4"/>
    </row>
    <row r="51" spans="1:11" ht="19.5" customHeight="1">
      <c r="A51" s="5">
        <v>4</v>
      </c>
      <c r="B51" s="6"/>
      <c r="C51" s="6"/>
      <c r="D51" s="6"/>
      <c r="E51" s="6"/>
      <c r="H51" s="6"/>
      <c r="I51" s="6"/>
      <c r="J51" s="6"/>
      <c r="K51" s="6"/>
    </row>
    <row r="52" spans="1:11" ht="19.5" customHeight="1">
      <c r="A52" s="3">
        <v>5</v>
      </c>
      <c r="B52" s="4"/>
      <c r="C52" s="4"/>
      <c r="D52" s="4"/>
      <c r="E52" s="4"/>
      <c r="H52" s="4"/>
      <c r="I52" s="4"/>
      <c r="J52" s="4"/>
      <c r="K52" s="4"/>
    </row>
    <row r="53" spans="1:11" ht="19.5" customHeight="1">
      <c r="A53" s="5">
        <v>6</v>
      </c>
      <c r="B53" s="6"/>
      <c r="C53" s="6"/>
      <c r="D53" s="6"/>
      <c r="E53" s="6"/>
      <c r="H53" s="6"/>
      <c r="I53" s="6"/>
      <c r="J53" s="6"/>
      <c r="K53" s="6"/>
    </row>
    <row r="54" spans="1:11" ht="19.5" customHeight="1">
      <c r="A54" s="3">
        <v>7</v>
      </c>
      <c r="B54" s="4"/>
      <c r="C54" s="4"/>
      <c r="D54" s="4"/>
      <c r="E54" s="4"/>
      <c r="H54" s="4"/>
      <c r="I54" s="4"/>
      <c r="J54" s="4"/>
      <c r="K54" s="4"/>
    </row>
    <row r="55" spans="1:11" ht="19.5" customHeight="1">
      <c r="A55" s="5">
        <v>8</v>
      </c>
      <c r="B55" s="6"/>
      <c r="C55" s="6"/>
      <c r="D55" s="6"/>
      <c r="E55" s="6"/>
      <c r="H55" s="6"/>
      <c r="I55" s="6"/>
      <c r="J55" s="6"/>
      <c r="K55" s="6"/>
    </row>
    <row r="56" spans="1:11" ht="19.5" customHeight="1">
      <c r="A56" s="3">
        <v>9</v>
      </c>
      <c r="B56" s="4"/>
      <c r="C56" s="4"/>
      <c r="D56" s="4"/>
      <c r="E56" s="4"/>
      <c r="H56" s="4"/>
      <c r="I56" s="4"/>
      <c r="J56" s="4"/>
      <c r="K56" s="4"/>
    </row>
    <row r="57" spans="1:11" ht="19.5" customHeight="1">
      <c r="A57" s="5">
        <v>10</v>
      </c>
      <c r="B57" s="6"/>
      <c r="C57" s="6"/>
      <c r="D57" s="6"/>
      <c r="E57" s="6"/>
      <c r="H57" s="6"/>
      <c r="I57" s="6"/>
      <c r="J57" s="6"/>
      <c r="K57" s="6"/>
    </row>
    <row r="58" spans="1:11" ht="19.5" customHeight="1">
      <c r="A58" s="3">
        <v>11</v>
      </c>
      <c r="B58" s="4"/>
      <c r="C58" s="4"/>
      <c r="D58" s="4"/>
      <c r="E58" s="4"/>
      <c r="H58" s="4"/>
      <c r="I58" s="4"/>
      <c r="J58" s="4"/>
      <c r="K58" s="4"/>
    </row>
    <row r="59" spans="1:11" ht="19.5" customHeight="1">
      <c r="A59" s="5">
        <v>12</v>
      </c>
      <c r="B59" s="6"/>
      <c r="C59" s="6"/>
      <c r="D59" s="6"/>
      <c r="E59" s="6"/>
      <c r="H59" s="6"/>
      <c r="I59" s="6"/>
      <c r="J59" s="6"/>
      <c r="K59" s="6"/>
    </row>
    <row r="60" spans="1:11" ht="19.5" customHeight="1">
      <c r="A60" s="3">
        <v>13</v>
      </c>
      <c r="B60" s="4"/>
      <c r="C60" s="4"/>
      <c r="D60" s="4"/>
      <c r="E60" s="4"/>
      <c r="H60" s="4"/>
      <c r="I60" s="4"/>
      <c r="J60" s="4"/>
      <c r="K60" s="4"/>
    </row>
    <row r="61" spans="1:11" ht="19.5" customHeight="1">
      <c r="A61" s="5">
        <v>14</v>
      </c>
      <c r="B61" s="6"/>
      <c r="C61" s="6"/>
      <c r="D61" s="6"/>
      <c r="E61" s="6"/>
      <c r="H61" s="6"/>
      <c r="I61" s="6"/>
      <c r="J61" s="6"/>
      <c r="K61" s="6"/>
    </row>
    <row r="62" spans="1:11" ht="19.5" customHeight="1">
      <c r="A62" s="3">
        <v>15</v>
      </c>
      <c r="B62" s="4"/>
      <c r="C62" s="4"/>
      <c r="D62" s="4"/>
      <c r="E62" s="4"/>
      <c r="H62" s="4"/>
      <c r="I62" s="4"/>
      <c r="J62" s="4"/>
      <c r="K62" s="4"/>
    </row>
    <row r="63" spans="1:11" ht="19.5" customHeight="1">
      <c r="A63" s="5">
        <v>16</v>
      </c>
      <c r="B63" s="6"/>
      <c r="C63" s="6"/>
      <c r="D63" s="6"/>
      <c r="E63" s="6"/>
      <c r="H63" s="6"/>
      <c r="I63" s="6"/>
      <c r="J63" s="6"/>
      <c r="K63" s="6"/>
    </row>
    <row r="64" spans="1:11" ht="19.5" customHeight="1">
      <c r="A64" s="3">
        <v>17</v>
      </c>
      <c r="B64" s="4"/>
      <c r="C64" s="4"/>
      <c r="D64" s="4"/>
      <c r="E64" s="4"/>
      <c r="H64" s="4"/>
      <c r="I64" s="4"/>
      <c r="J64" s="4"/>
      <c r="K64" s="4"/>
    </row>
    <row r="65" spans="1:11" ht="19.5" customHeight="1">
      <c r="A65" s="5">
        <v>18</v>
      </c>
      <c r="B65" s="6"/>
      <c r="C65" s="6"/>
      <c r="D65" s="6"/>
      <c r="E65" s="6"/>
      <c r="H65" s="6"/>
      <c r="I65" s="6"/>
      <c r="J65" s="6"/>
      <c r="K65" s="6"/>
    </row>
    <row r="66" spans="1:11" ht="19.5" customHeight="1">
      <c r="A66" s="3">
        <v>19</v>
      </c>
      <c r="B66" s="4"/>
      <c r="C66" s="4"/>
      <c r="D66" s="4"/>
      <c r="E66" s="4"/>
      <c r="H66" s="4"/>
      <c r="I66" s="4"/>
      <c r="J66" s="4"/>
      <c r="K66" s="4"/>
    </row>
    <row r="67" spans="1:11" ht="19.5" customHeight="1">
      <c r="A67" s="5">
        <v>20</v>
      </c>
      <c r="B67" s="6"/>
      <c r="C67" s="6"/>
      <c r="D67" s="6"/>
      <c r="E67" s="6"/>
      <c r="H67" s="6"/>
      <c r="I67" s="6"/>
      <c r="J67" s="6"/>
      <c r="K67" s="6"/>
    </row>
    <row r="68" spans="1:11" ht="19.5" customHeight="1">
      <c r="A68" s="3">
        <v>21</v>
      </c>
      <c r="B68" s="4"/>
      <c r="C68" s="4"/>
      <c r="D68" s="4"/>
      <c r="E68" s="4"/>
      <c r="H68" s="4"/>
      <c r="I68" s="4"/>
      <c r="J68" s="4"/>
      <c r="K68" s="4"/>
    </row>
    <row r="69" spans="1:11" ht="19.5" customHeight="1">
      <c r="A69" s="5">
        <v>22</v>
      </c>
      <c r="B69" s="6"/>
      <c r="C69" s="6"/>
      <c r="D69" s="6"/>
      <c r="E69" s="6"/>
      <c r="H69" s="6"/>
      <c r="I69" s="6"/>
      <c r="J69" s="6"/>
      <c r="K69" s="6"/>
    </row>
    <row r="70" spans="1:11" ht="19.5" customHeight="1">
      <c r="A70" s="3">
        <v>23</v>
      </c>
      <c r="B70" s="4"/>
      <c r="C70" s="4"/>
      <c r="D70" s="4"/>
      <c r="E70" s="4"/>
      <c r="H70" s="4"/>
      <c r="I70" s="4"/>
      <c r="J70" s="4"/>
      <c r="K70" s="4"/>
    </row>
    <row r="71" spans="1:11" ht="19.5" customHeight="1">
      <c r="A71" s="5">
        <v>24</v>
      </c>
      <c r="B71" s="6"/>
      <c r="C71" s="6"/>
      <c r="D71" s="6"/>
      <c r="E71" s="6"/>
      <c r="H71" s="6"/>
      <c r="I71" s="6"/>
      <c r="J71" s="6"/>
      <c r="K71" s="6"/>
    </row>
    <row r="72" spans="1:11" ht="19.5" customHeight="1">
      <c r="A72" s="3">
        <v>25</v>
      </c>
      <c r="B72" s="4"/>
      <c r="C72" s="4"/>
      <c r="D72" s="4"/>
      <c r="E72" s="4"/>
      <c r="H72" s="4"/>
      <c r="I72" s="4"/>
      <c r="J72" s="4"/>
      <c r="K72" s="4"/>
    </row>
    <row r="73" spans="1:11" ht="19.5" customHeight="1">
      <c r="A73" s="5">
        <v>26</v>
      </c>
      <c r="B73" s="6"/>
      <c r="C73" s="6"/>
      <c r="D73" s="6"/>
      <c r="E73" s="6"/>
      <c r="H73" s="6"/>
      <c r="I73" s="6"/>
      <c r="J73" s="6"/>
      <c r="K73" s="6"/>
    </row>
    <row r="74" spans="1:11" ht="19.5" customHeight="1">
      <c r="A74" s="3">
        <v>27</v>
      </c>
      <c r="B74" s="4"/>
      <c r="C74" s="4"/>
      <c r="D74" s="4"/>
      <c r="E74" s="4"/>
      <c r="H74" s="4"/>
      <c r="I74" s="4"/>
      <c r="J74" s="4"/>
      <c r="K74" s="4"/>
    </row>
    <row r="75" spans="1:11" ht="19.5" customHeight="1">
      <c r="A75" s="5">
        <v>28</v>
      </c>
      <c r="B75" s="6"/>
      <c r="C75" s="6"/>
      <c r="D75" s="6"/>
      <c r="E75" s="6"/>
      <c r="H75" s="6"/>
      <c r="I75" s="6"/>
      <c r="J75" s="6"/>
      <c r="K75" s="6"/>
    </row>
    <row r="76" spans="1:11" ht="19.5" customHeight="1">
      <c r="A76" s="3">
        <v>29</v>
      </c>
      <c r="B76" s="4"/>
      <c r="C76" s="4"/>
      <c r="D76" s="4"/>
      <c r="E76" s="4"/>
      <c r="H76" s="4"/>
      <c r="I76" s="4"/>
      <c r="J76" s="4"/>
      <c r="K76" s="4"/>
    </row>
    <row r="77" spans="1:11" ht="19.5" customHeight="1">
      <c r="A77" s="5">
        <v>30</v>
      </c>
      <c r="B77" s="6"/>
      <c r="C77" s="6"/>
      <c r="D77" s="6"/>
      <c r="E77" s="6"/>
      <c r="H77" s="6"/>
      <c r="I77" s="6"/>
      <c r="J77" s="6"/>
      <c r="K77" s="6"/>
    </row>
    <row r="78" spans="1:11" ht="19.5" customHeight="1">
      <c r="A78" s="3">
        <v>31</v>
      </c>
      <c r="B78" s="4"/>
      <c r="C78" s="4"/>
      <c r="D78" s="4"/>
      <c r="E78" s="4"/>
      <c r="H78" s="4"/>
      <c r="I78" s="4"/>
      <c r="J78" s="4"/>
      <c r="K78" s="4"/>
    </row>
    <row r="79" spans="1:11" ht="19.5" customHeight="1">
      <c r="A79" s="5">
        <v>32</v>
      </c>
      <c r="B79" s="6"/>
      <c r="C79" s="6"/>
      <c r="D79" s="6"/>
      <c r="E79" s="6"/>
      <c r="H79" s="6"/>
      <c r="I79" s="6"/>
      <c r="J79" s="6"/>
      <c r="K79" s="6"/>
    </row>
    <row r="80" spans="1:11" ht="19.5" customHeight="1">
      <c r="A80" s="3">
        <v>33</v>
      </c>
      <c r="B80" s="4"/>
      <c r="C80" s="4"/>
      <c r="D80" s="4"/>
      <c r="E80" s="4"/>
      <c r="H80" s="4"/>
      <c r="I80" s="4"/>
      <c r="J80" s="4"/>
      <c r="K80" s="4"/>
    </row>
    <row r="81" spans="1:11" ht="19.5" customHeight="1">
      <c r="A81" s="5">
        <v>34</v>
      </c>
      <c r="B81" s="6"/>
      <c r="C81" s="6"/>
      <c r="D81" s="6"/>
      <c r="E81" s="6"/>
      <c r="H81" s="6"/>
      <c r="I81" s="6"/>
      <c r="J81" s="6"/>
      <c r="K81" s="6"/>
    </row>
    <row r="82" spans="1:11" ht="19.5" customHeight="1">
      <c r="A82" s="3">
        <v>35</v>
      </c>
      <c r="B82" s="4"/>
      <c r="C82" s="4"/>
      <c r="D82" s="4"/>
      <c r="E82" s="4"/>
      <c r="H82" s="4"/>
      <c r="I82" s="4"/>
      <c r="J82" s="4"/>
      <c r="K82" s="4"/>
    </row>
    <row r="83" spans="1:11" ht="19.5" customHeight="1">
      <c r="A83" s="5">
        <v>36</v>
      </c>
      <c r="B83" s="6"/>
      <c r="C83" s="6"/>
      <c r="D83" s="6"/>
      <c r="E83" s="6"/>
      <c r="H83" s="6"/>
      <c r="I83" s="6"/>
      <c r="J83" s="6"/>
      <c r="K83" s="6"/>
    </row>
    <row r="84" spans="1:11" ht="19.5" customHeight="1">
      <c r="A84" s="3">
        <v>37</v>
      </c>
      <c r="B84" s="4"/>
      <c r="C84" s="4"/>
      <c r="D84" s="4"/>
      <c r="E84" s="4"/>
      <c r="H84" s="4"/>
      <c r="I84" s="4"/>
      <c r="J84" s="4"/>
      <c r="K84" s="4"/>
    </row>
    <row r="85" spans="1:11" ht="19.5" customHeight="1">
      <c r="A85" s="5">
        <v>38</v>
      </c>
      <c r="B85" s="6"/>
      <c r="C85" s="6"/>
      <c r="D85" s="6"/>
      <c r="E85" s="6"/>
      <c r="H85" s="6"/>
      <c r="I85" s="6"/>
      <c r="J85" s="6"/>
      <c r="K85" s="6"/>
    </row>
    <row r="86" spans="1:11" ht="19.5" customHeight="1">
      <c r="A86" s="3">
        <v>39</v>
      </c>
      <c r="B86" s="4"/>
      <c r="C86" s="4"/>
      <c r="D86" s="4"/>
      <c r="E86" s="4"/>
      <c r="H86" s="4"/>
      <c r="I86" s="4"/>
      <c r="J86" s="4"/>
      <c r="K86" s="4"/>
    </row>
    <row r="87" spans="1:11" ht="19.5" customHeight="1">
      <c r="A87" s="5">
        <v>40</v>
      </c>
      <c r="B87" s="6"/>
      <c r="C87" s="6"/>
      <c r="D87" s="6"/>
      <c r="E87" s="6"/>
      <c r="H87" s="6"/>
      <c r="I87" s="6"/>
      <c r="J87" s="6"/>
      <c r="K87" s="6"/>
    </row>
    <row r="88" spans="1:11" ht="15" customHeight="1">
      <c r="A88" s="27" t="s">
        <v>144</v>
      </c>
      <c r="B88" s="22"/>
      <c r="C88" s="22"/>
      <c r="D88" s="22"/>
      <c r="E88" s="22"/>
      <c r="G88" s="27" t="s">
        <v>144</v>
      </c>
      <c r="H88" s="22"/>
      <c r="I88" s="22"/>
      <c r="J88" s="22"/>
      <c r="K88" s="22"/>
    </row>
  </sheetData>
  <mergeCells count="10">
    <mergeCell ref="A88:E88"/>
    <mergeCell ref="A45:K45"/>
    <mergeCell ref="G88:K88"/>
    <mergeCell ref="A2:E2"/>
    <mergeCell ref="G2:K2"/>
    <mergeCell ref="A1:K1"/>
    <mergeCell ref="G44:K44"/>
    <mergeCell ref="A46:E46"/>
    <mergeCell ref="A44:E44"/>
    <mergeCell ref="G46:K46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37</vt:i4>
      </vt:variant>
    </vt:vector>
  </HeadingPairs>
  <TitlesOfParts>
    <vt:vector size="37" baseType="lpstr">
      <vt:lpstr>구역1</vt:lpstr>
      <vt:lpstr>구역2</vt:lpstr>
      <vt:lpstr>구역3</vt:lpstr>
      <vt:lpstr>구역4</vt:lpstr>
      <vt:lpstr>구역5</vt:lpstr>
      <vt:lpstr>구역6</vt:lpstr>
      <vt:lpstr>구역7</vt:lpstr>
      <vt:lpstr>구역8</vt:lpstr>
      <vt:lpstr>구역9</vt:lpstr>
      <vt:lpstr>구역10</vt:lpstr>
      <vt:lpstr>구역11</vt:lpstr>
      <vt:lpstr>구역12</vt:lpstr>
      <vt:lpstr>구역13</vt:lpstr>
      <vt:lpstr>구역14</vt:lpstr>
      <vt:lpstr>구역15</vt:lpstr>
      <vt:lpstr>구역16</vt:lpstr>
      <vt:lpstr>구역17</vt:lpstr>
      <vt:lpstr>구역18</vt:lpstr>
      <vt:lpstr>구역19</vt:lpstr>
      <vt:lpstr>구역20</vt:lpstr>
      <vt:lpstr>전도대상자</vt:lpstr>
      <vt:lpstr>전도현황</vt:lpstr>
      <vt:lpstr>회비지원</vt:lpstr>
      <vt:lpstr>통계</vt:lpstr>
      <vt:lpstr>1호차</vt:lpstr>
      <vt:lpstr>2호차</vt:lpstr>
      <vt:lpstr>3호차</vt:lpstr>
      <vt:lpstr>4호차</vt:lpstr>
      <vt:lpstr>5호차</vt:lpstr>
      <vt:lpstr>6호차</vt:lpstr>
      <vt:lpstr>7호차</vt:lpstr>
      <vt:lpstr>8호차</vt:lpstr>
      <vt:lpstr>9호차</vt:lpstr>
      <vt:lpstr>10호차</vt:lpstr>
      <vt:lpstr>교회차</vt:lpstr>
      <vt:lpstr>개인차</vt:lpstr>
      <vt:lpstr>타교회_대중교통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호철 박</cp:lastModifiedBy>
  <cp:revision>0</cp:revision>
  <dcterms:created xsi:type="dcterms:W3CDTF">2026-05-27T16:23:15Z</dcterms:created>
  <dcterms:modified xsi:type="dcterms:W3CDTF">2026-05-31T13:38:17Z</dcterms:modified>
  <dc:language>en-US</dc:language>
</cp:coreProperties>
</file>