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역1" sheetId="1" state="visible" r:id="rId1"/>
    <sheet xmlns:r="http://schemas.openxmlformats.org/officeDocument/2006/relationships" name="구역2" sheetId="2" state="visible" r:id="rId2"/>
    <sheet xmlns:r="http://schemas.openxmlformats.org/officeDocument/2006/relationships" name="구역3" sheetId="3" state="visible" r:id="rId3"/>
    <sheet xmlns:r="http://schemas.openxmlformats.org/officeDocument/2006/relationships" name="구역4" sheetId="4" state="visible" r:id="rId4"/>
    <sheet xmlns:r="http://schemas.openxmlformats.org/officeDocument/2006/relationships" name="구역5" sheetId="5" state="visible" r:id="rId5"/>
    <sheet xmlns:r="http://schemas.openxmlformats.org/officeDocument/2006/relationships" name="구역6" sheetId="6" state="visible" r:id="rId6"/>
    <sheet xmlns:r="http://schemas.openxmlformats.org/officeDocument/2006/relationships" name="구역7" sheetId="7" state="visible" r:id="rId7"/>
    <sheet xmlns:r="http://schemas.openxmlformats.org/officeDocument/2006/relationships" name="구역8" sheetId="8" state="visible" r:id="rId8"/>
    <sheet xmlns:r="http://schemas.openxmlformats.org/officeDocument/2006/relationships" name="구역9" sheetId="9" state="visible" r:id="rId9"/>
    <sheet xmlns:r="http://schemas.openxmlformats.org/officeDocument/2006/relationships" name="구역10" sheetId="10" state="visible" r:id="rId10"/>
    <sheet xmlns:r="http://schemas.openxmlformats.org/officeDocument/2006/relationships" name="구역11" sheetId="11" state="visible" r:id="rId11"/>
    <sheet xmlns:r="http://schemas.openxmlformats.org/officeDocument/2006/relationships" name="구역12" sheetId="12" state="visible" r:id="rId12"/>
    <sheet xmlns:r="http://schemas.openxmlformats.org/officeDocument/2006/relationships" name="구역13" sheetId="13" state="visible" r:id="rId13"/>
    <sheet xmlns:r="http://schemas.openxmlformats.org/officeDocument/2006/relationships" name="구역14" sheetId="14" state="visible" r:id="rId14"/>
    <sheet xmlns:r="http://schemas.openxmlformats.org/officeDocument/2006/relationships" name="구역15" sheetId="15" state="visible" r:id="rId15"/>
    <sheet xmlns:r="http://schemas.openxmlformats.org/officeDocument/2006/relationships" name="구역16" sheetId="16" state="visible" r:id="rId16"/>
    <sheet xmlns:r="http://schemas.openxmlformats.org/officeDocument/2006/relationships" name="구역17" sheetId="17" state="visible" r:id="rId17"/>
    <sheet xmlns:r="http://schemas.openxmlformats.org/officeDocument/2006/relationships" name="구역18" sheetId="18" state="visible" r:id="rId18"/>
    <sheet xmlns:r="http://schemas.openxmlformats.org/officeDocument/2006/relationships" name="구역19" sheetId="19" state="visible" r:id="rId19"/>
    <sheet xmlns:r="http://schemas.openxmlformats.org/officeDocument/2006/relationships" name="구역20" sheetId="20" state="visible" r:id="rId20"/>
    <sheet xmlns:r="http://schemas.openxmlformats.org/officeDocument/2006/relationships" name="전도대상자" sheetId="21" state="visible" r:id="rId21"/>
    <sheet xmlns:r="http://schemas.openxmlformats.org/officeDocument/2006/relationships" name="전도현황" sheetId="22" state="visible" r:id="rId22"/>
    <sheet xmlns:r="http://schemas.openxmlformats.org/officeDocument/2006/relationships" name="회비지원" sheetId="23" state="visible" r:id="rId23"/>
    <sheet xmlns:r="http://schemas.openxmlformats.org/officeDocument/2006/relationships" name="통계" sheetId="24" state="visible" r:id="rId24"/>
    <sheet xmlns:r="http://schemas.openxmlformats.org/officeDocument/2006/relationships" name="1호차" sheetId="25" state="visible" r:id="rId25"/>
    <sheet xmlns:r="http://schemas.openxmlformats.org/officeDocument/2006/relationships" name="2호차" sheetId="26" state="visible" r:id="rId26"/>
    <sheet xmlns:r="http://schemas.openxmlformats.org/officeDocument/2006/relationships" name="3호차" sheetId="27" state="visible" r:id="rId27"/>
    <sheet xmlns:r="http://schemas.openxmlformats.org/officeDocument/2006/relationships" name="4호차" sheetId="28" state="visible" r:id="rId28"/>
    <sheet xmlns:r="http://schemas.openxmlformats.org/officeDocument/2006/relationships" name="5호차" sheetId="29" state="visible" r:id="rId29"/>
    <sheet xmlns:r="http://schemas.openxmlformats.org/officeDocument/2006/relationships" name="6호차" sheetId="30" state="visible" r:id="rId30"/>
    <sheet xmlns:r="http://schemas.openxmlformats.org/officeDocument/2006/relationships" name="7호차" sheetId="31" state="visible" r:id="rId31"/>
    <sheet xmlns:r="http://schemas.openxmlformats.org/officeDocument/2006/relationships" name="8호차" sheetId="32" state="visible" r:id="rId32"/>
    <sheet xmlns:r="http://schemas.openxmlformats.org/officeDocument/2006/relationships" name="9호차" sheetId="33" state="visible" r:id="rId33"/>
    <sheet xmlns:r="http://schemas.openxmlformats.org/officeDocument/2006/relationships" name="10호차" sheetId="34" state="visible" r:id="rId34"/>
    <sheet xmlns:r="http://schemas.openxmlformats.org/officeDocument/2006/relationships" name="교회차" sheetId="35" state="visible" r:id="rId35"/>
    <sheet xmlns:r="http://schemas.openxmlformats.org/officeDocument/2006/relationships" name="개인차" sheetId="36" state="visible" r:id="rId36"/>
    <sheet xmlns:r="http://schemas.openxmlformats.org/officeDocument/2006/relationships" name="타교회_대중교통" sheetId="37" state="visible" r:id="rId3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</fonts>
  <fills count="9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10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8" customWidth="1" style="32" min="3" max="3"/>
    <col width="7.8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/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/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/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/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/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/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/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/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/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/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/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/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/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/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/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/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/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/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/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/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/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/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/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/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/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/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5" customHeight="1" s="33">
      <c r="A38" s="45" t="n"/>
      <c r="B38" s="32" t="n"/>
      <c r="C38" s="32" t="n"/>
      <c r="D38" s="32" t="n"/>
      <c r="E38" s="32" t="n"/>
      <c r="F38" s="32" t="n"/>
      <c r="G38" s="46" t="n"/>
      <c r="H38" s="46" t="n"/>
      <c r="I38" s="46" t="n"/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4.5" customWidth="1" style="32" min="2" max="2"/>
    <col width="13" customWidth="1" style="32" min="3" max="13"/>
  </cols>
  <sheetData>
    <row r="1" ht="36" customHeight="1" s="33">
      <c r="A1" s="34" t="inlineStr">
        <is>
          <t>교통편 집계표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32" t="inlineStr">
        <is>
          <t>상행</t>
        </is>
      </c>
      <c r="E3" s="32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40" t="n"/>
      <c r="M3" s="40" t="n"/>
    </row>
    <row r="4" ht="21.75" customHeight="1" s="33">
      <c r="A4" s="42" t="inlineStr">
        <is>
          <t>구역1</t>
        </is>
      </c>
      <c r="B4" s="42">
        <f>IF(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=0,"",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)</f>
        <v/>
      </c>
      <c r="C4" s="42">
        <f>IF(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=0,"",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)</f>
        <v/>
      </c>
      <c r="D4" s="42">
        <f>IF(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=0,"",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)</f>
        <v/>
      </c>
      <c r="E4" s="42">
        <f>IF(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I4:I43,"*교회차*",구역1!E4:E43,"*"&amp;$B31&amp;"*")=0,"",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I4:I43,"*교회차*",구역1!E4:E43,"*"&amp;$B31&amp;"*"))</f>
        <v/>
      </c>
      <c r="F4" s="42">
        <f>IF(COUNTIFS(구역1!F4:F43,"타교회",구역1!E4:E43,"*"&amp;$B31&amp;"*")+COUNTIFS(구역1!H4:H43,"*타교회*",구역1!E4:E43,"*"&amp;$B31&amp;"*")=0,"",COUNTIFS(구역1!F4:F43,"타교회",구역1!E4:E43,"*"&amp;$B31&amp;"*")+COUNTIFS(구역1!H4:H43,"*타교회*",구역1!E4:E43,"*"&amp;$B31&amp;"*"))</f>
        <v/>
      </c>
      <c r="G4" s="42">
        <f>IF(COUNTIFS(구역1!G4:G43,"타교회",구역1!E4:E43,"*"&amp;$B31&amp;"*")+COUNTIFS(구역1!I4:I43,"*타교회*",구역1!E4:E43,"*"&amp;$B31&amp;"*")=0,"",COUNTIFS(구역1!G4:G43,"타교회",구역1!E4:E43,"*"&amp;$B31&amp;"*")+COUNTIFS(구역1!I4:I43,"*타교회*",구역1!E4:E43,"*"&amp;$B31&amp;"*"))</f>
        <v/>
      </c>
      <c r="H4" s="42">
        <f>IF(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=0,"",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)</f>
        <v/>
      </c>
      <c r="I4" s="42">
        <f>IF(COUNTIFS(구역1!G4:G43,"개인차",구역1!E4:E43,"*"&amp;$B31&amp;"*")+(COUNTIFS(구역1!I4:I43,"?*",구역1!E4:E43,"*"&amp;$B31&amp;"*")-COUNTIFS(구역1!I4:I43,"*교회차*",구역1!E4:E43,"*"&amp;$B31&amp;"*")-COUNTIFS(구역1!I4:I43,"*타교회*",구역1!E4:E43,"*"&amp;$B31&amp;"*")-COUNTIFS(구역1!I4:I43,"*대중교통*",구역1!E4:E43,"*"&amp;$B31&amp;"*"))=0,"",COUNTIFS(구역1!G4:G43,"개인차",구역1!E4:E43,"*"&amp;$B31&amp;"*")+(COUNTIFS(구역1!I4:I43,"?*",구역1!E4:E43,"*"&amp;$B31&amp;"*")-COUNTIFS(구역1!I4:I43,"*교회차*",구역1!E4:E43,"*"&amp;$B31&amp;"*")-COUNTIFS(구역1!I4:I43,"*타교회*",구역1!E4:E43,"*"&amp;$B31&amp;"*")-COUNTIFS(구역1!I4:I43,"*대중교통*",구역1!E4:E43,"*"&amp;$B31&amp;"*")))</f>
        <v/>
      </c>
      <c r="J4" s="42">
        <f>IF(COUNTIFS(구역1!F4:F43,"대중교통",구역1!E4:E43,"*"&amp;$B31&amp;"*")+COUNTIFS(구역1!H4:H43,"*대중교통*",구역1!E4:E43,"*"&amp;$B31&amp;"*")=0,"",COUNTIFS(구역1!F4:F43,"대중교통",구역1!E4:E43,"*"&amp;$B31&amp;"*")+COUNTIFS(구역1!H4:H43,"*대중교통*",구역1!E4:E43,"*"&amp;$B31&amp;"*"))</f>
        <v/>
      </c>
      <c r="K4" s="42">
        <f>IF(COUNTIFS(구역1!G4:G43,"대중교통",구역1!E4:E43,"*"&amp;$B31&amp;"*")+COUNTIFS(구역1!I4:I43,"*대중교통*",구역1!E4:E43,"*"&amp;$B31&amp;"*")=0,"",COUNTIFS(구역1!G4:G43,"대중교통",구역1!E4:E43,"*"&amp;$B31&amp;"*")+COUNTIFS(구역1!I4:I43,"*대중교통*",구역1!E4:E43,"*"&amp;$B31&amp;"*"))</f>
        <v/>
      </c>
      <c r="L4" s="42" t="n"/>
      <c r="M4" s="42" t="n"/>
    </row>
    <row r="5" ht="21.75" customHeight="1" s="33">
      <c r="A5" s="44" t="inlineStr">
        <is>
          <t>구역2</t>
        </is>
      </c>
      <c r="B5" s="44">
        <f>IF(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=0,"",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)</f>
        <v/>
      </c>
      <c r="C5" s="44">
        <f>IF(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=0,"",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)</f>
        <v/>
      </c>
      <c r="D5" s="44">
        <f>IF(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=0,"",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)</f>
        <v/>
      </c>
      <c r="E5" s="44">
        <f>IF(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I4:I43,"*교회차*",구역2!E4:E43,"*"&amp;$B31&amp;"*")=0,"",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I4:I43,"*교회차*",구역2!E4:E43,"*"&amp;$B31&amp;"*"))</f>
        <v/>
      </c>
      <c r="F5" s="44">
        <f>IF(COUNTIFS(구역2!F4:F43,"타교회",구역2!E4:E43,"*"&amp;$B31&amp;"*")+COUNTIFS(구역2!H4:H43,"*타교회*",구역2!E4:E43,"*"&amp;$B31&amp;"*")=0,"",COUNTIFS(구역2!F4:F43,"타교회",구역2!E4:E43,"*"&amp;$B31&amp;"*")+COUNTIFS(구역2!H4:H43,"*타교회*",구역2!E4:E43,"*"&amp;$B31&amp;"*"))</f>
        <v/>
      </c>
      <c r="G5" s="44">
        <f>IF(COUNTIFS(구역2!G4:G43,"타교회",구역2!E4:E43,"*"&amp;$B31&amp;"*")+COUNTIFS(구역2!I4:I43,"*타교회*",구역2!E4:E43,"*"&amp;$B31&amp;"*")=0,"",COUNTIFS(구역2!G4:G43,"타교회",구역2!E4:E43,"*"&amp;$B31&amp;"*")+COUNTIFS(구역2!I4:I43,"*타교회*",구역2!E4:E43,"*"&amp;$B31&amp;"*"))</f>
        <v/>
      </c>
      <c r="H5" s="44">
        <f>IF(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=0,"",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)</f>
        <v/>
      </c>
      <c r="I5" s="44">
        <f>IF(COUNTIFS(구역2!G4:G43,"개인차",구역2!E4:E43,"*"&amp;$B31&amp;"*")+(COUNTIFS(구역2!I4:I43,"?*",구역2!E4:E43,"*"&amp;$B31&amp;"*")-COUNTIFS(구역2!I4:I43,"*교회차*",구역2!E4:E43,"*"&amp;$B31&amp;"*")-COUNTIFS(구역2!I4:I43,"*타교회*",구역2!E4:E43,"*"&amp;$B31&amp;"*")-COUNTIFS(구역2!I4:I43,"*대중교통*",구역2!E4:E43,"*"&amp;$B31&amp;"*"))=0,"",COUNTIFS(구역2!G4:G43,"개인차",구역2!E4:E43,"*"&amp;$B31&amp;"*")+(COUNTIFS(구역2!I4:I43,"?*",구역2!E4:E43,"*"&amp;$B31&amp;"*")-COUNTIFS(구역2!I4:I43,"*교회차*",구역2!E4:E43,"*"&amp;$B31&amp;"*")-COUNTIFS(구역2!I4:I43,"*타교회*",구역2!E4:E43,"*"&amp;$B31&amp;"*")-COUNTIFS(구역2!I4:I43,"*대중교통*",구역2!E4:E43,"*"&amp;$B31&amp;"*")))</f>
        <v/>
      </c>
      <c r="J5" s="44">
        <f>IF(COUNTIFS(구역2!F4:F43,"대중교통",구역2!E4:E43,"*"&amp;$B31&amp;"*")+COUNTIFS(구역2!H4:H43,"*대중교통*",구역2!E4:E43,"*"&amp;$B31&amp;"*")=0,"",COUNTIFS(구역2!F4:F43,"대중교통",구역2!E4:E43,"*"&amp;$B31&amp;"*")+COUNTIFS(구역2!H4:H43,"*대중교통*",구역2!E4:E43,"*"&amp;$B31&amp;"*"))</f>
        <v/>
      </c>
      <c r="K5" s="44">
        <f>IF(COUNTIFS(구역2!G4:G43,"대중교통",구역2!E4:E43,"*"&amp;$B31&amp;"*")+COUNTIFS(구역2!I4:I43,"*대중교통*",구역2!E4:E43,"*"&amp;$B31&amp;"*")=0,"",COUNTIFS(구역2!G4:G43,"대중교통",구역2!E4:E43,"*"&amp;$B31&amp;"*")+COUNTIFS(구역2!I4:I43,"*대중교통*",구역2!E4:E43,"*"&amp;$B31&amp;"*"))</f>
        <v/>
      </c>
      <c r="L5" s="44" t="n"/>
      <c r="M5" s="44" t="n"/>
    </row>
    <row r="6" ht="21.75" customHeight="1" s="33">
      <c r="A6" s="42" t="inlineStr">
        <is>
          <t>구역3</t>
        </is>
      </c>
      <c r="B6" s="42">
        <f>IF(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=0,"",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)</f>
        <v/>
      </c>
      <c r="C6" s="42">
        <f>IF(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=0,"",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)</f>
        <v/>
      </c>
      <c r="D6" s="42">
        <f>IF(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=0,"",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)</f>
        <v/>
      </c>
      <c r="E6" s="42">
        <f>IF(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I4:I43,"*교회차*",구역3!E4:E43,"*"&amp;$B31&amp;"*")=0,"",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I4:I43,"*교회차*",구역3!E4:E43,"*"&amp;$B31&amp;"*"))</f>
        <v/>
      </c>
      <c r="F6" s="42">
        <f>IF(COUNTIFS(구역3!F4:F43,"타교회",구역3!E4:E43,"*"&amp;$B31&amp;"*")+COUNTIFS(구역3!H4:H43,"*타교회*",구역3!E4:E43,"*"&amp;$B31&amp;"*")=0,"",COUNTIFS(구역3!F4:F43,"타교회",구역3!E4:E43,"*"&amp;$B31&amp;"*")+COUNTIFS(구역3!H4:H43,"*타교회*",구역3!E4:E43,"*"&amp;$B31&amp;"*"))</f>
        <v/>
      </c>
      <c r="G6" s="42">
        <f>IF(COUNTIFS(구역3!G4:G43,"타교회",구역3!E4:E43,"*"&amp;$B31&amp;"*")+COUNTIFS(구역3!I4:I43,"*타교회*",구역3!E4:E43,"*"&amp;$B31&amp;"*")=0,"",COUNTIFS(구역3!G4:G43,"타교회",구역3!E4:E43,"*"&amp;$B31&amp;"*")+COUNTIFS(구역3!I4:I43,"*타교회*",구역3!E4:E43,"*"&amp;$B31&amp;"*"))</f>
        <v/>
      </c>
      <c r="H6" s="42">
        <f>IF(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=0,"",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)</f>
        <v/>
      </c>
      <c r="I6" s="42">
        <f>IF(COUNTIFS(구역3!G4:G43,"개인차",구역3!E4:E43,"*"&amp;$B31&amp;"*")+(COUNTIFS(구역3!I4:I43,"?*",구역3!E4:E43,"*"&amp;$B31&amp;"*")-COUNTIFS(구역3!I4:I43,"*교회차*",구역3!E4:E43,"*"&amp;$B31&amp;"*")-COUNTIFS(구역3!I4:I43,"*타교회*",구역3!E4:E43,"*"&amp;$B31&amp;"*")-COUNTIFS(구역3!I4:I43,"*대중교통*",구역3!E4:E43,"*"&amp;$B31&amp;"*"))=0,"",COUNTIFS(구역3!G4:G43,"개인차",구역3!E4:E43,"*"&amp;$B31&amp;"*")+(COUNTIFS(구역3!I4:I43,"?*",구역3!E4:E43,"*"&amp;$B31&amp;"*")-COUNTIFS(구역3!I4:I43,"*교회차*",구역3!E4:E43,"*"&amp;$B31&amp;"*")-COUNTIFS(구역3!I4:I43,"*타교회*",구역3!E4:E43,"*"&amp;$B31&amp;"*")-COUNTIFS(구역3!I4:I43,"*대중교통*",구역3!E4:E43,"*"&amp;$B31&amp;"*")))</f>
        <v/>
      </c>
      <c r="J6" s="42">
        <f>IF(COUNTIFS(구역3!F4:F43,"대중교통",구역3!E4:E43,"*"&amp;$B31&amp;"*")+COUNTIFS(구역3!H4:H43,"*대중교통*",구역3!E4:E43,"*"&amp;$B31&amp;"*")=0,"",COUNTIFS(구역3!F4:F43,"대중교통",구역3!E4:E43,"*"&amp;$B31&amp;"*")+COUNTIFS(구역3!H4:H43,"*대중교통*",구역3!E4:E43,"*"&amp;$B31&amp;"*"))</f>
        <v/>
      </c>
      <c r="K6" s="42">
        <f>IF(COUNTIFS(구역3!G4:G43,"대중교통",구역3!E4:E43,"*"&amp;$B31&amp;"*")+COUNTIFS(구역3!I4:I43,"*대중교통*",구역3!E4:E43,"*"&amp;$B31&amp;"*")=0,"",COUNTIFS(구역3!G4:G43,"대중교통",구역3!E4:E43,"*"&amp;$B31&amp;"*")+COUNTIFS(구역3!I4:I43,"*대중교통*",구역3!E4:E43,"*"&amp;$B31&amp;"*"))</f>
        <v/>
      </c>
      <c r="L6" s="42" t="n"/>
      <c r="M6" s="42" t="n"/>
    </row>
    <row r="7" ht="21.75" customHeight="1" s="33">
      <c r="A7" s="44" t="inlineStr">
        <is>
          <t>구역4</t>
        </is>
      </c>
      <c r="B7" s="44">
        <f>IF(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=0,"",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)</f>
        <v/>
      </c>
      <c r="C7" s="44">
        <f>IF(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=0,"",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)</f>
        <v/>
      </c>
      <c r="D7" s="44">
        <f>IF(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=0,"",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)</f>
        <v/>
      </c>
      <c r="E7" s="44">
        <f>IF(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I4:I43,"*교회차*",구역4!E4:E43,"*"&amp;$B31&amp;"*")=0,"",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I4:I43,"*교회차*",구역4!E4:E43,"*"&amp;$B31&amp;"*"))</f>
        <v/>
      </c>
      <c r="F7" s="44">
        <f>IF(COUNTIFS(구역4!F4:F43,"타교회",구역4!E4:E43,"*"&amp;$B31&amp;"*")+COUNTIFS(구역4!H4:H43,"*타교회*",구역4!E4:E43,"*"&amp;$B31&amp;"*")=0,"",COUNTIFS(구역4!F4:F43,"타교회",구역4!E4:E43,"*"&amp;$B31&amp;"*")+COUNTIFS(구역4!H4:H43,"*타교회*",구역4!E4:E43,"*"&amp;$B31&amp;"*"))</f>
        <v/>
      </c>
      <c r="G7" s="44">
        <f>IF(COUNTIFS(구역4!G4:G43,"타교회",구역4!E4:E43,"*"&amp;$B31&amp;"*")+COUNTIFS(구역4!I4:I43,"*타교회*",구역4!E4:E43,"*"&amp;$B31&amp;"*")=0,"",COUNTIFS(구역4!G4:G43,"타교회",구역4!E4:E43,"*"&amp;$B31&amp;"*")+COUNTIFS(구역4!I4:I43,"*타교회*",구역4!E4:E43,"*"&amp;$B31&amp;"*"))</f>
        <v/>
      </c>
      <c r="H7" s="44">
        <f>IF(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=0,"",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)</f>
        <v/>
      </c>
      <c r="I7" s="44">
        <f>IF(COUNTIFS(구역4!G4:G43,"개인차",구역4!E4:E43,"*"&amp;$B31&amp;"*")+(COUNTIFS(구역4!I4:I43,"?*",구역4!E4:E43,"*"&amp;$B31&amp;"*")-COUNTIFS(구역4!I4:I43,"*교회차*",구역4!E4:E43,"*"&amp;$B31&amp;"*")-COUNTIFS(구역4!I4:I43,"*타교회*",구역4!E4:E43,"*"&amp;$B31&amp;"*")-COUNTIFS(구역4!I4:I43,"*대중교통*",구역4!E4:E43,"*"&amp;$B31&amp;"*"))=0,"",COUNTIFS(구역4!G4:G43,"개인차",구역4!E4:E43,"*"&amp;$B31&amp;"*")+(COUNTIFS(구역4!I4:I43,"?*",구역4!E4:E43,"*"&amp;$B31&amp;"*")-COUNTIFS(구역4!I4:I43,"*교회차*",구역4!E4:E43,"*"&amp;$B31&amp;"*")-COUNTIFS(구역4!I4:I43,"*타교회*",구역4!E4:E43,"*"&amp;$B31&amp;"*")-COUNTIFS(구역4!I4:I43,"*대중교통*",구역4!E4:E43,"*"&amp;$B31&amp;"*")))</f>
        <v/>
      </c>
      <c r="J7" s="44">
        <f>IF(COUNTIFS(구역4!F4:F43,"대중교통",구역4!E4:E43,"*"&amp;$B31&amp;"*")+COUNTIFS(구역4!H4:H43,"*대중교통*",구역4!E4:E43,"*"&amp;$B31&amp;"*")=0,"",COUNTIFS(구역4!F4:F43,"대중교통",구역4!E4:E43,"*"&amp;$B31&amp;"*")+COUNTIFS(구역4!H4:H43,"*대중교통*",구역4!E4:E43,"*"&amp;$B31&amp;"*"))</f>
        <v/>
      </c>
      <c r="K7" s="44">
        <f>IF(COUNTIFS(구역4!G4:G43,"대중교통",구역4!E4:E43,"*"&amp;$B31&amp;"*")+COUNTIFS(구역4!I4:I43,"*대중교통*",구역4!E4:E43,"*"&amp;$B31&amp;"*")=0,"",COUNTIFS(구역4!G4:G43,"대중교통",구역4!E4:E43,"*"&amp;$B31&amp;"*")+COUNTIFS(구역4!I4:I43,"*대중교통*",구역4!E4:E43,"*"&amp;$B31&amp;"*"))</f>
        <v/>
      </c>
      <c r="L7" s="44" t="n"/>
      <c r="M7" s="44" t="n"/>
    </row>
    <row r="8" ht="21.75" customHeight="1" s="33">
      <c r="A8" s="42" t="inlineStr">
        <is>
          <t>구역5</t>
        </is>
      </c>
      <c r="B8" s="42">
        <f>IF(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=0,"",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)</f>
        <v/>
      </c>
      <c r="C8" s="42">
        <f>IF(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=0,"",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)</f>
        <v/>
      </c>
      <c r="D8" s="42">
        <f>IF(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=0,"",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)</f>
        <v/>
      </c>
      <c r="E8" s="42">
        <f>IF(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I4:I43,"*교회차*",구역5!E4:E43,"*"&amp;$B31&amp;"*")=0,"",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I4:I43,"*교회차*",구역5!E4:E43,"*"&amp;$B31&amp;"*"))</f>
        <v/>
      </c>
      <c r="F8" s="42">
        <f>IF(COUNTIFS(구역5!F4:F43,"타교회",구역5!E4:E43,"*"&amp;$B31&amp;"*")+COUNTIFS(구역5!H4:H43,"*타교회*",구역5!E4:E43,"*"&amp;$B31&amp;"*")=0,"",COUNTIFS(구역5!F4:F43,"타교회",구역5!E4:E43,"*"&amp;$B31&amp;"*")+COUNTIFS(구역5!H4:H43,"*타교회*",구역5!E4:E43,"*"&amp;$B31&amp;"*"))</f>
        <v/>
      </c>
      <c r="G8" s="42">
        <f>IF(COUNTIFS(구역5!G4:G43,"타교회",구역5!E4:E43,"*"&amp;$B31&amp;"*")+COUNTIFS(구역5!I4:I43,"*타교회*",구역5!E4:E43,"*"&amp;$B31&amp;"*")=0,"",COUNTIFS(구역5!G4:G43,"타교회",구역5!E4:E43,"*"&amp;$B31&amp;"*")+COUNTIFS(구역5!I4:I43,"*타교회*",구역5!E4:E43,"*"&amp;$B31&amp;"*"))</f>
        <v/>
      </c>
      <c r="H8" s="42">
        <f>IF(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=0,"",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)</f>
        <v/>
      </c>
      <c r="I8" s="42">
        <f>IF(COUNTIFS(구역5!G4:G43,"개인차",구역5!E4:E43,"*"&amp;$B31&amp;"*")+(COUNTIFS(구역5!I4:I43,"?*",구역5!E4:E43,"*"&amp;$B31&amp;"*")-COUNTIFS(구역5!I4:I43,"*교회차*",구역5!E4:E43,"*"&amp;$B31&amp;"*")-COUNTIFS(구역5!I4:I43,"*타교회*",구역5!E4:E43,"*"&amp;$B31&amp;"*")-COUNTIFS(구역5!I4:I43,"*대중교통*",구역5!E4:E43,"*"&amp;$B31&amp;"*"))=0,"",COUNTIFS(구역5!G4:G43,"개인차",구역5!E4:E43,"*"&amp;$B31&amp;"*")+(COUNTIFS(구역5!I4:I43,"?*",구역5!E4:E43,"*"&amp;$B31&amp;"*")-COUNTIFS(구역5!I4:I43,"*교회차*",구역5!E4:E43,"*"&amp;$B31&amp;"*")-COUNTIFS(구역5!I4:I43,"*타교회*",구역5!E4:E43,"*"&amp;$B31&amp;"*")-COUNTIFS(구역5!I4:I43,"*대중교통*",구역5!E4:E43,"*"&amp;$B31&amp;"*")))</f>
        <v/>
      </c>
      <c r="J8" s="42">
        <f>IF(COUNTIFS(구역5!F4:F43,"대중교통",구역5!E4:E43,"*"&amp;$B31&amp;"*")+COUNTIFS(구역5!H4:H43,"*대중교통*",구역5!E4:E43,"*"&amp;$B31&amp;"*")=0,"",COUNTIFS(구역5!F4:F43,"대중교통",구역5!E4:E43,"*"&amp;$B31&amp;"*")+COUNTIFS(구역5!H4:H43,"*대중교통*",구역5!E4:E43,"*"&amp;$B31&amp;"*"))</f>
        <v/>
      </c>
      <c r="K8" s="42">
        <f>IF(COUNTIFS(구역5!G4:G43,"대중교통",구역5!E4:E43,"*"&amp;$B31&amp;"*")+COUNTIFS(구역5!I4:I43,"*대중교통*",구역5!E4:E43,"*"&amp;$B31&amp;"*")=0,"",COUNTIFS(구역5!G4:G43,"대중교통",구역5!E4:E43,"*"&amp;$B31&amp;"*")+COUNTIFS(구역5!I4:I43,"*대중교통*",구역5!E4:E43,"*"&amp;$B31&amp;"*"))</f>
        <v/>
      </c>
      <c r="L8" s="42" t="n"/>
      <c r="M8" s="42" t="n"/>
    </row>
    <row r="9" ht="21.75" customHeight="1" s="33">
      <c r="A9" s="44" t="inlineStr">
        <is>
          <t>구역6</t>
        </is>
      </c>
      <c r="B9" s="44">
        <f>IF(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=0,"",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)</f>
        <v/>
      </c>
      <c r="C9" s="44">
        <f>IF(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=0,"",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)</f>
        <v/>
      </c>
      <c r="D9" s="44">
        <f>IF(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=0,"",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)</f>
        <v/>
      </c>
      <c r="E9" s="44">
        <f>IF(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I4:I43,"*교회차*",구역6!E4:E43,"*"&amp;$B31&amp;"*")=0,"",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I4:I43,"*교회차*",구역6!E4:E43,"*"&amp;$B31&amp;"*"))</f>
        <v/>
      </c>
      <c r="F9" s="44">
        <f>IF(COUNTIFS(구역6!F4:F43,"타교회",구역6!E4:E43,"*"&amp;$B31&amp;"*")+COUNTIFS(구역6!H4:H43,"*타교회*",구역6!E4:E43,"*"&amp;$B31&amp;"*")=0,"",COUNTIFS(구역6!F4:F43,"타교회",구역6!E4:E43,"*"&amp;$B31&amp;"*")+COUNTIFS(구역6!H4:H43,"*타교회*",구역6!E4:E43,"*"&amp;$B31&amp;"*"))</f>
        <v/>
      </c>
      <c r="G9" s="44">
        <f>IF(COUNTIFS(구역6!G4:G43,"타교회",구역6!E4:E43,"*"&amp;$B31&amp;"*")+COUNTIFS(구역6!I4:I43,"*타교회*",구역6!E4:E43,"*"&amp;$B31&amp;"*")=0,"",COUNTIFS(구역6!G4:G43,"타교회",구역6!E4:E43,"*"&amp;$B31&amp;"*")+COUNTIFS(구역6!I4:I43,"*타교회*",구역6!E4:E43,"*"&amp;$B31&amp;"*"))</f>
        <v/>
      </c>
      <c r="H9" s="44">
        <f>IF(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=0,"",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)</f>
        <v/>
      </c>
      <c r="I9" s="44">
        <f>IF(COUNTIFS(구역6!G4:G43,"개인차",구역6!E4:E43,"*"&amp;$B31&amp;"*")+(COUNTIFS(구역6!I4:I43,"?*",구역6!E4:E43,"*"&amp;$B31&amp;"*")-COUNTIFS(구역6!I4:I43,"*교회차*",구역6!E4:E43,"*"&amp;$B31&amp;"*")-COUNTIFS(구역6!I4:I43,"*타교회*",구역6!E4:E43,"*"&amp;$B31&amp;"*")-COUNTIFS(구역6!I4:I43,"*대중교통*",구역6!E4:E43,"*"&amp;$B31&amp;"*"))=0,"",COUNTIFS(구역6!G4:G43,"개인차",구역6!E4:E43,"*"&amp;$B31&amp;"*")+(COUNTIFS(구역6!I4:I43,"?*",구역6!E4:E43,"*"&amp;$B31&amp;"*")-COUNTIFS(구역6!I4:I43,"*교회차*",구역6!E4:E43,"*"&amp;$B31&amp;"*")-COUNTIFS(구역6!I4:I43,"*타교회*",구역6!E4:E43,"*"&amp;$B31&amp;"*")-COUNTIFS(구역6!I4:I43,"*대중교통*",구역6!E4:E43,"*"&amp;$B31&amp;"*")))</f>
        <v/>
      </c>
      <c r="J9" s="44">
        <f>IF(COUNTIFS(구역6!F4:F43,"대중교통",구역6!E4:E43,"*"&amp;$B31&amp;"*")+COUNTIFS(구역6!H4:H43,"*대중교통*",구역6!E4:E43,"*"&amp;$B31&amp;"*")=0,"",COUNTIFS(구역6!F4:F43,"대중교통",구역6!E4:E43,"*"&amp;$B31&amp;"*")+COUNTIFS(구역6!H4:H43,"*대중교통*",구역6!E4:E43,"*"&amp;$B31&amp;"*"))</f>
        <v/>
      </c>
      <c r="K9" s="44">
        <f>IF(COUNTIFS(구역6!G4:G43,"대중교통",구역6!E4:E43,"*"&amp;$B31&amp;"*")+COUNTIFS(구역6!I4:I43,"*대중교통*",구역6!E4:E43,"*"&amp;$B31&amp;"*")=0,"",COUNTIFS(구역6!G4:G43,"대중교통",구역6!E4:E43,"*"&amp;$B31&amp;"*")+COUNTIFS(구역6!I4:I43,"*대중교통*",구역6!E4:E43,"*"&amp;$B31&amp;"*"))</f>
        <v/>
      </c>
      <c r="L9" s="44" t="n"/>
      <c r="M9" s="44" t="n"/>
    </row>
    <row r="10" ht="21.75" customHeight="1" s="33">
      <c r="A10" s="42" t="inlineStr">
        <is>
          <t>구역7</t>
        </is>
      </c>
      <c r="B10" s="42">
        <f>IF(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=0,"",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)</f>
        <v/>
      </c>
      <c r="C10" s="42">
        <f>IF(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=0,"",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)</f>
        <v/>
      </c>
      <c r="D10" s="42">
        <f>IF(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=0,"",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)</f>
        <v/>
      </c>
      <c r="E10" s="42">
        <f>IF(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I4:I43,"*교회차*",구역7!E4:E43,"*"&amp;$B31&amp;"*")=0,"",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I4:I43,"*교회차*",구역7!E4:E43,"*"&amp;$B31&amp;"*"))</f>
        <v/>
      </c>
      <c r="F10" s="42">
        <f>IF(COUNTIFS(구역7!F4:F43,"타교회",구역7!E4:E43,"*"&amp;$B31&amp;"*")+COUNTIFS(구역7!H4:H43,"*타교회*",구역7!E4:E43,"*"&amp;$B31&amp;"*")=0,"",COUNTIFS(구역7!F4:F43,"타교회",구역7!E4:E43,"*"&amp;$B31&amp;"*")+COUNTIFS(구역7!H4:H43,"*타교회*",구역7!E4:E43,"*"&amp;$B31&amp;"*"))</f>
        <v/>
      </c>
      <c r="G10" s="42">
        <f>IF(COUNTIFS(구역7!G4:G43,"타교회",구역7!E4:E43,"*"&amp;$B31&amp;"*")+COUNTIFS(구역7!I4:I43,"*타교회*",구역7!E4:E43,"*"&amp;$B31&amp;"*")=0,"",COUNTIFS(구역7!G4:G43,"타교회",구역7!E4:E43,"*"&amp;$B31&amp;"*")+COUNTIFS(구역7!I4:I43,"*타교회*",구역7!E4:E43,"*"&amp;$B31&amp;"*"))</f>
        <v/>
      </c>
      <c r="H10" s="42">
        <f>IF(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=0,"",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)</f>
        <v/>
      </c>
      <c r="I10" s="42">
        <f>IF(COUNTIFS(구역7!G4:G43,"개인차",구역7!E4:E43,"*"&amp;$B31&amp;"*")+(COUNTIFS(구역7!I4:I43,"?*",구역7!E4:E43,"*"&amp;$B31&amp;"*")-COUNTIFS(구역7!I4:I43,"*교회차*",구역7!E4:E43,"*"&amp;$B31&amp;"*")-COUNTIFS(구역7!I4:I43,"*타교회*",구역7!E4:E43,"*"&amp;$B31&amp;"*")-COUNTIFS(구역7!I4:I43,"*대중교통*",구역7!E4:E43,"*"&amp;$B31&amp;"*"))=0,"",COUNTIFS(구역7!G4:G43,"개인차",구역7!E4:E43,"*"&amp;$B31&amp;"*")+(COUNTIFS(구역7!I4:I43,"?*",구역7!E4:E43,"*"&amp;$B31&amp;"*")-COUNTIFS(구역7!I4:I43,"*교회차*",구역7!E4:E43,"*"&amp;$B31&amp;"*")-COUNTIFS(구역7!I4:I43,"*타교회*",구역7!E4:E43,"*"&amp;$B31&amp;"*")-COUNTIFS(구역7!I4:I43,"*대중교통*",구역7!E4:E43,"*"&amp;$B31&amp;"*")))</f>
        <v/>
      </c>
      <c r="J10" s="42">
        <f>IF(COUNTIFS(구역7!F4:F43,"대중교통",구역7!E4:E43,"*"&amp;$B31&amp;"*")+COUNTIFS(구역7!H4:H43,"*대중교통*",구역7!E4:E43,"*"&amp;$B31&amp;"*")=0,"",COUNTIFS(구역7!F4:F43,"대중교통",구역7!E4:E43,"*"&amp;$B31&amp;"*")+COUNTIFS(구역7!H4:H43,"*대중교통*",구역7!E4:E43,"*"&amp;$B31&amp;"*"))</f>
        <v/>
      </c>
      <c r="K10" s="42">
        <f>IF(COUNTIFS(구역7!G4:G43,"대중교통",구역7!E4:E43,"*"&amp;$B31&amp;"*")+COUNTIFS(구역7!I4:I43,"*대중교통*",구역7!E4:E43,"*"&amp;$B31&amp;"*")=0,"",COUNTIFS(구역7!G4:G43,"대중교통",구역7!E4:E43,"*"&amp;$B31&amp;"*")+COUNTIFS(구역7!I4:I43,"*대중교통*",구역7!E4:E43,"*"&amp;$B31&amp;"*"))</f>
        <v/>
      </c>
      <c r="L10" s="42" t="n"/>
      <c r="M10" s="42" t="n"/>
    </row>
    <row r="11" ht="21.75" customHeight="1" s="33">
      <c r="A11" s="44" t="inlineStr">
        <is>
          <t>구역8</t>
        </is>
      </c>
      <c r="B11" s="44">
        <f>IF(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=0,"",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)</f>
        <v/>
      </c>
      <c r="C11" s="44">
        <f>IF(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=0,"",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)</f>
        <v/>
      </c>
      <c r="D11" s="44">
        <f>IF(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=0,"",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)</f>
        <v/>
      </c>
      <c r="E11" s="44">
        <f>IF(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I4:I43,"*교회차*",구역8!E4:E43,"*"&amp;$B31&amp;"*")=0,"",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I4:I43,"*교회차*",구역8!E4:E43,"*"&amp;$B31&amp;"*"))</f>
        <v/>
      </c>
      <c r="F11" s="44">
        <f>IF(COUNTIFS(구역8!F4:F43,"타교회",구역8!E4:E43,"*"&amp;$B31&amp;"*")+COUNTIFS(구역8!H4:H43,"*타교회*",구역8!E4:E43,"*"&amp;$B31&amp;"*")=0,"",COUNTIFS(구역8!F4:F43,"타교회",구역8!E4:E43,"*"&amp;$B31&amp;"*")+COUNTIFS(구역8!H4:H43,"*타교회*",구역8!E4:E43,"*"&amp;$B31&amp;"*"))</f>
        <v/>
      </c>
      <c r="G11" s="44">
        <f>IF(COUNTIFS(구역8!G4:G43,"타교회",구역8!E4:E43,"*"&amp;$B31&amp;"*")+COUNTIFS(구역8!I4:I43,"*타교회*",구역8!E4:E43,"*"&amp;$B31&amp;"*")=0,"",COUNTIFS(구역8!G4:G43,"타교회",구역8!E4:E43,"*"&amp;$B31&amp;"*")+COUNTIFS(구역8!I4:I43,"*타교회*",구역8!E4:E43,"*"&amp;$B31&amp;"*"))</f>
        <v/>
      </c>
      <c r="H11" s="44">
        <f>IF(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=0,"",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)</f>
        <v/>
      </c>
      <c r="I11" s="44">
        <f>IF(COUNTIFS(구역8!G4:G43,"개인차",구역8!E4:E43,"*"&amp;$B31&amp;"*")+(COUNTIFS(구역8!I4:I43,"?*",구역8!E4:E43,"*"&amp;$B31&amp;"*")-COUNTIFS(구역8!I4:I43,"*교회차*",구역8!E4:E43,"*"&amp;$B31&amp;"*")-COUNTIFS(구역8!I4:I43,"*타교회*",구역8!E4:E43,"*"&amp;$B31&amp;"*")-COUNTIFS(구역8!I4:I43,"*대중교통*",구역8!E4:E43,"*"&amp;$B31&amp;"*"))=0,"",COUNTIFS(구역8!G4:G43,"개인차",구역8!E4:E43,"*"&amp;$B31&amp;"*")+(COUNTIFS(구역8!I4:I43,"?*",구역8!E4:E43,"*"&amp;$B31&amp;"*")-COUNTIFS(구역8!I4:I43,"*교회차*",구역8!E4:E43,"*"&amp;$B31&amp;"*")-COUNTIFS(구역8!I4:I43,"*타교회*",구역8!E4:E43,"*"&amp;$B31&amp;"*")-COUNTIFS(구역8!I4:I43,"*대중교통*",구역8!E4:E43,"*"&amp;$B31&amp;"*")))</f>
        <v/>
      </c>
      <c r="J11" s="44">
        <f>IF(COUNTIFS(구역8!F4:F43,"대중교통",구역8!E4:E43,"*"&amp;$B31&amp;"*")+COUNTIFS(구역8!H4:H43,"*대중교통*",구역8!E4:E43,"*"&amp;$B31&amp;"*")=0,"",COUNTIFS(구역8!F4:F43,"대중교통",구역8!E4:E43,"*"&amp;$B31&amp;"*")+COUNTIFS(구역8!H4:H43,"*대중교통*",구역8!E4:E43,"*"&amp;$B31&amp;"*"))</f>
        <v/>
      </c>
      <c r="K11" s="44">
        <f>IF(COUNTIFS(구역8!G4:G43,"대중교통",구역8!E4:E43,"*"&amp;$B31&amp;"*")+COUNTIFS(구역8!I4:I43,"*대중교통*",구역8!E4:E43,"*"&amp;$B31&amp;"*")=0,"",COUNTIFS(구역8!G4:G43,"대중교통",구역8!E4:E43,"*"&amp;$B31&amp;"*")+COUNTIFS(구역8!I4:I43,"*대중교통*",구역8!E4:E43,"*"&amp;$B31&amp;"*"))</f>
        <v/>
      </c>
      <c r="L11" s="44" t="n"/>
      <c r="M11" s="44" t="n"/>
    </row>
    <row r="12" ht="21.75" customHeight="1" s="33">
      <c r="A12" s="42" t="inlineStr">
        <is>
          <t>구역9</t>
        </is>
      </c>
      <c r="B12" s="42">
        <f>IF(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=0,"",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)</f>
        <v/>
      </c>
      <c r="C12" s="42">
        <f>IF(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=0,"",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)</f>
        <v/>
      </c>
      <c r="D12" s="42">
        <f>IF(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=0,"",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)</f>
        <v/>
      </c>
      <c r="E12" s="42">
        <f>IF(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I4:I43,"*교회차*",구역9!E4:E43,"*"&amp;$B31&amp;"*")=0,"",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I4:I43,"*교회차*",구역9!E4:E43,"*"&amp;$B31&amp;"*"))</f>
        <v/>
      </c>
      <c r="F12" s="42">
        <f>IF(COUNTIFS(구역9!F4:F43,"타교회",구역9!E4:E43,"*"&amp;$B31&amp;"*")+COUNTIFS(구역9!H4:H43,"*타교회*",구역9!E4:E43,"*"&amp;$B31&amp;"*")=0,"",COUNTIFS(구역9!F4:F43,"타교회",구역9!E4:E43,"*"&amp;$B31&amp;"*")+COUNTIFS(구역9!H4:H43,"*타교회*",구역9!E4:E43,"*"&amp;$B31&amp;"*"))</f>
        <v/>
      </c>
      <c r="G12" s="42">
        <f>IF(COUNTIFS(구역9!G4:G43,"타교회",구역9!E4:E43,"*"&amp;$B31&amp;"*")+COUNTIFS(구역9!I4:I43,"*타교회*",구역9!E4:E43,"*"&amp;$B31&amp;"*")=0,"",COUNTIFS(구역9!G4:G43,"타교회",구역9!E4:E43,"*"&amp;$B31&amp;"*")+COUNTIFS(구역9!I4:I43,"*타교회*",구역9!E4:E43,"*"&amp;$B31&amp;"*"))</f>
        <v/>
      </c>
      <c r="H12" s="42">
        <f>IF(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=0,"",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)</f>
        <v/>
      </c>
      <c r="I12" s="42">
        <f>IF(COUNTIFS(구역9!G4:G43,"개인차",구역9!E4:E43,"*"&amp;$B31&amp;"*")+(COUNTIFS(구역9!I4:I43,"?*",구역9!E4:E43,"*"&amp;$B31&amp;"*")-COUNTIFS(구역9!I4:I43,"*교회차*",구역9!E4:E43,"*"&amp;$B31&amp;"*")-COUNTIFS(구역9!I4:I43,"*타교회*",구역9!E4:E43,"*"&amp;$B31&amp;"*")-COUNTIFS(구역9!I4:I43,"*대중교통*",구역9!E4:E43,"*"&amp;$B31&amp;"*"))=0,"",COUNTIFS(구역9!G4:G43,"개인차",구역9!E4:E43,"*"&amp;$B31&amp;"*")+(COUNTIFS(구역9!I4:I43,"?*",구역9!E4:E43,"*"&amp;$B31&amp;"*")-COUNTIFS(구역9!I4:I43,"*교회차*",구역9!E4:E43,"*"&amp;$B31&amp;"*")-COUNTIFS(구역9!I4:I43,"*타교회*",구역9!E4:E43,"*"&amp;$B31&amp;"*")-COUNTIFS(구역9!I4:I43,"*대중교통*",구역9!E4:E43,"*"&amp;$B31&amp;"*")))</f>
        <v/>
      </c>
      <c r="J12" s="42">
        <f>IF(COUNTIFS(구역9!F4:F43,"대중교통",구역9!E4:E43,"*"&amp;$B31&amp;"*")+COUNTIFS(구역9!H4:H43,"*대중교통*",구역9!E4:E43,"*"&amp;$B31&amp;"*")=0,"",COUNTIFS(구역9!F4:F43,"대중교통",구역9!E4:E43,"*"&amp;$B31&amp;"*")+COUNTIFS(구역9!H4:H43,"*대중교통*",구역9!E4:E43,"*"&amp;$B31&amp;"*"))</f>
        <v/>
      </c>
      <c r="K12" s="42">
        <f>IF(COUNTIFS(구역9!G4:G43,"대중교통",구역9!E4:E43,"*"&amp;$B31&amp;"*")+COUNTIFS(구역9!I4:I43,"*대중교통*",구역9!E4:E43,"*"&amp;$B31&amp;"*")=0,"",COUNTIFS(구역9!G4:G43,"대중교통",구역9!E4:E43,"*"&amp;$B31&amp;"*")+COUNTIFS(구역9!I4:I43,"*대중교통*",구역9!E4:E43,"*"&amp;$B31&amp;"*"))</f>
        <v/>
      </c>
      <c r="L12" s="42" t="n"/>
      <c r="M12" s="42" t="n"/>
    </row>
    <row r="13" ht="21.75" customHeight="1" s="33">
      <c r="A13" s="44" t="inlineStr">
        <is>
          <t>구역10</t>
        </is>
      </c>
      <c r="B13" s="44">
        <f>IF(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=0,"",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)</f>
        <v/>
      </c>
      <c r="C13" s="44">
        <f>IF(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=0,"",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)</f>
        <v/>
      </c>
      <c r="D13" s="44">
        <f>IF(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=0,"",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)</f>
        <v/>
      </c>
      <c r="E13" s="44">
        <f>IF(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I4:I43,"*교회차*",구역10!E4:E43,"*"&amp;$B31&amp;"*")=0,"",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I4:I43,"*교회차*",구역10!E4:E43,"*"&amp;$B31&amp;"*"))</f>
        <v/>
      </c>
      <c r="F13" s="44">
        <f>IF(COUNTIFS(구역10!F4:F43,"타교회",구역10!E4:E43,"*"&amp;$B31&amp;"*")+COUNTIFS(구역10!H4:H43,"*타교회*",구역10!E4:E43,"*"&amp;$B31&amp;"*")=0,"",COUNTIFS(구역10!F4:F43,"타교회",구역10!E4:E43,"*"&amp;$B31&amp;"*")+COUNTIFS(구역10!H4:H43,"*타교회*",구역10!E4:E43,"*"&amp;$B31&amp;"*"))</f>
        <v/>
      </c>
      <c r="G13" s="44">
        <f>IF(COUNTIFS(구역10!G4:G43,"타교회",구역10!E4:E43,"*"&amp;$B31&amp;"*")+COUNTIFS(구역10!I4:I43,"*타교회*",구역10!E4:E43,"*"&amp;$B31&amp;"*")=0,"",COUNTIFS(구역10!G4:G43,"타교회",구역10!E4:E43,"*"&amp;$B31&amp;"*")+COUNTIFS(구역10!I4:I43,"*타교회*",구역10!E4:E43,"*"&amp;$B31&amp;"*"))</f>
        <v/>
      </c>
      <c r="H13" s="44">
        <f>IF(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=0,"",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)</f>
        <v/>
      </c>
      <c r="I13" s="44">
        <f>IF(COUNTIFS(구역10!G4:G43,"개인차",구역10!E4:E43,"*"&amp;$B31&amp;"*")+(COUNTIFS(구역10!I4:I43,"?*",구역10!E4:E43,"*"&amp;$B31&amp;"*")-COUNTIFS(구역10!I4:I43,"*교회차*",구역10!E4:E43,"*"&amp;$B31&amp;"*")-COUNTIFS(구역10!I4:I43,"*타교회*",구역10!E4:E43,"*"&amp;$B31&amp;"*")-COUNTIFS(구역10!I4:I43,"*대중교통*",구역10!E4:E43,"*"&amp;$B31&amp;"*"))=0,"",COUNTIFS(구역10!G4:G43,"개인차",구역10!E4:E43,"*"&amp;$B31&amp;"*")+(COUNTIFS(구역10!I4:I43,"?*",구역10!E4:E43,"*"&amp;$B31&amp;"*")-COUNTIFS(구역10!I4:I43,"*교회차*",구역10!E4:E43,"*"&amp;$B31&amp;"*")-COUNTIFS(구역10!I4:I43,"*타교회*",구역10!E4:E43,"*"&amp;$B31&amp;"*")-COUNTIFS(구역10!I4:I43,"*대중교통*",구역10!E4:E43,"*"&amp;$B31&amp;"*")))</f>
        <v/>
      </c>
      <c r="J13" s="44">
        <f>IF(COUNTIFS(구역10!F4:F43,"대중교통",구역10!E4:E43,"*"&amp;$B31&amp;"*")+COUNTIFS(구역10!H4:H43,"*대중교통*",구역10!E4:E43,"*"&amp;$B31&amp;"*")=0,"",COUNTIFS(구역10!F4:F43,"대중교통",구역10!E4:E43,"*"&amp;$B31&amp;"*")+COUNTIFS(구역10!H4:H43,"*대중교통*",구역10!E4:E43,"*"&amp;$B31&amp;"*"))</f>
        <v/>
      </c>
      <c r="K13" s="44">
        <f>IF(COUNTIFS(구역10!G4:G43,"대중교통",구역10!E4:E43,"*"&amp;$B31&amp;"*")+COUNTIFS(구역10!I4:I43,"*대중교통*",구역10!E4:E43,"*"&amp;$B31&amp;"*")=0,"",COUNTIFS(구역10!G4:G43,"대중교통",구역10!E4:E43,"*"&amp;$B31&amp;"*")+COUNTIFS(구역10!I4:I43,"*대중교통*",구역10!E4:E43,"*"&amp;$B31&amp;"*"))</f>
        <v/>
      </c>
      <c r="L13" s="44" t="n"/>
      <c r="M13" s="44" t="n"/>
    </row>
    <row r="14" ht="15" customHeight="1" s="33">
      <c r="A14" s="61" t="inlineStr">
        <is>
          <t>구역11</t>
        </is>
      </c>
      <c r="B14" s="61">
        <f>IF(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=0,"",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)</f>
        <v/>
      </c>
      <c r="C14" s="61">
        <f>IF(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=0,"",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)</f>
        <v/>
      </c>
      <c r="D14" s="61">
        <f>IF(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=0,"",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)</f>
        <v/>
      </c>
      <c r="E14" s="61">
        <f>IF(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I4:I43,"*교회차*",구역11!E4:E43,"*"&amp;$B31&amp;"*")=0,"",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I4:I43,"*교회차*",구역11!E4:E43,"*"&amp;$B31&amp;"*"))</f>
        <v/>
      </c>
      <c r="F14" s="61">
        <f>IF(COUNTIFS(구역11!F4:F43,"타교회",구역11!E4:E43,"*"&amp;$B31&amp;"*")+COUNTIFS(구역11!H4:H43,"*타교회*",구역11!E4:E43,"*"&amp;$B31&amp;"*")=0,"",COUNTIFS(구역11!F4:F43,"타교회",구역11!E4:E43,"*"&amp;$B31&amp;"*")+COUNTIFS(구역11!H4:H43,"*타교회*",구역11!E4:E43,"*"&amp;$B31&amp;"*"))</f>
        <v/>
      </c>
      <c r="G14" s="61">
        <f>IF(COUNTIFS(구역11!G4:G43,"타교회",구역11!E4:E43,"*"&amp;$B31&amp;"*")+COUNTIFS(구역11!I4:I43,"*타교회*",구역11!E4:E43,"*"&amp;$B31&amp;"*")=0,"",COUNTIFS(구역11!G4:G43,"타교회",구역11!E4:E43,"*"&amp;$B31&amp;"*")+COUNTIFS(구역11!I4:I43,"*타교회*",구역11!E4:E43,"*"&amp;$B31&amp;"*"))</f>
        <v/>
      </c>
      <c r="H14" s="61">
        <f>IF(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=0,"",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)</f>
        <v/>
      </c>
      <c r="I14" s="61">
        <f>IF(COUNTIFS(구역11!G4:G43,"개인차",구역11!E4:E43,"*"&amp;$B31&amp;"*")+(COUNTIFS(구역11!I4:I43,"?*",구역11!E4:E43,"*"&amp;$B31&amp;"*")-COUNTIFS(구역11!I4:I43,"*교회차*",구역11!E4:E43,"*"&amp;$B31&amp;"*")-COUNTIFS(구역11!I4:I43,"*타교회*",구역11!E4:E43,"*"&amp;$B31&amp;"*")-COUNTIFS(구역11!I4:I43,"*대중교통*",구역11!E4:E43,"*"&amp;$B31&amp;"*"))=0,"",COUNTIFS(구역11!G4:G43,"개인차",구역11!E4:E43,"*"&amp;$B31&amp;"*")+(COUNTIFS(구역11!I4:I43,"?*",구역11!E4:E43,"*"&amp;$B31&amp;"*")-COUNTIFS(구역11!I4:I43,"*교회차*",구역11!E4:E43,"*"&amp;$B31&amp;"*")-COUNTIFS(구역11!I4:I43,"*타교회*",구역11!E4:E43,"*"&amp;$B31&amp;"*")-COUNTIFS(구역11!I4:I43,"*대중교통*",구역11!E4:E43,"*"&amp;$B31&amp;"*")))</f>
        <v/>
      </c>
      <c r="J14" s="61">
        <f>IF(COUNTIFS(구역11!F4:F43,"대중교통",구역11!E4:E43,"*"&amp;$B31&amp;"*")+COUNTIFS(구역11!H4:H43,"*대중교통*",구역11!E4:E43,"*"&amp;$B31&amp;"*")=0,"",COUNTIFS(구역11!F4:F43,"대중교통",구역11!E4:E43,"*"&amp;$B31&amp;"*")+COUNTIFS(구역11!H4:H43,"*대중교통*",구역11!E4:E43,"*"&amp;$B31&amp;"*"))</f>
        <v/>
      </c>
      <c r="K14" s="61">
        <f>IF(COUNTIFS(구역11!G4:G43,"대중교통",구역11!E4:E43,"*"&amp;$B31&amp;"*")+COUNTIFS(구역11!I4:I43,"*대중교통*",구역11!E4:E43,"*"&amp;$B31&amp;"*")=0,"",COUNTIFS(구역11!G4:G43,"대중교통",구역11!E4:E43,"*"&amp;$B31&amp;"*")+COUNTIFS(구역11!I4:I43,"*대중교통*",구역11!E4:E43,"*"&amp;$B31&amp;"*"))</f>
        <v/>
      </c>
      <c r="L14" s="61" t="n"/>
      <c r="M14" s="61" t="n"/>
    </row>
    <row r="15">
      <c r="A15" s="32" t="inlineStr">
        <is>
          <t>구역12</t>
        </is>
      </c>
      <c r="B15" s="32">
        <f>IF(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=0,"",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)</f>
        <v/>
      </c>
      <c r="C15" s="32">
        <f>IF(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=0,"",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)</f>
        <v/>
      </c>
      <c r="D15" s="32">
        <f>IF(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=0,"",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)</f>
        <v/>
      </c>
      <c r="E15" s="32">
        <f>IF(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I4:I43,"*교회차*",구역12!E4:E43,"*"&amp;$B31&amp;"*")=0,"",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I4:I43,"*교회차*",구역12!E4:E43,"*"&amp;$B31&amp;"*"))</f>
        <v/>
      </c>
      <c r="F15" s="32">
        <f>IF(COUNTIFS(구역12!F4:F43,"타교회",구역12!E4:E43,"*"&amp;$B31&amp;"*")+COUNTIFS(구역12!H4:H43,"*타교회*",구역12!E4:E43,"*"&amp;$B31&amp;"*")=0,"",COUNTIFS(구역12!F4:F43,"타교회",구역12!E4:E43,"*"&amp;$B31&amp;"*")+COUNTIFS(구역12!H4:H43,"*타교회*",구역12!E4:E43,"*"&amp;$B31&amp;"*"))</f>
        <v/>
      </c>
      <c r="G15" s="32">
        <f>IF(COUNTIFS(구역12!G4:G43,"타교회",구역12!E4:E43,"*"&amp;$B31&amp;"*")+COUNTIFS(구역12!I4:I43,"*타교회*",구역12!E4:E43,"*"&amp;$B31&amp;"*")=0,"",COUNTIFS(구역12!G4:G43,"타교회",구역12!E4:E43,"*"&amp;$B31&amp;"*")+COUNTIFS(구역12!I4:I43,"*타교회*",구역12!E4:E43,"*"&amp;$B31&amp;"*"))</f>
        <v/>
      </c>
      <c r="H15" s="32">
        <f>IF(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=0,"",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)</f>
        <v/>
      </c>
      <c r="I15" s="32">
        <f>IF(COUNTIFS(구역12!G4:G43,"개인차",구역12!E4:E43,"*"&amp;$B31&amp;"*")+(COUNTIFS(구역12!I4:I43,"?*",구역12!E4:E43,"*"&amp;$B31&amp;"*")-COUNTIFS(구역12!I4:I43,"*교회차*",구역12!E4:E43,"*"&amp;$B31&amp;"*")-COUNTIFS(구역12!I4:I43,"*타교회*",구역12!E4:E43,"*"&amp;$B31&amp;"*")-COUNTIFS(구역12!I4:I43,"*대중교통*",구역12!E4:E43,"*"&amp;$B31&amp;"*"))=0,"",COUNTIFS(구역12!G4:G43,"개인차",구역12!E4:E43,"*"&amp;$B31&amp;"*")+(COUNTIFS(구역12!I4:I43,"?*",구역12!E4:E43,"*"&amp;$B31&amp;"*")-COUNTIFS(구역12!I4:I43,"*교회차*",구역12!E4:E43,"*"&amp;$B31&amp;"*")-COUNTIFS(구역12!I4:I43,"*타교회*",구역12!E4:E43,"*"&amp;$B31&amp;"*")-COUNTIFS(구역12!I4:I43,"*대중교통*",구역12!E4:E43,"*"&amp;$B31&amp;"*")))</f>
        <v/>
      </c>
      <c r="J15" s="32">
        <f>IF(COUNTIFS(구역12!F4:F43,"대중교통",구역12!E4:E43,"*"&amp;$B31&amp;"*")+COUNTIFS(구역12!H4:H43,"*대중교통*",구역12!E4:E43,"*"&amp;$B31&amp;"*")=0,"",COUNTIFS(구역12!F4:F43,"대중교통",구역12!E4:E43,"*"&amp;$B31&amp;"*")+COUNTIFS(구역12!H4:H43,"*대중교통*",구역12!E4:E43,"*"&amp;$B31&amp;"*"))</f>
        <v/>
      </c>
      <c r="K15" s="32">
        <f>IF(COUNTIFS(구역12!G4:G43,"대중교통",구역12!E4:E43,"*"&amp;$B31&amp;"*")+COUNTIFS(구역12!I4:I43,"*대중교통*",구역12!E4:E43,"*"&amp;$B31&amp;"*")=0,"",COUNTIFS(구역12!G4:G43,"대중교통",구역12!E4:E43,"*"&amp;$B31&amp;"*")+COUNTIFS(구역12!I4:I43,"*대중교통*",구역12!E4:E43,"*"&amp;$B31&amp;"*"))</f>
        <v/>
      </c>
      <c r="L15" s="32" t="n"/>
      <c r="M15" s="32" t="n"/>
    </row>
    <row r="16" ht="19.4" customHeight="1" s="33">
      <c r="A16" s="62" t="inlineStr">
        <is>
          <t>구역13</t>
        </is>
      </c>
      <c r="B16" s="32">
        <f>IF(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=0,"",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)</f>
        <v/>
      </c>
      <c r="C16" s="32">
        <f>IF(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=0,"",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)</f>
        <v/>
      </c>
      <c r="D16" s="32">
        <f>IF(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=0,"",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)</f>
        <v/>
      </c>
      <c r="E16" s="32">
        <f>IF(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I4:I43,"*교회차*",구역13!E4:E43,"*"&amp;$B31&amp;"*")=0,"",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I4:I43,"*교회차*",구역13!E4:E43,"*"&amp;$B31&amp;"*"))</f>
        <v/>
      </c>
      <c r="F16" s="32">
        <f>IF(COUNTIFS(구역13!F4:F43,"타교회",구역13!E4:E43,"*"&amp;$B31&amp;"*")+COUNTIFS(구역13!H4:H43,"*타교회*",구역13!E4:E43,"*"&amp;$B31&amp;"*")=0,"",COUNTIFS(구역13!F4:F43,"타교회",구역13!E4:E43,"*"&amp;$B31&amp;"*")+COUNTIFS(구역13!H4:H43,"*타교회*",구역13!E4:E43,"*"&amp;$B31&amp;"*"))</f>
        <v/>
      </c>
      <c r="G16" s="32">
        <f>IF(COUNTIFS(구역13!G4:G43,"타교회",구역13!E4:E43,"*"&amp;$B31&amp;"*")+COUNTIFS(구역13!I4:I43,"*타교회*",구역13!E4:E43,"*"&amp;$B31&amp;"*")=0,"",COUNTIFS(구역13!G4:G43,"타교회",구역13!E4:E43,"*"&amp;$B31&amp;"*")+COUNTIFS(구역13!I4:I43,"*타교회*",구역13!E4:E43,"*"&amp;$B31&amp;"*"))</f>
        <v/>
      </c>
      <c r="H16" s="32">
        <f>IF(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=0,"",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)</f>
        <v/>
      </c>
      <c r="I16" s="32">
        <f>IF(COUNTIFS(구역13!G4:G43,"개인차",구역13!E4:E43,"*"&amp;$B31&amp;"*")+(COUNTIFS(구역13!I4:I43,"?*",구역13!E4:E43,"*"&amp;$B31&amp;"*")-COUNTIFS(구역13!I4:I43,"*교회차*",구역13!E4:E43,"*"&amp;$B31&amp;"*")-COUNTIFS(구역13!I4:I43,"*타교회*",구역13!E4:E43,"*"&amp;$B31&amp;"*")-COUNTIFS(구역13!I4:I43,"*대중교통*",구역13!E4:E43,"*"&amp;$B31&amp;"*"))=0,"",COUNTIFS(구역13!G4:G43,"개인차",구역13!E4:E43,"*"&amp;$B31&amp;"*")+(COUNTIFS(구역13!I4:I43,"?*",구역13!E4:E43,"*"&amp;$B31&amp;"*")-COUNTIFS(구역13!I4:I43,"*교회차*",구역13!E4:E43,"*"&amp;$B31&amp;"*")-COUNTIFS(구역13!I4:I43,"*타교회*",구역13!E4:E43,"*"&amp;$B31&amp;"*")-COUNTIFS(구역13!I4:I43,"*대중교통*",구역13!E4:E43,"*"&amp;$B31&amp;"*")))</f>
        <v/>
      </c>
      <c r="J16" s="32">
        <f>IF(COUNTIFS(구역13!F4:F43,"대중교통",구역13!E4:E43,"*"&amp;$B31&amp;"*")+COUNTIFS(구역13!H4:H43,"*대중교통*",구역13!E4:E43,"*"&amp;$B31&amp;"*")=0,"",COUNTIFS(구역13!F4:F43,"대중교통",구역13!E4:E43,"*"&amp;$B31&amp;"*")+COUNTIFS(구역13!H4:H43,"*대중교통*",구역13!E4:E43,"*"&amp;$B31&amp;"*"))</f>
        <v/>
      </c>
      <c r="K16" s="32">
        <f>IF(COUNTIFS(구역13!G4:G43,"대중교통",구역13!E4:E43,"*"&amp;$B31&amp;"*")+COUNTIFS(구역13!I4:I43,"*대중교통*",구역13!E4:E43,"*"&amp;$B31&amp;"*")=0,"",COUNTIFS(구역13!G4:G43,"대중교통",구역13!E4:E43,"*"&amp;$B31&amp;"*")+COUNTIFS(구역13!I4:I43,"*대중교통*",구역13!E4:E43,"*"&amp;$B31&amp;"*"))</f>
        <v/>
      </c>
      <c r="L16" s="32" t="n"/>
      <c r="M16" s="32" t="n"/>
    </row>
    <row r="17" ht="15" customHeight="1" s="33">
      <c r="A17" s="49" t="inlineStr">
        <is>
          <t>구역14</t>
        </is>
      </c>
      <c r="B17" s="48">
        <f>IF(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=0,"",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)</f>
        <v/>
      </c>
      <c r="C17" s="48">
        <f>IF(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=0,"",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)</f>
        <v/>
      </c>
      <c r="D17" s="48">
        <f>IF(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=0,"",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)</f>
        <v/>
      </c>
      <c r="E17" s="48">
        <f>IF(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I4:I43,"*교회차*",구역14!E4:E43,"*"&amp;$B31&amp;"*")=0,"",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I4:I43,"*교회차*",구역14!E4:E43,"*"&amp;$B31&amp;"*"))</f>
        <v/>
      </c>
      <c r="F17" s="48">
        <f>IF(COUNTIFS(구역14!F4:F43,"타교회",구역14!E4:E43,"*"&amp;$B31&amp;"*")+COUNTIFS(구역14!H4:H43,"*타교회*",구역14!E4:E43,"*"&amp;$B31&amp;"*")=0,"",COUNTIFS(구역14!F4:F43,"타교회",구역14!E4:E43,"*"&amp;$B31&amp;"*")+COUNTIFS(구역14!H4:H43,"*타교회*",구역14!E4:E43,"*"&amp;$B31&amp;"*"))</f>
        <v/>
      </c>
      <c r="G17" s="48">
        <f>IF(COUNTIFS(구역14!G4:G43,"타교회",구역14!E4:E43,"*"&amp;$B31&amp;"*")+COUNTIFS(구역14!I4:I43,"*타교회*",구역14!E4:E43,"*"&amp;$B31&amp;"*")=0,"",COUNTIFS(구역14!G4:G43,"타교회",구역14!E4:E43,"*"&amp;$B31&amp;"*")+COUNTIFS(구역14!I4:I43,"*타교회*",구역14!E4:E43,"*"&amp;$B31&amp;"*"))</f>
        <v/>
      </c>
      <c r="H17" s="48">
        <f>IF(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=0,"",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)</f>
        <v/>
      </c>
      <c r="I17" s="48">
        <f>IF(COUNTIFS(구역14!G4:G43,"개인차",구역14!E4:E43,"*"&amp;$B31&amp;"*")+(COUNTIFS(구역14!I4:I43,"?*",구역14!E4:E43,"*"&amp;$B31&amp;"*")-COUNTIFS(구역14!I4:I43,"*교회차*",구역14!E4:E43,"*"&amp;$B31&amp;"*")-COUNTIFS(구역14!I4:I43,"*타교회*",구역14!E4:E43,"*"&amp;$B31&amp;"*")-COUNTIFS(구역14!I4:I43,"*대중교통*",구역14!E4:E43,"*"&amp;$B31&amp;"*"))=0,"",COUNTIFS(구역14!G4:G43,"개인차",구역14!E4:E43,"*"&amp;$B31&amp;"*")+(COUNTIFS(구역14!I4:I43,"?*",구역14!E4:E43,"*"&amp;$B31&amp;"*")-COUNTIFS(구역14!I4:I43,"*교회차*",구역14!E4:E43,"*"&amp;$B31&amp;"*")-COUNTIFS(구역14!I4:I43,"*타교회*",구역14!E4:E43,"*"&amp;$B31&amp;"*")-COUNTIFS(구역14!I4:I43,"*대중교통*",구역14!E4:E43,"*"&amp;$B31&amp;"*")))</f>
        <v/>
      </c>
      <c r="J17" s="49">
        <f>IF(COUNTIFS(구역14!F4:F43,"대중교통",구역14!E4:E43,"*"&amp;$B31&amp;"*")+COUNTIFS(구역14!H4:H43,"*대중교통*",구역14!E4:E43,"*"&amp;$B31&amp;"*")=0,"",COUNTIFS(구역14!F4:F43,"대중교통",구역14!E4:E43,"*"&amp;$B31&amp;"*")+COUNTIFS(구역14!H4:H43,"*대중교통*",구역14!E4:E43,"*"&amp;$B31&amp;"*"))</f>
        <v/>
      </c>
      <c r="K17" s="32">
        <f>IF(COUNTIFS(구역14!G4:G43,"대중교통",구역14!E4:E43,"*"&amp;$B31&amp;"*")+COUNTIFS(구역14!I4:I43,"*대중교통*",구역14!E4:E43,"*"&amp;$B31&amp;"*")=0,"",COUNTIFS(구역14!G4:G43,"대중교통",구역14!E4:E43,"*"&amp;$B31&amp;"*")+COUNTIFS(구역14!I4:I43,"*대중교통*",구역14!E4:E43,"*"&amp;$B31&amp;"*"))</f>
        <v/>
      </c>
    </row>
    <row r="18" ht="15" customHeight="1" s="33">
      <c r="A18" s="49" t="inlineStr">
        <is>
          <t>구역15</t>
        </is>
      </c>
      <c r="B18" s="32">
        <f>IF(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=0,"",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)</f>
        <v/>
      </c>
      <c r="C18" s="32">
        <f>IF(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=0,"",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)</f>
        <v/>
      </c>
      <c r="D18" s="32">
        <f>IF(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=0,"",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)</f>
        <v/>
      </c>
      <c r="E18" s="32">
        <f>IF(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I4:I43,"*교회차*",구역15!E4:E43,"*"&amp;$B31&amp;"*")=0,"",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I4:I43,"*교회차*",구역15!E4:E43,"*"&amp;$B31&amp;"*"))</f>
        <v/>
      </c>
      <c r="F18" s="32">
        <f>IF(COUNTIFS(구역15!F4:F43,"타교회",구역15!E4:E43,"*"&amp;$B31&amp;"*")+COUNTIFS(구역15!H4:H43,"*타교회*",구역15!E4:E43,"*"&amp;$B31&amp;"*")=0,"",COUNTIFS(구역15!F4:F43,"타교회",구역15!E4:E43,"*"&amp;$B31&amp;"*")+COUNTIFS(구역15!H4:H43,"*타교회*",구역15!E4:E43,"*"&amp;$B31&amp;"*"))</f>
        <v/>
      </c>
      <c r="G18" s="32">
        <f>IF(COUNTIFS(구역15!G4:G43,"타교회",구역15!E4:E43,"*"&amp;$B31&amp;"*")+COUNTIFS(구역15!I4:I43,"*타교회*",구역15!E4:E43,"*"&amp;$B31&amp;"*")=0,"",COUNTIFS(구역15!G4:G43,"타교회",구역15!E4:E43,"*"&amp;$B31&amp;"*")+COUNTIFS(구역15!I4:I43,"*타교회*",구역15!E4:E43,"*"&amp;$B31&amp;"*"))</f>
        <v/>
      </c>
      <c r="H18" s="32">
        <f>IF(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=0,"",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)</f>
        <v/>
      </c>
      <c r="I18" s="32">
        <f>IF(COUNTIFS(구역15!G4:G43,"개인차",구역15!E4:E43,"*"&amp;$B31&amp;"*")+(COUNTIFS(구역15!I4:I43,"?*",구역15!E4:E43,"*"&amp;$B31&amp;"*")-COUNTIFS(구역15!I4:I43,"*교회차*",구역15!E4:E43,"*"&amp;$B31&amp;"*")-COUNTIFS(구역15!I4:I43,"*타교회*",구역15!E4:E43,"*"&amp;$B31&amp;"*")-COUNTIFS(구역15!I4:I43,"*대중교통*",구역15!E4:E43,"*"&amp;$B31&amp;"*"))=0,"",COUNTIFS(구역15!G4:G43,"개인차",구역15!E4:E43,"*"&amp;$B31&amp;"*")+(COUNTIFS(구역15!I4:I43,"?*",구역15!E4:E43,"*"&amp;$B31&amp;"*")-COUNTIFS(구역15!I4:I43,"*교회차*",구역15!E4:E43,"*"&amp;$B31&amp;"*")-COUNTIFS(구역15!I4:I43,"*타교회*",구역15!E4:E43,"*"&amp;$B31&amp;"*")-COUNTIFS(구역15!I4:I43,"*대중교통*",구역15!E4:E43,"*"&amp;$B31&amp;"*")))</f>
        <v/>
      </c>
      <c r="J18" s="32">
        <f>IF(COUNTIFS(구역15!F4:F43,"대중교통",구역15!E4:E43,"*"&amp;$B31&amp;"*")+COUNTIFS(구역15!H4:H43,"*대중교통*",구역15!E4:E43,"*"&amp;$B31&amp;"*")=0,"",COUNTIFS(구역15!F4:F43,"대중교통",구역15!E4:E43,"*"&amp;$B31&amp;"*")+COUNTIFS(구역15!H4:H43,"*대중교통*",구역15!E4:E43,"*"&amp;$B31&amp;"*"))</f>
        <v/>
      </c>
      <c r="K18" s="32">
        <f>IF(COUNTIFS(구역15!G4:G43,"대중교통",구역15!E4:E43,"*"&amp;$B31&amp;"*")+COUNTIFS(구역15!I4:I43,"*대중교통*",구역15!E4:E43,"*"&amp;$B31&amp;"*")=0,"",COUNTIFS(구역15!G4:G43,"대중교통",구역15!E4:E43,"*"&amp;$B31&amp;"*")+COUNTIFS(구역15!I4:I43,"*대중교통*",구역15!E4:E43,"*"&amp;$B31&amp;"*"))</f>
        <v/>
      </c>
    </row>
    <row r="19">
      <c r="A19" s="32" t="inlineStr">
        <is>
          <t>구역16</t>
        </is>
      </c>
      <c r="B19" s="32">
        <f>IF(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=0,"",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)</f>
        <v/>
      </c>
      <c r="C19" s="32">
        <f>IF(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=0,"",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)</f>
        <v/>
      </c>
      <c r="D19" s="32">
        <f>IF(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=0,"",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)</f>
        <v/>
      </c>
      <c r="E19" s="32">
        <f>IF(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I4:I43,"*교회차*",구역16!E4:E43,"*"&amp;$B31&amp;"*")=0,"",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I4:I43,"*교회차*",구역16!E4:E43,"*"&amp;$B31&amp;"*"))</f>
        <v/>
      </c>
      <c r="F19" s="32">
        <f>IF(COUNTIFS(구역16!F4:F43,"타교회",구역16!E4:E43,"*"&amp;$B31&amp;"*")+COUNTIFS(구역16!H4:H43,"*타교회*",구역16!E4:E43,"*"&amp;$B31&amp;"*")=0,"",COUNTIFS(구역16!F4:F43,"타교회",구역16!E4:E43,"*"&amp;$B31&amp;"*")+COUNTIFS(구역16!H4:H43,"*타교회*",구역16!E4:E43,"*"&amp;$B31&amp;"*"))</f>
        <v/>
      </c>
      <c r="G19" s="32">
        <f>IF(COUNTIFS(구역16!G4:G43,"타교회",구역16!E4:E43,"*"&amp;$B31&amp;"*")+COUNTIFS(구역16!I4:I43,"*타교회*",구역16!E4:E43,"*"&amp;$B31&amp;"*")=0,"",COUNTIFS(구역16!G4:G43,"타교회",구역16!E4:E43,"*"&amp;$B31&amp;"*")+COUNTIFS(구역16!I4:I43,"*타교회*",구역16!E4:E43,"*"&amp;$B31&amp;"*"))</f>
        <v/>
      </c>
      <c r="H19" s="32">
        <f>IF(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=0,"",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)</f>
        <v/>
      </c>
      <c r="I19" s="32">
        <f>IF(COUNTIFS(구역16!G4:G43,"개인차",구역16!E4:E43,"*"&amp;$B31&amp;"*")+(COUNTIFS(구역16!I4:I43,"?*",구역16!E4:E43,"*"&amp;$B31&amp;"*")-COUNTIFS(구역16!I4:I43,"*교회차*",구역16!E4:E43,"*"&amp;$B31&amp;"*")-COUNTIFS(구역16!I4:I43,"*타교회*",구역16!E4:E43,"*"&amp;$B31&amp;"*")-COUNTIFS(구역16!I4:I43,"*대중교통*",구역16!E4:E43,"*"&amp;$B31&amp;"*"))=0,"",COUNTIFS(구역16!G4:G43,"개인차",구역16!E4:E43,"*"&amp;$B31&amp;"*")+(COUNTIFS(구역16!I4:I43,"?*",구역16!E4:E43,"*"&amp;$B31&amp;"*")-COUNTIFS(구역16!I4:I43,"*교회차*",구역16!E4:E43,"*"&amp;$B31&amp;"*")-COUNTIFS(구역16!I4:I43,"*타교회*",구역16!E4:E43,"*"&amp;$B31&amp;"*")-COUNTIFS(구역16!I4:I43,"*대중교통*",구역16!E4:E43,"*"&amp;$B31&amp;"*")))</f>
        <v/>
      </c>
      <c r="J19" s="32">
        <f>IF(COUNTIFS(구역16!F4:F43,"대중교통",구역16!E4:E43,"*"&amp;$B31&amp;"*")+COUNTIFS(구역16!H4:H43,"*대중교통*",구역16!E4:E43,"*"&amp;$B31&amp;"*")=0,"",COUNTIFS(구역16!F4:F43,"대중교통",구역16!E4:E43,"*"&amp;$B31&amp;"*")+COUNTIFS(구역16!H4:H43,"*대중교통*",구역16!E4:E43,"*"&amp;$B31&amp;"*"))</f>
        <v/>
      </c>
      <c r="K19" s="32">
        <f>IF(COUNTIFS(구역16!G4:G43,"대중교통",구역16!E4:E43,"*"&amp;$B31&amp;"*")+COUNTIFS(구역16!I4:I43,"*대중교통*",구역16!E4:E43,"*"&amp;$B31&amp;"*")=0,"",COUNTIFS(구역16!G4:G43,"대중교통",구역16!E4:E43,"*"&amp;$B31&amp;"*")+COUNTIFS(구역16!I4:I43,"*대중교통*",구역16!E4:E43,"*"&amp;$B31&amp;"*"))</f>
        <v/>
      </c>
    </row>
    <row r="20">
      <c r="A20" s="32" t="inlineStr">
        <is>
          <t>구역17</t>
        </is>
      </c>
      <c r="B20" s="32">
        <f>IF(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=0,"",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)</f>
        <v/>
      </c>
      <c r="C20" s="32">
        <f>IF(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=0,"",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)</f>
        <v/>
      </c>
      <c r="D20" s="32">
        <f>IF(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=0,"",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)</f>
        <v/>
      </c>
      <c r="E20" s="32">
        <f>IF(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I4:I43,"*교회차*",구역17!E4:E43,"*"&amp;$B31&amp;"*")=0,"",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I4:I43,"*교회차*",구역17!E4:E43,"*"&amp;$B31&amp;"*"))</f>
        <v/>
      </c>
      <c r="F20" s="32">
        <f>IF(COUNTIFS(구역17!F4:F43,"타교회",구역17!E4:E43,"*"&amp;$B31&amp;"*")+COUNTIFS(구역17!H4:H43,"*타교회*",구역17!E4:E43,"*"&amp;$B31&amp;"*")=0,"",COUNTIFS(구역17!F4:F43,"타교회",구역17!E4:E43,"*"&amp;$B31&amp;"*")+COUNTIFS(구역17!H4:H43,"*타교회*",구역17!E4:E43,"*"&amp;$B31&amp;"*"))</f>
        <v/>
      </c>
      <c r="G20" s="32">
        <f>IF(COUNTIFS(구역17!G4:G43,"타교회",구역17!E4:E43,"*"&amp;$B31&amp;"*")+COUNTIFS(구역17!I4:I43,"*타교회*",구역17!E4:E43,"*"&amp;$B31&amp;"*")=0,"",COUNTIFS(구역17!G4:G43,"타교회",구역17!E4:E43,"*"&amp;$B31&amp;"*")+COUNTIFS(구역17!I4:I43,"*타교회*",구역17!E4:E43,"*"&amp;$B31&amp;"*"))</f>
        <v/>
      </c>
      <c r="H20" s="32">
        <f>IF(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=0,"",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)</f>
        <v/>
      </c>
      <c r="I20" s="32">
        <f>IF(COUNTIFS(구역17!G4:G43,"개인차",구역17!E4:E43,"*"&amp;$B31&amp;"*")+(COUNTIFS(구역17!I4:I43,"?*",구역17!E4:E43,"*"&amp;$B31&amp;"*")-COUNTIFS(구역17!I4:I43,"*교회차*",구역17!E4:E43,"*"&amp;$B31&amp;"*")-COUNTIFS(구역17!I4:I43,"*타교회*",구역17!E4:E43,"*"&amp;$B31&amp;"*")-COUNTIFS(구역17!I4:I43,"*대중교통*",구역17!E4:E43,"*"&amp;$B31&amp;"*"))=0,"",COUNTIFS(구역17!G4:G43,"개인차",구역17!E4:E43,"*"&amp;$B31&amp;"*")+(COUNTIFS(구역17!I4:I43,"?*",구역17!E4:E43,"*"&amp;$B31&amp;"*")-COUNTIFS(구역17!I4:I43,"*교회차*",구역17!E4:E43,"*"&amp;$B31&amp;"*")-COUNTIFS(구역17!I4:I43,"*타교회*",구역17!E4:E43,"*"&amp;$B31&amp;"*")-COUNTIFS(구역17!I4:I43,"*대중교통*",구역17!E4:E43,"*"&amp;$B31&amp;"*")))</f>
        <v/>
      </c>
      <c r="J20" s="32">
        <f>IF(COUNTIFS(구역17!F4:F43,"대중교통",구역17!E4:E43,"*"&amp;$B31&amp;"*")+COUNTIFS(구역17!H4:H43,"*대중교통*",구역17!E4:E43,"*"&amp;$B31&amp;"*")=0,"",COUNTIFS(구역17!F4:F43,"대중교통",구역17!E4:E43,"*"&amp;$B31&amp;"*")+COUNTIFS(구역17!H4:H43,"*대중교통*",구역17!E4:E43,"*"&amp;$B31&amp;"*"))</f>
        <v/>
      </c>
      <c r="K20" s="32">
        <f>IF(COUNTIFS(구역17!G4:G43,"대중교통",구역17!E4:E43,"*"&amp;$B31&amp;"*")+COUNTIFS(구역17!I4:I43,"*대중교통*",구역17!E4:E43,"*"&amp;$B31&amp;"*")=0,"",COUNTIFS(구역17!G4:G43,"대중교통",구역17!E4:E43,"*"&amp;$B31&amp;"*")+COUNTIFS(구역17!I4:I43,"*대중교통*",구역17!E4:E43,"*"&amp;$B31&amp;"*"))</f>
        <v/>
      </c>
    </row>
    <row r="21">
      <c r="A21" s="32" t="inlineStr">
        <is>
          <t>구역18</t>
        </is>
      </c>
      <c r="B21" s="32">
        <f>IF(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=0,"",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)</f>
        <v/>
      </c>
      <c r="C21" s="32">
        <f>IF(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=0,"",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)</f>
        <v/>
      </c>
      <c r="D21" s="32">
        <f>IF(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=0,"",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)</f>
        <v/>
      </c>
      <c r="E21" s="32">
        <f>IF(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I4:I43,"*교회차*",구역18!E4:E43,"*"&amp;$B31&amp;"*")=0,"",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I4:I43,"*교회차*",구역18!E4:E43,"*"&amp;$B31&amp;"*"))</f>
        <v/>
      </c>
      <c r="F21" s="32">
        <f>IF(COUNTIFS(구역18!F4:F43,"타교회",구역18!E4:E43,"*"&amp;$B31&amp;"*")+COUNTIFS(구역18!H4:H43,"*타교회*",구역18!E4:E43,"*"&amp;$B31&amp;"*")=0,"",COUNTIFS(구역18!F4:F43,"타교회",구역18!E4:E43,"*"&amp;$B31&amp;"*")+COUNTIFS(구역18!H4:H43,"*타교회*",구역18!E4:E43,"*"&amp;$B31&amp;"*"))</f>
        <v/>
      </c>
      <c r="G21" s="32">
        <f>IF(COUNTIFS(구역18!G4:G43,"타교회",구역18!E4:E43,"*"&amp;$B31&amp;"*")+COUNTIFS(구역18!I4:I43,"*타교회*",구역18!E4:E43,"*"&amp;$B31&amp;"*")=0,"",COUNTIFS(구역18!G4:G43,"타교회",구역18!E4:E43,"*"&amp;$B31&amp;"*")+COUNTIFS(구역18!I4:I43,"*타교회*",구역18!E4:E43,"*"&amp;$B31&amp;"*"))</f>
        <v/>
      </c>
      <c r="H21" s="32">
        <f>IF(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=0,"",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)</f>
        <v/>
      </c>
      <c r="I21" s="32">
        <f>IF(COUNTIFS(구역18!G4:G43,"개인차",구역18!E4:E43,"*"&amp;$B31&amp;"*")+(COUNTIFS(구역18!I4:I43,"?*",구역18!E4:E43,"*"&amp;$B31&amp;"*")-COUNTIFS(구역18!I4:I43,"*교회차*",구역18!E4:E43,"*"&amp;$B31&amp;"*")-COUNTIFS(구역18!I4:I43,"*타교회*",구역18!E4:E43,"*"&amp;$B31&amp;"*")-COUNTIFS(구역18!I4:I43,"*대중교통*",구역18!E4:E43,"*"&amp;$B31&amp;"*"))=0,"",COUNTIFS(구역18!G4:G43,"개인차",구역18!E4:E43,"*"&amp;$B31&amp;"*")+(COUNTIFS(구역18!I4:I43,"?*",구역18!E4:E43,"*"&amp;$B31&amp;"*")-COUNTIFS(구역18!I4:I43,"*교회차*",구역18!E4:E43,"*"&amp;$B31&amp;"*")-COUNTIFS(구역18!I4:I43,"*타교회*",구역18!E4:E43,"*"&amp;$B31&amp;"*")-COUNTIFS(구역18!I4:I43,"*대중교통*",구역18!E4:E43,"*"&amp;$B31&amp;"*")))</f>
        <v/>
      </c>
      <c r="J21" s="32">
        <f>IF(COUNTIFS(구역18!F4:F43,"대중교통",구역18!E4:E43,"*"&amp;$B31&amp;"*")+COUNTIFS(구역18!H4:H43,"*대중교통*",구역18!E4:E43,"*"&amp;$B31&amp;"*")=0,"",COUNTIFS(구역18!F4:F43,"대중교통",구역18!E4:E43,"*"&amp;$B31&amp;"*")+COUNTIFS(구역18!H4:H43,"*대중교통*",구역18!E4:E43,"*"&amp;$B31&amp;"*"))</f>
        <v/>
      </c>
      <c r="K21" s="32">
        <f>IF(COUNTIFS(구역18!G4:G43,"대중교통",구역18!E4:E43,"*"&amp;$B31&amp;"*")+COUNTIFS(구역18!I4:I43,"*대중교통*",구역18!E4:E43,"*"&amp;$B31&amp;"*")=0,"",COUNTIFS(구역18!G4:G43,"대중교통",구역18!E4:E43,"*"&amp;$B31&amp;"*")+COUNTIFS(구역18!I4:I43,"*대중교통*",구역18!E4:E43,"*"&amp;$B31&amp;"*"))</f>
        <v/>
      </c>
    </row>
    <row r="22">
      <c r="A22" s="32" t="inlineStr">
        <is>
          <t>구역19</t>
        </is>
      </c>
      <c r="B22" s="32">
        <f>IF(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=0,"",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)</f>
        <v/>
      </c>
      <c r="C22" s="32">
        <f>IF(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=0,"",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)</f>
        <v/>
      </c>
      <c r="D22" s="32">
        <f>IF(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=0,"",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)</f>
        <v/>
      </c>
      <c r="E22" s="32">
        <f>IF(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I4:I43,"*교회차*",구역19!E4:E43,"*"&amp;$B31&amp;"*")=0,"",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I4:I43,"*교회차*",구역19!E4:E43,"*"&amp;$B31&amp;"*"))</f>
        <v/>
      </c>
      <c r="F22" s="32">
        <f>IF(COUNTIFS(구역19!F4:F43,"타교회",구역19!E4:E43,"*"&amp;$B31&amp;"*")+COUNTIFS(구역19!H4:H43,"*타교회*",구역19!E4:E43,"*"&amp;$B31&amp;"*")=0,"",COUNTIFS(구역19!F4:F43,"타교회",구역19!E4:E43,"*"&amp;$B31&amp;"*")+COUNTIFS(구역19!H4:H43,"*타교회*",구역19!E4:E43,"*"&amp;$B31&amp;"*"))</f>
        <v/>
      </c>
      <c r="G22" s="32">
        <f>IF(COUNTIFS(구역19!G4:G43,"타교회",구역19!E4:E43,"*"&amp;$B31&amp;"*")+COUNTIFS(구역19!I4:I43,"*타교회*",구역19!E4:E43,"*"&amp;$B31&amp;"*")=0,"",COUNTIFS(구역19!G4:G43,"타교회",구역19!E4:E43,"*"&amp;$B31&amp;"*")+COUNTIFS(구역19!I4:I43,"*타교회*",구역19!E4:E43,"*"&amp;$B31&amp;"*"))</f>
        <v/>
      </c>
      <c r="H22" s="32">
        <f>IF(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=0,"",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)</f>
        <v/>
      </c>
      <c r="I22" s="32">
        <f>IF(COUNTIFS(구역19!G4:G43,"개인차",구역19!E4:E43,"*"&amp;$B31&amp;"*")+(COUNTIFS(구역19!I4:I43,"?*",구역19!E4:E43,"*"&amp;$B31&amp;"*")-COUNTIFS(구역19!I4:I43,"*교회차*",구역19!E4:E43,"*"&amp;$B31&amp;"*")-COUNTIFS(구역19!I4:I43,"*타교회*",구역19!E4:E43,"*"&amp;$B31&amp;"*")-COUNTIFS(구역19!I4:I43,"*대중교통*",구역19!E4:E43,"*"&amp;$B31&amp;"*"))=0,"",COUNTIFS(구역19!G4:G43,"개인차",구역19!E4:E43,"*"&amp;$B31&amp;"*")+(COUNTIFS(구역19!I4:I43,"?*",구역19!E4:E43,"*"&amp;$B31&amp;"*")-COUNTIFS(구역19!I4:I43,"*교회차*",구역19!E4:E43,"*"&amp;$B31&amp;"*")-COUNTIFS(구역19!I4:I43,"*타교회*",구역19!E4:E43,"*"&amp;$B31&amp;"*")-COUNTIFS(구역19!I4:I43,"*대중교통*",구역19!E4:E43,"*"&amp;$B31&amp;"*")))</f>
        <v/>
      </c>
      <c r="J22" s="32">
        <f>IF(COUNTIFS(구역19!F4:F43,"대중교통",구역19!E4:E43,"*"&amp;$B31&amp;"*")+COUNTIFS(구역19!H4:H43,"*대중교통*",구역19!E4:E43,"*"&amp;$B31&amp;"*")=0,"",COUNTIFS(구역19!F4:F43,"대중교통",구역19!E4:E43,"*"&amp;$B31&amp;"*")+COUNTIFS(구역19!H4:H43,"*대중교통*",구역19!E4:E43,"*"&amp;$B31&amp;"*"))</f>
        <v/>
      </c>
      <c r="K22" s="32">
        <f>IF(COUNTIFS(구역19!G4:G43,"대중교통",구역19!E4:E43,"*"&amp;$B31&amp;"*")+COUNTIFS(구역19!I4:I43,"*대중교통*",구역19!E4:E43,"*"&amp;$B31&amp;"*")=0,"",COUNTIFS(구역19!G4:G43,"대중교통",구역19!E4:E43,"*"&amp;$B31&amp;"*")+COUNTIFS(구역19!I4:I43,"*대중교통*",구역19!E4:E43,"*"&amp;$B31&amp;"*"))</f>
        <v/>
      </c>
    </row>
    <row r="23">
      <c r="A23" s="32" t="inlineStr">
        <is>
          <t>구역20</t>
        </is>
      </c>
      <c r="B23" s="32">
        <f>IF(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=0,"",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)</f>
        <v/>
      </c>
      <c r="C23" s="32">
        <f>IF(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=0,"",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)</f>
        <v/>
      </c>
      <c r="D23" s="32">
        <f>IF(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=0,"",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)</f>
        <v/>
      </c>
      <c r="E23" s="32">
        <f>IF(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I4:I43,"*교회차*",구역20!E4:E43,"*"&amp;$B31&amp;"*")=0,"",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I4:I43,"*교회차*",구역20!E4:E43,"*"&amp;$B31&amp;"*"))</f>
        <v/>
      </c>
      <c r="F23" s="32">
        <f>IF(COUNTIFS(구역20!F4:F43,"타교회",구역20!E4:E43,"*"&amp;$B31&amp;"*")+COUNTIFS(구역20!H4:H43,"*타교회*",구역20!E4:E43,"*"&amp;$B31&amp;"*")=0,"",COUNTIFS(구역20!F4:F43,"타교회",구역20!E4:E43,"*"&amp;$B31&amp;"*")+COUNTIFS(구역20!H4:H43,"*타교회*",구역20!E4:E43,"*"&amp;$B31&amp;"*"))</f>
        <v/>
      </c>
      <c r="G23" s="32">
        <f>IF(COUNTIFS(구역20!G4:G43,"타교회",구역20!E4:E43,"*"&amp;$B31&amp;"*")+COUNTIFS(구역20!I4:I43,"*타교회*",구역20!E4:E43,"*"&amp;$B31&amp;"*")=0,"",COUNTIFS(구역20!G4:G43,"타교회",구역20!E4:E43,"*"&amp;$B31&amp;"*")+COUNTIFS(구역20!I4:I43,"*타교회*",구역20!E4:E43,"*"&amp;$B31&amp;"*"))</f>
        <v/>
      </c>
      <c r="H23" s="32">
        <f>IF(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=0,"",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)</f>
        <v/>
      </c>
      <c r="I23" s="32">
        <f>IF(COUNTIFS(구역20!G4:G43,"개인차",구역20!E4:E43,"*"&amp;$B31&amp;"*")+(COUNTIFS(구역20!I4:I43,"?*",구역20!E4:E43,"*"&amp;$B31&amp;"*")-COUNTIFS(구역20!I4:I43,"*교회차*",구역20!E4:E43,"*"&amp;$B31&amp;"*")-COUNTIFS(구역20!I4:I43,"*타교회*",구역20!E4:E43,"*"&amp;$B31&amp;"*")-COUNTIFS(구역20!I4:I43,"*대중교통*",구역20!E4:E43,"*"&amp;$B31&amp;"*"))=0,"",COUNTIFS(구역20!G4:G43,"개인차",구역20!E4:E43,"*"&amp;$B31&amp;"*")+(COUNTIFS(구역20!I4:I43,"?*",구역20!E4:E43,"*"&amp;$B31&amp;"*")-COUNTIFS(구역20!I4:I43,"*교회차*",구역20!E4:E43,"*"&amp;$B31&amp;"*")-COUNTIFS(구역20!I4:I43,"*타교회*",구역20!E4:E43,"*"&amp;$B31&amp;"*")-COUNTIFS(구역20!I4:I43,"*대중교통*",구역20!E4:E43,"*"&amp;$B31&amp;"*")))</f>
        <v/>
      </c>
      <c r="J23" s="32">
        <f>IF(COUNTIFS(구역20!F4:F43,"대중교통",구역20!E4:E43,"*"&amp;$B31&amp;"*")+COUNTIFS(구역20!H4:H43,"*대중교통*",구역20!E4:E43,"*"&amp;$B31&amp;"*")=0,"",COUNTIFS(구역20!F4:F43,"대중교통",구역20!E4:E43,"*"&amp;$B31&amp;"*")+COUNTIFS(구역20!H4:H43,"*대중교통*",구역20!E4:E43,"*"&amp;$B31&amp;"*"))</f>
        <v/>
      </c>
      <c r="K23" s="32">
        <f>IF(COUNTIFS(구역20!G4:G43,"대중교통",구역20!E4:E43,"*"&amp;$B31&amp;"*")+COUNTIFS(구역20!I4:I43,"*대중교통*",구역20!E4:E43,"*"&amp;$B31&amp;"*")=0,"",COUNTIFS(구역20!G4:G43,"대중교통",구역20!E4:E43,"*"&amp;$B31&amp;"*")+COUNTIFS(구역20!I4:I43,"*대중교통*",구역20!E4:E43,"*"&amp;$B31&amp;"*"))</f>
        <v/>
      </c>
    </row>
    <row r="24">
      <c r="A24" s="32" t="inlineStr">
        <is>
          <t>합  계</t>
        </is>
      </c>
      <c r="B24" s="32">
        <f>IF(SUM(B4:B23)=0,"",SUM(B4:B23))</f>
        <v/>
      </c>
      <c r="C24" s="32">
        <f>IF(SUM(C4:C23)=0,"",SUM(C4:C23))</f>
        <v/>
      </c>
      <c r="D24" s="32">
        <f>IF(SUM(D4:D23)=0,"",SUM(D4:D23))</f>
        <v/>
      </c>
      <c r="E24" s="32">
        <f>IF(SUM(E4:E23)=0,"",SUM(E4:E23))</f>
        <v/>
      </c>
      <c r="F24" s="32">
        <f>IF(SUM(F4:F23)=0,"",SUM(F4:F23))</f>
        <v/>
      </c>
      <c r="G24" s="32">
        <f>IF(SUM(G4:G23)=0,"",SUM(G4:G23))</f>
        <v/>
      </c>
      <c r="H24" s="32">
        <f>IF(SUM(H4:H23)=0,"",SUM(H4:H23))</f>
        <v/>
      </c>
      <c r="I24" s="32">
        <f>IF(SUM(I4:I23)=0,"",SUM(I4:I23))</f>
        <v/>
      </c>
      <c r="J24" s="32">
        <f>IF(SUM(J4:J23)=0,"",SUM(J4:J23))</f>
        <v/>
      </c>
      <c r="K24" s="32">
        <f>IF(SUM(K4:K23)=0,"",SUM(K4:K23))</f>
        <v/>
      </c>
    </row>
    <row r="26">
      <c r="A26" s="32" t="inlineStr">
        <is>
          <t>차수별 접수인원</t>
        </is>
      </c>
    </row>
    <row r="27">
      <c r="A27" s="32" t="inlineStr">
        <is>
          <t>차수</t>
        </is>
      </c>
      <c r="B27" s="32" t="inlineStr">
        <is>
          <t>1차</t>
        </is>
      </c>
      <c r="C27" s="32" t="inlineStr">
        <is>
          <t>2차</t>
        </is>
      </c>
      <c r="D27" s="32" t="inlineStr">
        <is>
          <t>3차</t>
        </is>
      </c>
      <c r="E27" s="32" t="inlineStr">
        <is>
          <t>4차</t>
        </is>
      </c>
      <c r="F27" s="32" t="inlineStr">
        <is>
          <t>5차</t>
        </is>
      </c>
      <c r="G27" s="32" t="inlineStr">
        <is>
          <t>6차</t>
        </is>
      </c>
      <c r="H27" s="32" t="inlineStr">
        <is>
          <t>7차</t>
        </is>
      </c>
      <c r="I27" s="32" t="inlineStr">
        <is>
          <t>8차</t>
        </is>
      </c>
      <c r="J27" s="32" t="inlineStr">
        <is>
          <t>계</t>
        </is>
      </c>
    </row>
    <row r="28">
      <c r="A28" s="32" t="inlineStr">
        <is>
          <t>접수인원</t>
        </is>
      </c>
      <c r="B28" s="32">
        <f>IF(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=0,"",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)</f>
        <v/>
      </c>
      <c r="C28" s="32">
        <f>IF(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=0,"",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)</f>
        <v/>
      </c>
      <c r="D28" s="32">
        <f>IF(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=0,"",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)</f>
        <v/>
      </c>
      <c r="E28" s="32">
        <f>IF(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=0,"",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)</f>
        <v/>
      </c>
      <c r="F28" s="32">
        <f>IF(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=0,"",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)</f>
        <v/>
      </c>
      <c r="G28" s="32">
        <f>IF(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=0,"",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)</f>
        <v/>
      </c>
      <c r="H28" s="32">
        <f>IF(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=0,"",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)</f>
        <v/>
      </c>
      <c r="I28" s="32">
        <f>IF(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=0,"",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)</f>
        <v/>
      </c>
      <c r="J28" s="32">
        <f>IF(SUM(B28:I28)=0,"",SUM(B28:I28))</f>
        <v/>
      </c>
    </row>
    <row r="31">
      <c r="A31" s="32" t="inlineStr">
        <is>
          <t>적용 차수</t>
        </is>
      </c>
      <c r="B31" s="32" t="inlineStr"/>
    </row>
  </sheetData>
  <mergeCells count="8">
    <mergeCell ref="F2:G2"/>
    <mergeCell ref="B2:C2"/>
    <mergeCell ref="H2:I2"/>
    <mergeCell ref="D2:E2"/>
    <mergeCell ref="A26:K26"/>
    <mergeCell ref="J2:K2"/>
    <mergeCell ref="A2:A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8호차</t>
        </is>
      </c>
      <c r="B1" s="35" t="n"/>
      <c r="C1" s="35" t="n"/>
      <c r="D1" s="35" t="n"/>
      <c r="E1" s="35" t="n"/>
      <c r="F1" s="35" t="n"/>
      <c r="H1" s="47" t="inlineStr">
        <is>
          <t>하행  8호차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9호차</t>
        </is>
      </c>
      <c r="B1" s="35" t="n"/>
      <c r="C1" s="35" t="n"/>
      <c r="D1" s="35" t="n"/>
      <c r="E1" s="35" t="n"/>
      <c r="F1" s="35" t="n"/>
      <c r="H1" s="47" t="inlineStr">
        <is>
          <t>하행  9호차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10호차</t>
        </is>
      </c>
      <c r="B1" s="35" t="n"/>
      <c r="C1" s="35" t="n"/>
      <c r="D1" s="35" t="n"/>
      <c r="E1" s="35" t="n"/>
      <c r="F1" s="35" t="n"/>
      <c r="H1" s="47" t="inlineStr">
        <is>
          <t>하행  10호차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2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  <row r="89" ht="30" customHeight="1" s="33">
      <c r="A89" s="47" t="inlineStr">
        <is>
          <t>교회차3  ─  본대 출발</t>
        </is>
      </c>
      <c r="B89" s="35" t="n"/>
      <c r="C89" s="35" t="n"/>
      <c r="D89" s="35" t="n"/>
      <c r="E89" s="35" t="n"/>
      <c r="F89" s="35" t="n"/>
      <c r="G89" s="35" t="n"/>
      <c r="H89" s="35" t="n"/>
      <c r="I89" s="35" t="n"/>
      <c r="J89" s="35" t="n"/>
      <c r="K89" s="35" t="n"/>
    </row>
    <row r="90" ht="21.75" customHeight="1" s="33">
      <c r="A90" s="64" t="inlineStr">
        <is>
          <t>상행</t>
        </is>
      </c>
      <c r="B90" s="35" t="n"/>
      <c r="C90" s="35" t="n"/>
      <c r="D90" s="35" t="n"/>
      <c r="E90" s="35" t="n"/>
      <c r="G90" s="64" t="inlineStr">
        <is>
          <t>하행</t>
        </is>
      </c>
      <c r="H90" s="35" t="n"/>
      <c r="I90" s="35" t="n"/>
      <c r="J90" s="35" t="n"/>
      <c r="K90" s="35" t="n"/>
    </row>
    <row r="91" ht="21.75" customHeight="1" s="33">
      <c r="A91" s="48" t="inlineStr">
        <is>
          <t>NO</t>
        </is>
      </c>
      <c r="B91" s="49" t="inlineStr">
        <is>
          <t>구역</t>
        </is>
      </c>
      <c r="C91" s="49" t="inlineStr">
        <is>
          <t>회(부서)</t>
        </is>
      </c>
      <c r="D91" s="49" t="inlineStr">
        <is>
          <t>성 명</t>
        </is>
      </c>
      <c r="E91" s="49" t="inlineStr">
        <is>
          <t>비고</t>
        </is>
      </c>
      <c r="G91" s="48" t="inlineStr">
        <is>
          <t>NO</t>
        </is>
      </c>
      <c r="H91" s="49" t="inlineStr">
        <is>
          <t>구역</t>
        </is>
      </c>
      <c r="I91" s="49" t="inlineStr">
        <is>
          <t>회(부서)</t>
        </is>
      </c>
      <c r="J91" s="49" t="inlineStr">
        <is>
          <t>성 명</t>
        </is>
      </c>
      <c r="K91" s="49" t="inlineStr">
        <is>
          <t>비고</t>
        </is>
      </c>
    </row>
    <row r="92" ht="19.5" customHeight="1" s="33">
      <c r="A92" s="41" t="n">
        <v>1</v>
      </c>
      <c r="B92" s="42" t="n"/>
      <c r="C92" s="42" t="n"/>
      <c r="D92" s="42" t="n"/>
      <c r="E92" s="42" t="n"/>
      <c r="H92" s="42" t="n"/>
      <c r="I92" s="42" t="n"/>
      <c r="J92" s="42" t="n"/>
      <c r="K92" s="42" t="n"/>
    </row>
    <row r="93" ht="19.5" customHeight="1" s="33">
      <c r="A93" s="43" t="n">
        <v>2</v>
      </c>
      <c r="B93" s="44" t="n"/>
      <c r="C93" s="44" t="n"/>
      <c r="D93" s="44" t="n"/>
      <c r="E93" s="44" t="n"/>
      <c r="H93" s="44" t="n"/>
      <c r="I93" s="44" t="n"/>
      <c r="J93" s="44" t="n"/>
      <c r="K93" s="44" t="n"/>
    </row>
    <row r="94" ht="19.5" customHeight="1" s="33">
      <c r="A94" s="41" t="n">
        <v>3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4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5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6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7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8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9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19.5" customHeight="1" s="33">
      <c r="A101" s="43" t="n">
        <v>10</v>
      </c>
      <c r="B101" s="44" t="n"/>
      <c r="C101" s="44" t="n"/>
      <c r="D101" s="44" t="n"/>
      <c r="E101" s="44" t="n"/>
      <c r="H101" s="44" t="n"/>
      <c r="I101" s="44" t="n"/>
      <c r="J101" s="44" t="n"/>
      <c r="K101" s="44" t="n"/>
    </row>
    <row r="102" ht="19.5" customHeight="1" s="33">
      <c r="A102" s="41" t="n">
        <v>11</v>
      </c>
      <c r="B102" s="42" t="n"/>
      <c r="C102" s="42" t="n"/>
      <c r="D102" s="42" t="n"/>
      <c r="E102" s="42" t="n"/>
      <c r="H102" s="42" t="n"/>
      <c r="I102" s="42" t="n"/>
      <c r="J102" s="42" t="n"/>
      <c r="K102" s="42" t="n"/>
    </row>
    <row r="103" ht="19.5" customHeight="1" s="33">
      <c r="A103" s="43" t="n">
        <v>12</v>
      </c>
      <c r="B103" s="44" t="n"/>
      <c r="C103" s="44" t="n"/>
      <c r="D103" s="44" t="n"/>
      <c r="E103" s="44" t="n"/>
      <c r="H103" s="44" t="n"/>
      <c r="I103" s="44" t="n"/>
      <c r="J103" s="44" t="n"/>
      <c r="K103" s="44" t="n"/>
    </row>
    <row r="104" ht="19.5" customHeight="1" s="33">
      <c r="A104" s="41" t="n">
        <v>13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14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15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16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17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18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19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19.5" customHeight="1" s="33">
      <c r="A111" s="43" t="n">
        <v>20</v>
      </c>
      <c r="B111" s="44" t="n"/>
      <c r="C111" s="44" t="n"/>
      <c r="D111" s="44" t="n"/>
      <c r="E111" s="44" t="n"/>
      <c r="H111" s="44" t="n"/>
      <c r="I111" s="44" t="n"/>
      <c r="J111" s="44" t="n"/>
      <c r="K111" s="44" t="n"/>
    </row>
    <row r="112" ht="19.5" customHeight="1" s="33">
      <c r="A112" s="41" t="n">
        <v>21</v>
      </c>
      <c r="B112" s="42" t="n"/>
      <c r="C112" s="42" t="n"/>
      <c r="D112" s="42" t="n"/>
      <c r="E112" s="42" t="n"/>
      <c r="H112" s="42" t="n"/>
      <c r="I112" s="42" t="n"/>
      <c r="J112" s="42" t="n"/>
      <c r="K112" s="42" t="n"/>
    </row>
    <row r="113" ht="19.5" customHeight="1" s="33">
      <c r="A113" s="43" t="n">
        <v>22</v>
      </c>
      <c r="B113" s="44" t="n"/>
      <c r="C113" s="44" t="n"/>
      <c r="D113" s="44" t="n"/>
      <c r="E113" s="44" t="n"/>
      <c r="H113" s="44" t="n"/>
      <c r="I113" s="44" t="n"/>
      <c r="J113" s="44" t="n"/>
      <c r="K113" s="44" t="n"/>
    </row>
    <row r="114" ht="19.5" customHeight="1" s="33">
      <c r="A114" s="41" t="n">
        <v>23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24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25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26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27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28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29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19.5" customHeight="1" s="33">
      <c r="A121" s="43" t="n">
        <v>30</v>
      </c>
      <c r="B121" s="44" t="n"/>
      <c r="C121" s="44" t="n"/>
      <c r="D121" s="44" t="n"/>
      <c r="E121" s="44" t="n"/>
      <c r="H121" s="44" t="n"/>
      <c r="I121" s="44" t="n"/>
      <c r="J121" s="44" t="n"/>
      <c r="K121" s="44" t="n"/>
    </row>
    <row r="122" ht="19.5" customHeight="1" s="33">
      <c r="A122" s="41" t="n">
        <v>31</v>
      </c>
      <c r="B122" s="42" t="n"/>
      <c r="C122" s="42" t="n"/>
      <c r="D122" s="42" t="n"/>
      <c r="E122" s="42" t="n"/>
      <c r="H122" s="42" t="n"/>
      <c r="I122" s="42" t="n"/>
      <c r="J122" s="42" t="n"/>
      <c r="K122" s="42" t="n"/>
    </row>
    <row r="123" ht="19.5" customHeight="1" s="33">
      <c r="A123" s="43" t="n">
        <v>32</v>
      </c>
      <c r="B123" s="44" t="n"/>
      <c r="C123" s="44" t="n"/>
      <c r="D123" s="44" t="n"/>
      <c r="E123" s="44" t="n"/>
      <c r="H123" s="44" t="n"/>
      <c r="I123" s="44" t="n"/>
      <c r="J123" s="44" t="n"/>
      <c r="K123" s="44" t="n"/>
    </row>
    <row r="124" ht="19.5" customHeight="1" s="33">
      <c r="A124" s="41" t="n">
        <v>33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34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35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36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37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38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39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19.5" customHeight="1" s="33">
      <c r="A131" s="43" t="n">
        <v>40</v>
      </c>
      <c r="B131" s="44" t="n"/>
      <c r="C131" s="44" t="n"/>
      <c r="D131" s="44" t="n"/>
      <c r="E131" s="44" t="n"/>
      <c r="H131" s="44" t="n"/>
      <c r="I131" s="44" t="n"/>
      <c r="J131" s="44" t="n"/>
      <c r="K131" s="44" t="n"/>
    </row>
    <row r="132" ht="15" customHeight="1" s="33">
      <c r="A132" s="45" t="inlineStr">
        <is>
          <t>교회차3  합  계</t>
        </is>
      </c>
      <c r="B132" s="35" t="n"/>
      <c r="C132" s="35" t="n"/>
      <c r="D132" s="35" t="n"/>
      <c r="E132" s="35" t="n"/>
      <c r="G132" s="45" t="inlineStr">
        <is>
          <t>교회차3  합  계</t>
        </is>
      </c>
      <c r="H132" s="35" t="n"/>
      <c r="I132" s="35" t="n"/>
      <c r="J132" s="35" t="n"/>
      <c r="K132" s="35" t="n"/>
    </row>
    <row r="133" ht="30" customHeight="1" s="33">
      <c r="A133" s="47" t="inlineStr">
        <is>
          <t>교회차4  ─  본대 출발</t>
        </is>
      </c>
      <c r="B133" s="35" t="n"/>
      <c r="C133" s="35" t="n"/>
      <c r="D133" s="35" t="n"/>
      <c r="E133" s="35" t="n"/>
      <c r="F133" s="35" t="n"/>
      <c r="G133" s="35" t="n"/>
      <c r="H133" s="35" t="n"/>
      <c r="I133" s="35" t="n"/>
      <c r="J133" s="35" t="n"/>
      <c r="K133" s="35" t="n"/>
    </row>
    <row r="134" ht="21.75" customHeight="1" s="33">
      <c r="A134" s="64" t="inlineStr">
        <is>
          <t>상행</t>
        </is>
      </c>
      <c r="B134" s="35" t="n"/>
      <c r="C134" s="35" t="n"/>
      <c r="D134" s="35" t="n"/>
      <c r="E134" s="35" t="n"/>
      <c r="G134" s="64" t="inlineStr">
        <is>
          <t>하행</t>
        </is>
      </c>
      <c r="H134" s="35" t="n"/>
      <c r="I134" s="35" t="n"/>
      <c r="J134" s="35" t="n"/>
      <c r="K134" s="35" t="n"/>
    </row>
    <row r="135" ht="21.75" customHeight="1" s="33">
      <c r="A135" s="48" t="inlineStr">
        <is>
          <t>NO</t>
        </is>
      </c>
      <c r="B135" s="49" t="inlineStr">
        <is>
          <t>구역</t>
        </is>
      </c>
      <c r="C135" s="49" t="inlineStr">
        <is>
          <t>회(부서)</t>
        </is>
      </c>
      <c r="D135" s="49" t="inlineStr">
        <is>
          <t>성 명</t>
        </is>
      </c>
      <c r="E135" s="49" t="inlineStr">
        <is>
          <t>비고</t>
        </is>
      </c>
      <c r="G135" s="48" t="inlineStr">
        <is>
          <t>NO</t>
        </is>
      </c>
      <c r="H135" s="49" t="inlineStr">
        <is>
          <t>구역</t>
        </is>
      </c>
      <c r="I135" s="49" t="inlineStr">
        <is>
          <t>회(부서)</t>
        </is>
      </c>
      <c r="J135" s="49" t="inlineStr">
        <is>
          <t>성 명</t>
        </is>
      </c>
      <c r="K135" s="49" t="inlineStr">
        <is>
          <t>비고</t>
        </is>
      </c>
    </row>
    <row r="136" ht="19.5" customHeight="1" s="33">
      <c r="A136" s="41" t="n">
        <v>1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2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3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4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5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19.5" customHeight="1" s="33">
      <c r="A141" s="43" t="n">
        <v>6</v>
      </c>
      <c r="B141" s="44" t="n"/>
      <c r="C141" s="44" t="n"/>
      <c r="D141" s="44" t="n"/>
      <c r="E141" s="44" t="n"/>
      <c r="H141" s="44" t="n"/>
      <c r="I141" s="44" t="n"/>
      <c r="J141" s="44" t="n"/>
      <c r="K141" s="44" t="n"/>
    </row>
    <row r="142" ht="19.5" customHeight="1" s="33">
      <c r="A142" s="41" t="n">
        <v>7</v>
      </c>
      <c r="B142" s="42" t="n"/>
      <c r="C142" s="42" t="n"/>
      <c r="D142" s="42" t="n"/>
      <c r="E142" s="42" t="n"/>
      <c r="H142" s="42" t="n"/>
      <c r="I142" s="42" t="n"/>
      <c r="J142" s="42" t="n"/>
      <c r="K142" s="42" t="n"/>
    </row>
    <row r="143" ht="19.5" customHeight="1" s="33">
      <c r="A143" s="43" t="n">
        <v>8</v>
      </c>
      <c r="B143" s="44" t="n"/>
      <c r="C143" s="44" t="n"/>
      <c r="D143" s="44" t="n"/>
      <c r="E143" s="44" t="n"/>
      <c r="H143" s="44" t="n"/>
      <c r="I143" s="44" t="n"/>
      <c r="J143" s="44" t="n"/>
      <c r="K143" s="44" t="n"/>
    </row>
    <row r="144" ht="19.5" customHeight="1" s="33">
      <c r="A144" s="41" t="n">
        <v>9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10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11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12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13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14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15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19.5" customHeight="1" s="33">
      <c r="A151" s="43" t="n">
        <v>16</v>
      </c>
      <c r="B151" s="44" t="n"/>
      <c r="C151" s="44" t="n"/>
      <c r="D151" s="44" t="n"/>
      <c r="E151" s="44" t="n"/>
      <c r="H151" s="44" t="n"/>
      <c r="I151" s="44" t="n"/>
      <c r="J151" s="44" t="n"/>
      <c r="K151" s="44" t="n"/>
    </row>
    <row r="152" ht="19.5" customHeight="1" s="33">
      <c r="A152" s="41" t="n">
        <v>17</v>
      </c>
      <c r="B152" s="42" t="n"/>
      <c r="C152" s="42" t="n"/>
      <c r="D152" s="42" t="n"/>
      <c r="E152" s="42" t="n"/>
      <c r="H152" s="42" t="n"/>
      <c r="I152" s="42" t="n"/>
      <c r="J152" s="42" t="n"/>
      <c r="K152" s="42" t="n"/>
    </row>
    <row r="153" ht="19.5" customHeight="1" s="33">
      <c r="A153" s="43" t="n">
        <v>18</v>
      </c>
      <c r="B153" s="44" t="n"/>
      <c r="C153" s="44" t="n"/>
      <c r="D153" s="44" t="n"/>
      <c r="E153" s="44" t="n"/>
      <c r="H153" s="44" t="n"/>
      <c r="I153" s="44" t="n"/>
      <c r="J153" s="44" t="n"/>
      <c r="K153" s="44" t="n"/>
    </row>
    <row r="154" ht="19.5" customHeight="1" s="33">
      <c r="A154" s="41" t="n">
        <v>19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20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21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22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23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24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25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19.5" customHeight="1" s="33">
      <c r="A161" s="43" t="n">
        <v>26</v>
      </c>
      <c r="B161" s="44" t="n"/>
      <c r="C161" s="44" t="n"/>
      <c r="D161" s="44" t="n"/>
      <c r="E161" s="44" t="n"/>
      <c r="H161" s="44" t="n"/>
      <c r="I161" s="44" t="n"/>
      <c r="J161" s="44" t="n"/>
      <c r="K161" s="44" t="n"/>
    </row>
    <row r="162" ht="19.5" customHeight="1" s="33">
      <c r="A162" s="41" t="n">
        <v>27</v>
      </c>
      <c r="B162" s="42" t="n"/>
      <c r="C162" s="42" t="n"/>
      <c r="D162" s="42" t="n"/>
      <c r="E162" s="42" t="n"/>
      <c r="H162" s="42" t="n"/>
      <c r="I162" s="42" t="n"/>
      <c r="J162" s="42" t="n"/>
      <c r="K162" s="42" t="n"/>
    </row>
    <row r="163" ht="19.5" customHeight="1" s="33">
      <c r="A163" s="43" t="n">
        <v>28</v>
      </c>
      <c r="B163" s="44" t="n"/>
      <c r="C163" s="44" t="n"/>
      <c r="D163" s="44" t="n"/>
      <c r="E163" s="44" t="n"/>
      <c r="H163" s="44" t="n"/>
      <c r="I163" s="44" t="n"/>
      <c r="J163" s="44" t="n"/>
      <c r="K163" s="44" t="n"/>
    </row>
    <row r="164" ht="19.5" customHeight="1" s="33">
      <c r="A164" s="41" t="n">
        <v>29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30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31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32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33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34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35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19.5" customHeight="1" s="33">
      <c r="A171" s="43" t="n">
        <v>36</v>
      </c>
      <c r="B171" s="44" t="n"/>
      <c r="C171" s="44" t="n"/>
      <c r="D171" s="44" t="n"/>
      <c r="E171" s="44" t="n"/>
      <c r="H171" s="44" t="n"/>
      <c r="I171" s="44" t="n"/>
      <c r="J171" s="44" t="n"/>
      <c r="K171" s="44" t="n"/>
    </row>
    <row r="172" ht="19.5" customHeight="1" s="33">
      <c r="A172" s="41" t="n">
        <v>37</v>
      </c>
      <c r="B172" s="42" t="n"/>
      <c r="C172" s="42" t="n"/>
      <c r="D172" s="42" t="n"/>
      <c r="E172" s="42" t="n"/>
      <c r="H172" s="42" t="n"/>
      <c r="I172" s="42" t="n"/>
      <c r="J172" s="42" t="n"/>
      <c r="K172" s="42" t="n"/>
    </row>
    <row r="173" ht="19.5" customHeight="1" s="33">
      <c r="A173" s="43" t="n">
        <v>38</v>
      </c>
      <c r="B173" s="44" t="n"/>
      <c r="C173" s="44" t="n"/>
      <c r="D173" s="44" t="n"/>
      <c r="E173" s="44" t="n"/>
      <c r="H173" s="44" t="n"/>
      <c r="I173" s="44" t="n"/>
      <c r="J173" s="44" t="n"/>
      <c r="K173" s="44" t="n"/>
    </row>
    <row r="174" ht="19.5" customHeight="1" s="33">
      <c r="A174" s="41" t="n">
        <v>39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40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5" customHeight="1" s="33">
      <c r="A176" s="45" t="inlineStr">
        <is>
          <t>교회차4  합  계</t>
        </is>
      </c>
      <c r="B176" s="35" t="n"/>
      <c r="C176" s="35" t="n"/>
      <c r="D176" s="35" t="n"/>
      <c r="E176" s="35" t="n"/>
      <c r="G176" s="45" t="inlineStr">
        <is>
          <t>교회차4  합  계</t>
        </is>
      </c>
      <c r="H176" s="35" t="n"/>
      <c r="I176" s="35" t="n"/>
      <c r="J176" s="35" t="n"/>
      <c r="K176" s="35" t="n"/>
    </row>
    <row r="177" ht="30" customHeight="1" s="33">
      <c r="A177" s="47" t="inlineStr">
        <is>
          <t>교회차5  ─  본대 출발</t>
        </is>
      </c>
      <c r="B177" s="35" t="n"/>
      <c r="C177" s="35" t="n"/>
      <c r="D177" s="35" t="n"/>
      <c r="E177" s="35" t="n"/>
      <c r="F177" s="35" t="n"/>
      <c r="G177" s="35" t="n"/>
      <c r="H177" s="35" t="n"/>
      <c r="I177" s="35" t="n"/>
      <c r="J177" s="35" t="n"/>
      <c r="K177" s="35" t="n"/>
    </row>
    <row r="178" ht="21.75" customHeight="1" s="33">
      <c r="A178" s="64" t="inlineStr">
        <is>
          <t>상행</t>
        </is>
      </c>
      <c r="B178" s="35" t="n"/>
      <c r="C178" s="35" t="n"/>
      <c r="D178" s="35" t="n"/>
      <c r="E178" s="35" t="n"/>
      <c r="G178" s="64" t="inlineStr">
        <is>
          <t>하행</t>
        </is>
      </c>
      <c r="H178" s="35" t="n"/>
      <c r="I178" s="35" t="n"/>
      <c r="J178" s="35" t="n"/>
      <c r="K178" s="35" t="n"/>
    </row>
    <row r="179" ht="21.75" customHeight="1" s="33">
      <c r="A179" s="48" t="inlineStr">
        <is>
          <t>NO</t>
        </is>
      </c>
      <c r="B179" s="49" t="inlineStr">
        <is>
          <t>구역</t>
        </is>
      </c>
      <c r="C179" s="49" t="inlineStr">
        <is>
          <t>회(부서)</t>
        </is>
      </c>
      <c r="D179" s="49" t="inlineStr">
        <is>
          <t>성 명</t>
        </is>
      </c>
      <c r="E179" s="49" t="inlineStr">
        <is>
          <t>비고</t>
        </is>
      </c>
      <c r="G179" s="48" t="inlineStr">
        <is>
          <t>NO</t>
        </is>
      </c>
      <c r="H179" s="49" t="inlineStr">
        <is>
          <t>구역</t>
        </is>
      </c>
      <c r="I179" s="49" t="inlineStr">
        <is>
          <t>회(부서)</t>
        </is>
      </c>
      <c r="J179" s="49" t="inlineStr">
        <is>
          <t>성 명</t>
        </is>
      </c>
      <c r="K179" s="49" t="inlineStr">
        <is>
          <t>비고</t>
        </is>
      </c>
    </row>
    <row r="180" ht="19.5" customHeight="1" s="33">
      <c r="A180" s="41" t="n">
        <v>1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19.5" customHeight="1" s="33">
      <c r="A181" s="43" t="n">
        <v>2</v>
      </c>
      <c r="B181" s="44" t="n"/>
      <c r="C181" s="44" t="n"/>
      <c r="D181" s="44" t="n"/>
      <c r="E181" s="44" t="n"/>
      <c r="H181" s="44" t="n"/>
      <c r="I181" s="44" t="n"/>
      <c r="J181" s="44" t="n"/>
      <c r="K181" s="44" t="n"/>
    </row>
    <row r="182" ht="19.5" customHeight="1" s="33">
      <c r="A182" s="41" t="n">
        <v>3</v>
      </c>
      <c r="B182" s="42" t="n"/>
      <c r="C182" s="42" t="n"/>
      <c r="D182" s="42" t="n"/>
      <c r="E182" s="42" t="n"/>
      <c r="H182" s="42" t="n"/>
      <c r="I182" s="42" t="n"/>
      <c r="J182" s="42" t="n"/>
      <c r="K182" s="42" t="n"/>
    </row>
    <row r="183" ht="19.5" customHeight="1" s="33">
      <c r="A183" s="43" t="n">
        <v>4</v>
      </c>
      <c r="B183" s="44" t="n"/>
      <c r="C183" s="44" t="n"/>
      <c r="D183" s="44" t="n"/>
      <c r="E183" s="44" t="n"/>
      <c r="H183" s="44" t="n"/>
      <c r="I183" s="44" t="n"/>
      <c r="J183" s="44" t="n"/>
      <c r="K183" s="44" t="n"/>
    </row>
    <row r="184" ht="19.5" customHeight="1" s="33">
      <c r="A184" s="41" t="n">
        <v>5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6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7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8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9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10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11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19.5" customHeight="1" s="33">
      <c r="A191" s="43" t="n">
        <v>12</v>
      </c>
      <c r="B191" s="44" t="n"/>
      <c r="C191" s="44" t="n"/>
      <c r="D191" s="44" t="n"/>
      <c r="E191" s="44" t="n"/>
      <c r="H191" s="44" t="n"/>
      <c r="I191" s="44" t="n"/>
      <c r="J191" s="44" t="n"/>
      <c r="K191" s="44" t="n"/>
    </row>
    <row r="192" ht="19.5" customHeight="1" s="33">
      <c r="A192" s="41" t="n">
        <v>13</v>
      </c>
      <c r="B192" s="42" t="n"/>
      <c r="C192" s="42" t="n"/>
      <c r="D192" s="42" t="n"/>
      <c r="E192" s="42" t="n"/>
      <c r="H192" s="42" t="n"/>
      <c r="I192" s="42" t="n"/>
      <c r="J192" s="42" t="n"/>
      <c r="K192" s="42" t="n"/>
    </row>
    <row r="193" ht="19.5" customHeight="1" s="33">
      <c r="A193" s="43" t="n">
        <v>14</v>
      </c>
      <c r="B193" s="44" t="n"/>
      <c r="C193" s="44" t="n"/>
      <c r="D193" s="44" t="n"/>
      <c r="E193" s="44" t="n"/>
      <c r="H193" s="44" t="n"/>
      <c r="I193" s="44" t="n"/>
      <c r="J193" s="44" t="n"/>
      <c r="K193" s="44" t="n"/>
    </row>
    <row r="194" ht="19.5" customHeight="1" s="33">
      <c r="A194" s="41" t="n">
        <v>15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16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17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18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19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20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21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19.5" customHeight="1" s="33">
      <c r="A201" s="43" t="n">
        <v>22</v>
      </c>
      <c r="B201" s="44" t="n"/>
      <c r="C201" s="44" t="n"/>
      <c r="D201" s="44" t="n"/>
      <c r="E201" s="44" t="n"/>
      <c r="H201" s="44" t="n"/>
      <c r="I201" s="44" t="n"/>
      <c r="J201" s="44" t="n"/>
      <c r="K201" s="44" t="n"/>
    </row>
    <row r="202" ht="19.5" customHeight="1" s="33">
      <c r="A202" s="41" t="n">
        <v>23</v>
      </c>
      <c r="B202" s="42" t="n"/>
      <c r="C202" s="42" t="n"/>
      <c r="D202" s="42" t="n"/>
      <c r="E202" s="42" t="n"/>
      <c r="H202" s="42" t="n"/>
      <c r="I202" s="42" t="n"/>
      <c r="J202" s="42" t="n"/>
      <c r="K202" s="42" t="n"/>
    </row>
    <row r="203" ht="19.5" customHeight="1" s="33">
      <c r="A203" s="43" t="n">
        <v>24</v>
      </c>
      <c r="B203" s="44" t="n"/>
      <c r="C203" s="44" t="n"/>
      <c r="D203" s="44" t="n"/>
      <c r="E203" s="44" t="n"/>
      <c r="H203" s="44" t="n"/>
      <c r="I203" s="44" t="n"/>
      <c r="J203" s="44" t="n"/>
      <c r="K203" s="44" t="n"/>
    </row>
    <row r="204" ht="19.5" customHeight="1" s="33">
      <c r="A204" s="41" t="n">
        <v>25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26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27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28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29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30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31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19.5" customHeight="1" s="33">
      <c r="A211" s="43" t="n">
        <v>32</v>
      </c>
      <c r="B211" s="44" t="n"/>
      <c r="C211" s="44" t="n"/>
      <c r="D211" s="44" t="n"/>
      <c r="E211" s="44" t="n"/>
      <c r="H211" s="44" t="n"/>
      <c r="I211" s="44" t="n"/>
      <c r="J211" s="44" t="n"/>
      <c r="K211" s="44" t="n"/>
    </row>
    <row r="212" ht="19.5" customHeight="1" s="33">
      <c r="A212" s="41" t="n">
        <v>33</v>
      </c>
      <c r="B212" s="42" t="n"/>
      <c r="C212" s="42" t="n"/>
      <c r="D212" s="42" t="n"/>
      <c r="E212" s="42" t="n"/>
      <c r="H212" s="42" t="n"/>
      <c r="I212" s="42" t="n"/>
      <c r="J212" s="42" t="n"/>
      <c r="K212" s="42" t="n"/>
    </row>
    <row r="213" ht="19.5" customHeight="1" s="33">
      <c r="A213" s="43" t="n">
        <v>34</v>
      </c>
      <c r="B213" s="44" t="n"/>
      <c r="C213" s="44" t="n"/>
      <c r="D213" s="44" t="n"/>
      <c r="E213" s="44" t="n"/>
      <c r="H213" s="44" t="n"/>
      <c r="I213" s="44" t="n"/>
      <c r="J213" s="44" t="n"/>
      <c r="K213" s="44" t="n"/>
    </row>
    <row r="214" ht="19.5" customHeight="1" s="33">
      <c r="A214" s="41" t="n">
        <v>35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36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37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38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39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40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5" customHeight="1" s="33">
      <c r="A220" s="45" t="inlineStr">
        <is>
          <t>교회차5  합  계</t>
        </is>
      </c>
      <c r="B220" s="35" t="n"/>
      <c r="C220" s="35" t="n"/>
      <c r="D220" s="35" t="n"/>
      <c r="E220" s="35" t="n"/>
      <c r="G220" s="45" t="inlineStr">
        <is>
          <t>교회차5  합  계</t>
        </is>
      </c>
      <c r="H220" s="35" t="n"/>
      <c r="I220" s="35" t="n"/>
      <c r="J220" s="35" t="n"/>
      <c r="K220" s="35" t="n"/>
    </row>
  </sheetData>
  <mergeCells count="25">
    <mergeCell ref="G2:K2"/>
    <mergeCell ref="A178:E178"/>
    <mergeCell ref="G178:K178"/>
    <mergeCell ref="A132:E132"/>
    <mergeCell ref="G176:K176"/>
    <mergeCell ref="A88:E88"/>
    <mergeCell ref="G132:K132"/>
    <mergeCell ref="A45:K45"/>
    <mergeCell ref="A1:K1"/>
    <mergeCell ref="A90:E90"/>
    <mergeCell ref="A46:E46"/>
    <mergeCell ref="A133:K133"/>
    <mergeCell ref="A177:K177"/>
    <mergeCell ref="G220:K220"/>
    <mergeCell ref="A89:K89"/>
    <mergeCell ref="A2:E2"/>
    <mergeCell ref="G88:K88"/>
    <mergeCell ref="A134:E134"/>
    <mergeCell ref="A220:E220"/>
    <mergeCell ref="G44:K44"/>
    <mergeCell ref="G90:K90"/>
    <mergeCell ref="G134:K134"/>
    <mergeCell ref="A44:E44"/>
    <mergeCell ref="G46:K46"/>
    <mergeCell ref="A176:E17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27.75" customHeight="1" s="33">
      <c r="A201" s="47" t="inlineStr">
        <is>
          <t>개인차21</t>
        </is>
      </c>
      <c r="B201" s="35" t="n"/>
      <c r="C201" s="35" t="n"/>
      <c r="D201" s="35" t="n"/>
      <c r="E201" s="35" t="n"/>
      <c r="F201" s="35" t="n"/>
      <c r="G201" s="35" t="n"/>
      <c r="H201" s="35" t="n"/>
      <c r="I201" s="35" t="n"/>
      <c r="J201" s="35" t="n"/>
      <c r="K201" s="35" t="n"/>
    </row>
    <row r="202" ht="15" customHeight="1" s="33">
      <c r="A202" s="64" t="inlineStr">
        <is>
          <t>상행</t>
        </is>
      </c>
      <c r="B202" s="35" t="n"/>
      <c r="C202" s="35" t="n"/>
      <c r="D202" s="35" t="n"/>
      <c r="E202" s="35" t="n"/>
      <c r="G202" s="64" t="inlineStr">
        <is>
          <t>하행</t>
        </is>
      </c>
      <c r="H202" s="35" t="n"/>
      <c r="I202" s="35" t="n"/>
      <c r="J202" s="35" t="n"/>
      <c r="K202" s="35" t="n"/>
    </row>
    <row r="203" ht="15" customHeight="1" s="33">
      <c r="A203" s="48" t="inlineStr">
        <is>
          <t>no</t>
        </is>
      </c>
      <c r="B203" s="49" t="inlineStr">
        <is>
          <t>구역</t>
        </is>
      </c>
      <c r="C203" s="49" t="inlineStr">
        <is>
          <t>회(부서)</t>
        </is>
      </c>
      <c r="D203" s="49" t="inlineStr">
        <is>
          <t>성 명</t>
        </is>
      </c>
      <c r="E203" s="49" t="inlineStr">
        <is>
          <t>비고</t>
        </is>
      </c>
      <c r="G203" s="48" t="inlineStr">
        <is>
          <t>no</t>
        </is>
      </c>
      <c r="H203" s="49" t="inlineStr">
        <is>
          <t>구역</t>
        </is>
      </c>
      <c r="I203" s="49" t="inlineStr">
        <is>
          <t>회(부서)</t>
        </is>
      </c>
      <c r="J203" s="49" t="inlineStr">
        <is>
          <t>성 명</t>
        </is>
      </c>
      <c r="K203" s="49" t="inlineStr">
        <is>
          <t>비고</t>
        </is>
      </c>
    </row>
    <row r="204" ht="19.5" customHeight="1" s="33">
      <c r="A204" s="41" t="n">
        <v>1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3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4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5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6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7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27.75" customHeight="1" s="33">
      <c r="A211" s="47" t="inlineStr">
        <is>
          <t>개인차22</t>
        </is>
      </c>
      <c r="B211" s="35" t="n"/>
      <c r="C211" s="35" t="n"/>
      <c r="D211" s="35" t="n"/>
      <c r="E211" s="35" t="n"/>
      <c r="F211" s="35" t="n"/>
      <c r="G211" s="35" t="n"/>
      <c r="H211" s="35" t="n"/>
      <c r="I211" s="35" t="n"/>
      <c r="J211" s="35" t="n"/>
      <c r="K211" s="35" t="n"/>
    </row>
    <row r="212" ht="15" customHeight="1" s="33">
      <c r="A212" s="64" t="inlineStr">
        <is>
          <t>상행</t>
        </is>
      </c>
      <c r="B212" s="35" t="n"/>
      <c r="C212" s="35" t="n"/>
      <c r="D212" s="35" t="n"/>
      <c r="E212" s="35" t="n"/>
      <c r="G212" s="64" t="inlineStr">
        <is>
          <t>하행</t>
        </is>
      </c>
      <c r="H212" s="35" t="n"/>
      <c r="I212" s="35" t="n"/>
      <c r="J212" s="35" t="n"/>
      <c r="K212" s="35" t="n"/>
    </row>
    <row r="213" ht="15" customHeight="1" s="33">
      <c r="A213" s="48" t="inlineStr">
        <is>
          <t>no</t>
        </is>
      </c>
      <c r="B213" s="49" t="inlineStr">
        <is>
          <t>구역</t>
        </is>
      </c>
      <c r="C213" s="49" t="inlineStr">
        <is>
          <t>회(부서)</t>
        </is>
      </c>
      <c r="D213" s="49" t="inlineStr">
        <is>
          <t>성 명</t>
        </is>
      </c>
      <c r="E213" s="49" t="inlineStr">
        <is>
          <t>비고</t>
        </is>
      </c>
      <c r="G213" s="48" t="inlineStr">
        <is>
          <t>no</t>
        </is>
      </c>
      <c r="H213" s="49" t="inlineStr">
        <is>
          <t>구역</t>
        </is>
      </c>
      <c r="I213" s="49" t="inlineStr">
        <is>
          <t>회(부서)</t>
        </is>
      </c>
      <c r="J213" s="49" t="inlineStr">
        <is>
          <t>성 명</t>
        </is>
      </c>
      <c r="K213" s="49" t="inlineStr">
        <is>
          <t>비고</t>
        </is>
      </c>
    </row>
    <row r="214" ht="19.5" customHeight="1" s="33">
      <c r="A214" s="41" t="n">
        <v>1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2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4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5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6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9.5" customHeight="1" s="33">
      <c r="A220" s="41" t="n">
        <v>7</v>
      </c>
      <c r="B220" s="42" t="n"/>
      <c r="C220" s="42" t="n"/>
      <c r="D220" s="42" t="n"/>
      <c r="E220" s="42" t="n"/>
      <c r="H220" s="42" t="n"/>
      <c r="I220" s="42" t="n"/>
      <c r="J220" s="42" t="n"/>
      <c r="K220" s="42" t="n"/>
    </row>
    <row r="221" ht="27.75" customHeight="1" s="33">
      <c r="A221" s="47" t="inlineStr">
        <is>
          <t>개인차23</t>
        </is>
      </c>
      <c r="B221" s="35" t="n"/>
      <c r="C221" s="35" t="n"/>
      <c r="D221" s="35" t="n"/>
      <c r="E221" s="35" t="n"/>
      <c r="F221" s="35" t="n"/>
      <c r="G221" s="35" t="n"/>
      <c r="H221" s="35" t="n"/>
      <c r="I221" s="35" t="n"/>
      <c r="J221" s="35" t="n"/>
      <c r="K221" s="35" t="n"/>
    </row>
    <row r="222" ht="15" customHeight="1" s="33">
      <c r="A222" s="64" t="inlineStr">
        <is>
          <t>상행</t>
        </is>
      </c>
      <c r="B222" s="35" t="n"/>
      <c r="C222" s="35" t="n"/>
      <c r="D222" s="35" t="n"/>
      <c r="E222" s="35" t="n"/>
      <c r="G222" s="64" t="inlineStr">
        <is>
          <t>하행</t>
        </is>
      </c>
      <c r="H222" s="35" t="n"/>
      <c r="I222" s="35" t="n"/>
      <c r="J222" s="35" t="n"/>
      <c r="K222" s="35" t="n"/>
    </row>
    <row r="223" ht="15" customHeight="1" s="33">
      <c r="A223" s="48" t="inlineStr">
        <is>
          <t>no</t>
        </is>
      </c>
      <c r="B223" s="49" t="inlineStr">
        <is>
          <t>구역</t>
        </is>
      </c>
      <c r="C223" s="49" t="inlineStr">
        <is>
          <t>회(부서)</t>
        </is>
      </c>
      <c r="D223" s="49" t="inlineStr">
        <is>
          <t>성 명</t>
        </is>
      </c>
      <c r="E223" s="49" t="inlineStr">
        <is>
          <t>비고</t>
        </is>
      </c>
      <c r="G223" s="48" t="inlineStr">
        <is>
          <t>no</t>
        </is>
      </c>
      <c r="H223" s="49" t="inlineStr">
        <is>
          <t>구역</t>
        </is>
      </c>
      <c r="I223" s="49" t="inlineStr">
        <is>
          <t>회(부서)</t>
        </is>
      </c>
      <c r="J223" s="49" t="inlineStr">
        <is>
          <t>성 명</t>
        </is>
      </c>
      <c r="K223" s="49" t="inlineStr">
        <is>
          <t>비고</t>
        </is>
      </c>
    </row>
    <row r="224" ht="19.5" customHeight="1" s="33">
      <c r="A224" s="41" t="n">
        <v>1</v>
      </c>
      <c r="B224" s="42" t="n"/>
      <c r="C224" s="42" t="n"/>
      <c r="D224" s="42" t="n"/>
      <c r="E224" s="42" t="n"/>
      <c r="H224" s="42" t="n"/>
      <c r="I224" s="42" t="n"/>
      <c r="J224" s="42" t="n"/>
      <c r="K224" s="42" t="n"/>
    </row>
    <row r="225" ht="19.5" customHeight="1" s="33">
      <c r="A225" s="43" t="n">
        <v>2</v>
      </c>
      <c r="B225" s="44" t="n"/>
      <c r="C225" s="44" t="n"/>
      <c r="D225" s="44" t="n"/>
      <c r="E225" s="44" t="n"/>
      <c r="H225" s="44" t="n"/>
      <c r="I225" s="44" t="n"/>
      <c r="J225" s="44" t="n"/>
      <c r="K225" s="44" t="n"/>
    </row>
    <row r="226" ht="19.5" customHeight="1" s="33">
      <c r="A226" s="41" t="n">
        <v>3</v>
      </c>
      <c r="B226" s="42" t="n"/>
      <c r="C226" s="42" t="n"/>
      <c r="D226" s="42" t="n"/>
      <c r="E226" s="42" t="n"/>
      <c r="H226" s="42" t="n"/>
      <c r="I226" s="42" t="n"/>
      <c r="J226" s="42" t="n"/>
      <c r="K226" s="42" t="n"/>
    </row>
    <row r="227" ht="19.5" customHeight="1" s="33">
      <c r="A227" s="43" t="n">
        <v>4</v>
      </c>
      <c r="B227" s="44" t="n"/>
      <c r="C227" s="44" t="n"/>
      <c r="D227" s="44" t="n"/>
      <c r="E227" s="44" t="n"/>
      <c r="H227" s="44" t="n"/>
      <c r="I227" s="44" t="n"/>
      <c r="J227" s="44" t="n"/>
      <c r="K227" s="44" t="n"/>
    </row>
    <row r="228" ht="19.5" customHeight="1" s="33">
      <c r="A228" s="41" t="n">
        <v>5</v>
      </c>
      <c r="B228" s="42" t="n"/>
      <c r="C228" s="42" t="n"/>
      <c r="D228" s="42" t="n"/>
      <c r="E228" s="42" t="n"/>
      <c r="H228" s="42" t="n"/>
      <c r="I228" s="42" t="n"/>
      <c r="J228" s="42" t="n"/>
      <c r="K228" s="42" t="n"/>
    </row>
    <row r="229" ht="19.5" customHeight="1" s="33">
      <c r="A229" s="43" t="n">
        <v>6</v>
      </c>
      <c r="B229" s="44" t="n"/>
      <c r="C229" s="44" t="n"/>
      <c r="D229" s="44" t="n"/>
      <c r="E229" s="44" t="n"/>
      <c r="H229" s="44" t="n"/>
      <c r="I229" s="44" t="n"/>
      <c r="J229" s="44" t="n"/>
      <c r="K229" s="44" t="n"/>
    </row>
    <row r="230" ht="19.5" customHeight="1" s="33">
      <c r="A230" s="41" t="n">
        <v>7</v>
      </c>
      <c r="B230" s="42" t="n"/>
      <c r="C230" s="42" t="n"/>
      <c r="D230" s="42" t="n"/>
      <c r="E230" s="42" t="n"/>
      <c r="H230" s="42" t="n"/>
      <c r="I230" s="42" t="n"/>
      <c r="J230" s="42" t="n"/>
      <c r="K230" s="42" t="n"/>
    </row>
    <row r="231" ht="27.75" customHeight="1" s="33">
      <c r="A231" s="47" t="inlineStr">
        <is>
          <t>개인차24</t>
        </is>
      </c>
      <c r="B231" s="35" t="n"/>
      <c r="C231" s="35" t="n"/>
      <c r="D231" s="35" t="n"/>
      <c r="E231" s="35" t="n"/>
      <c r="F231" s="35" t="n"/>
      <c r="G231" s="35" t="n"/>
      <c r="H231" s="35" t="n"/>
      <c r="I231" s="35" t="n"/>
      <c r="J231" s="35" t="n"/>
      <c r="K231" s="35" t="n"/>
    </row>
    <row r="232" ht="15" customHeight="1" s="33">
      <c r="A232" s="64" t="inlineStr">
        <is>
          <t>상행</t>
        </is>
      </c>
      <c r="B232" s="35" t="n"/>
      <c r="C232" s="35" t="n"/>
      <c r="D232" s="35" t="n"/>
      <c r="E232" s="35" t="n"/>
      <c r="G232" s="64" t="inlineStr">
        <is>
          <t>하행</t>
        </is>
      </c>
      <c r="H232" s="35" t="n"/>
      <c r="I232" s="35" t="n"/>
      <c r="J232" s="35" t="n"/>
      <c r="K232" s="35" t="n"/>
    </row>
    <row r="233" ht="15" customHeight="1" s="33">
      <c r="A233" s="48" t="inlineStr">
        <is>
          <t>no</t>
        </is>
      </c>
      <c r="B233" s="49" t="inlineStr">
        <is>
          <t>구역</t>
        </is>
      </c>
      <c r="C233" s="49" t="inlineStr">
        <is>
          <t>회(부서)</t>
        </is>
      </c>
      <c r="D233" s="49" t="inlineStr">
        <is>
          <t>성 명</t>
        </is>
      </c>
      <c r="E233" s="49" t="inlineStr">
        <is>
          <t>비고</t>
        </is>
      </c>
      <c r="G233" s="48" t="inlineStr">
        <is>
          <t>no</t>
        </is>
      </c>
      <c r="H233" s="49" t="inlineStr">
        <is>
          <t>구역</t>
        </is>
      </c>
      <c r="I233" s="49" t="inlineStr">
        <is>
          <t>회(부서)</t>
        </is>
      </c>
      <c r="J233" s="49" t="inlineStr">
        <is>
          <t>성 명</t>
        </is>
      </c>
      <c r="K233" s="49" t="inlineStr">
        <is>
          <t>비고</t>
        </is>
      </c>
    </row>
    <row r="234" ht="19.5" customHeight="1" s="33">
      <c r="A234" s="41" t="n">
        <v>1</v>
      </c>
      <c r="B234" s="42" t="n"/>
      <c r="C234" s="42" t="n"/>
      <c r="D234" s="42" t="n"/>
      <c r="E234" s="42" t="n"/>
      <c r="H234" s="42" t="n"/>
      <c r="I234" s="42" t="n"/>
      <c r="J234" s="42" t="n"/>
      <c r="K234" s="42" t="n"/>
    </row>
    <row r="235" ht="19.5" customHeight="1" s="33">
      <c r="A235" s="43" t="n">
        <v>2</v>
      </c>
      <c r="B235" s="44" t="n"/>
      <c r="C235" s="44" t="n"/>
      <c r="D235" s="44" t="n"/>
      <c r="E235" s="44" t="n"/>
      <c r="H235" s="44" t="n"/>
      <c r="I235" s="44" t="n"/>
      <c r="J235" s="44" t="n"/>
      <c r="K235" s="44" t="n"/>
    </row>
    <row r="236" ht="19.5" customHeight="1" s="33">
      <c r="A236" s="41" t="n">
        <v>3</v>
      </c>
      <c r="B236" s="42" t="n"/>
      <c r="C236" s="42" t="n"/>
      <c r="D236" s="42" t="n"/>
      <c r="E236" s="42" t="n"/>
      <c r="H236" s="42" t="n"/>
      <c r="I236" s="42" t="n"/>
      <c r="J236" s="42" t="n"/>
      <c r="K236" s="42" t="n"/>
    </row>
    <row r="237" ht="19.5" customHeight="1" s="33">
      <c r="A237" s="43" t="n">
        <v>4</v>
      </c>
      <c r="B237" s="44" t="n"/>
      <c r="C237" s="44" t="n"/>
      <c r="D237" s="44" t="n"/>
      <c r="E237" s="44" t="n"/>
      <c r="H237" s="44" t="n"/>
      <c r="I237" s="44" t="n"/>
      <c r="J237" s="44" t="n"/>
      <c r="K237" s="44" t="n"/>
    </row>
    <row r="238" ht="19.5" customHeight="1" s="33">
      <c r="A238" s="41" t="n">
        <v>5</v>
      </c>
      <c r="B238" s="42" t="n"/>
      <c r="C238" s="42" t="n"/>
      <c r="D238" s="42" t="n"/>
      <c r="E238" s="42" t="n"/>
      <c r="H238" s="42" t="n"/>
      <c r="I238" s="42" t="n"/>
      <c r="J238" s="42" t="n"/>
      <c r="K238" s="42" t="n"/>
    </row>
    <row r="239" ht="19.5" customHeight="1" s="33">
      <c r="A239" s="43" t="n">
        <v>6</v>
      </c>
      <c r="B239" s="44" t="n"/>
      <c r="C239" s="44" t="n"/>
      <c r="D239" s="44" t="n"/>
      <c r="E239" s="44" t="n"/>
      <c r="H239" s="44" t="n"/>
      <c r="I239" s="44" t="n"/>
      <c r="J239" s="44" t="n"/>
      <c r="K239" s="44" t="n"/>
    </row>
    <row r="240" ht="19.5" customHeight="1" s="33">
      <c r="A240" s="41" t="n">
        <v>7</v>
      </c>
      <c r="B240" s="42" t="n"/>
      <c r="C240" s="42" t="n"/>
      <c r="D240" s="42" t="n"/>
      <c r="E240" s="42" t="n"/>
      <c r="H240" s="42" t="n"/>
      <c r="I240" s="42" t="n"/>
      <c r="J240" s="42" t="n"/>
      <c r="K240" s="42" t="n"/>
    </row>
    <row r="241" ht="27.75" customHeight="1" s="33">
      <c r="A241" s="47" t="inlineStr">
        <is>
          <t>개인차25</t>
        </is>
      </c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</row>
    <row r="242" ht="15" customHeight="1" s="33">
      <c r="A242" s="64" t="inlineStr">
        <is>
          <t>상행</t>
        </is>
      </c>
      <c r="B242" s="35" t="n"/>
      <c r="C242" s="35" t="n"/>
      <c r="D242" s="35" t="n"/>
      <c r="E242" s="35" t="n"/>
      <c r="G242" s="64" t="inlineStr">
        <is>
          <t>하행</t>
        </is>
      </c>
      <c r="H242" s="35" t="n"/>
      <c r="I242" s="35" t="n"/>
      <c r="J242" s="35" t="n"/>
      <c r="K242" s="35" t="n"/>
    </row>
    <row r="243" ht="15" customHeight="1" s="33">
      <c r="A243" s="48" t="inlineStr">
        <is>
          <t>no</t>
        </is>
      </c>
      <c r="B243" s="49" t="inlineStr">
        <is>
          <t>구역</t>
        </is>
      </c>
      <c r="C243" s="49" t="inlineStr">
        <is>
          <t>회(부서)</t>
        </is>
      </c>
      <c r="D243" s="49" t="inlineStr">
        <is>
          <t>성 명</t>
        </is>
      </c>
      <c r="E243" s="49" t="inlineStr">
        <is>
          <t>비고</t>
        </is>
      </c>
      <c r="G243" s="48" t="inlineStr">
        <is>
          <t>no</t>
        </is>
      </c>
      <c r="H243" s="49" t="inlineStr">
        <is>
          <t>구역</t>
        </is>
      </c>
      <c r="I243" s="49" t="inlineStr">
        <is>
          <t>회(부서)</t>
        </is>
      </c>
      <c r="J243" s="49" t="inlineStr">
        <is>
          <t>성 명</t>
        </is>
      </c>
      <c r="K243" s="49" t="inlineStr">
        <is>
          <t>비고</t>
        </is>
      </c>
    </row>
    <row r="244" ht="19.5" customHeight="1" s="33">
      <c r="A244" s="41" t="n">
        <v>1</v>
      </c>
      <c r="B244" s="42" t="n"/>
      <c r="C244" s="42" t="n"/>
      <c r="D244" s="42" t="n"/>
      <c r="E244" s="42" t="n"/>
      <c r="H244" s="42" t="n"/>
      <c r="I244" s="42" t="n"/>
      <c r="J244" s="42" t="n"/>
      <c r="K244" s="42" t="n"/>
    </row>
    <row r="245" ht="19.5" customHeight="1" s="33">
      <c r="A245" s="43" t="n">
        <v>2</v>
      </c>
      <c r="B245" s="44" t="n"/>
      <c r="C245" s="44" t="n"/>
      <c r="D245" s="44" t="n"/>
      <c r="E245" s="44" t="n"/>
      <c r="H245" s="44" t="n"/>
      <c r="I245" s="44" t="n"/>
      <c r="J245" s="44" t="n"/>
      <c r="K245" s="44" t="n"/>
    </row>
    <row r="246" ht="19.5" customHeight="1" s="33">
      <c r="A246" s="41" t="n">
        <v>3</v>
      </c>
      <c r="B246" s="42" t="n"/>
      <c r="C246" s="42" t="n"/>
      <c r="D246" s="42" t="n"/>
      <c r="E246" s="42" t="n"/>
      <c r="H246" s="42" t="n"/>
      <c r="I246" s="42" t="n"/>
      <c r="J246" s="42" t="n"/>
      <c r="K246" s="42" t="n"/>
    </row>
    <row r="247" ht="19.5" customHeight="1" s="33">
      <c r="A247" s="43" t="n">
        <v>4</v>
      </c>
      <c r="B247" s="44" t="n"/>
      <c r="C247" s="44" t="n"/>
      <c r="D247" s="44" t="n"/>
      <c r="E247" s="44" t="n"/>
      <c r="H247" s="44" t="n"/>
      <c r="I247" s="44" t="n"/>
      <c r="J247" s="44" t="n"/>
      <c r="K247" s="44" t="n"/>
    </row>
    <row r="248" ht="19.5" customHeight="1" s="33">
      <c r="A248" s="41" t="n">
        <v>5</v>
      </c>
      <c r="B248" s="42" t="n"/>
      <c r="C248" s="42" t="n"/>
      <c r="D248" s="42" t="n"/>
      <c r="E248" s="42" t="n"/>
      <c r="H248" s="42" t="n"/>
      <c r="I248" s="42" t="n"/>
      <c r="J248" s="42" t="n"/>
      <c r="K248" s="42" t="n"/>
    </row>
    <row r="249" ht="19.5" customHeight="1" s="33">
      <c r="A249" s="43" t="n">
        <v>6</v>
      </c>
      <c r="B249" s="44" t="n"/>
      <c r="C249" s="44" t="n"/>
      <c r="D249" s="44" t="n"/>
      <c r="E249" s="44" t="n"/>
      <c r="H249" s="44" t="n"/>
      <c r="I249" s="44" t="n"/>
      <c r="J249" s="44" t="n"/>
      <c r="K249" s="44" t="n"/>
    </row>
    <row r="250" ht="19.5" customHeight="1" s="33">
      <c r="A250" s="41" t="n">
        <v>7</v>
      </c>
      <c r="B250" s="42" t="n"/>
      <c r="C250" s="42" t="n"/>
      <c r="D250" s="42" t="n"/>
      <c r="E250" s="42" t="n"/>
      <c r="H250" s="42" t="n"/>
      <c r="I250" s="42" t="n"/>
      <c r="J250" s="42" t="n"/>
      <c r="K250" s="42" t="n"/>
    </row>
    <row r="251" ht="27.75" customHeight="1" s="33">
      <c r="A251" s="47" t="inlineStr">
        <is>
          <t>개인차26</t>
        </is>
      </c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</row>
    <row r="252" ht="15" customHeight="1" s="33">
      <c r="A252" s="64" t="inlineStr">
        <is>
          <t>상행</t>
        </is>
      </c>
      <c r="B252" s="35" t="n"/>
      <c r="C252" s="35" t="n"/>
      <c r="D252" s="35" t="n"/>
      <c r="E252" s="35" t="n"/>
      <c r="G252" s="64" t="inlineStr">
        <is>
          <t>하행</t>
        </is>
      </c>
      <c r="H252" s="35" t="n"/>
      <c r="I252" s="35" t="n"/>
      <c r="J252" s="35" t="n"/>
      <c r="K252" s="35" t="n"/>
    </row>
    <row r="253" ht="15" customHeight="1" s="33">
      <c r="A253" s="48" t="inlineStr">
        <is>
          <t>no</t>
        </is>
      </c>
      <c r="B253" s="49" t="inlineStr">
        <is>
          <t>구역</t>
        </is>
      </c>
      <c r="C253" s="49" t="inlineStr">
        <is>
          <t>회(부서)</t>
        </is>
      </c>
      <c r="D253" s="49" t="inlineStr">
        <is>
          <t>성 명</t>
        </is>
      </c>
      <c r="E253" s="49" t="inlineStr">
        <is>
          <t>비고</t>
        </is>
      </c>
      <c r="G253" s="48" t="inlineStr">
        <is>
          <t>no</t>
        </is>
      </c>
      <c r="H253" s="49" t="inlineStr">
        <is>
          <t>구역</t>
        </is>
      </c>
      <c r="I253" s="49" t="inlineStr">
        <is>
          <t>회(부서)</t>
        </is>
      </c>
      <c r="J253" s="49" t="inlineStr">
        <is>
          <t>성 명</t>
        </is>
      </c>
      <c r="K253" s="49" t="inlineStr">
        <is>
          <t>비고</t>
        </is>
      </c>
    </row>
    <row r="254" ht="19.5" customHeight="1" s="33">
      <c r="A254" s="41" t="n">
        <v>1</v>
      </c>
      <c r="B254" s="42" t="n"/>
      <c r="C254" s="42" t="n"/>
      <c r="D254" s="42" t="n"/>
      <c r="E254" s="42" t="n"/>
      <c r="H254" s="42" t="n"/>
      <c r="I254" s="42" t="n"/>
      <c r="J254" s="42" t="n"/>
      <c r="K254" s="42" t="n"/>
    </row>
    <row r="255" ht="19.5" customHeight="1" s="33">
      <c r="A255" s="43" t="n">
        <v>2</v>
      </c>
      <c r="B255" s="44" t="n"/>
      <c r="C255" s="44" t="n"/>
      <c r="D255" s="44" t="n"/>
      <c r="E255" s="44" t="n"/>
      <c r="H255" s="44" t="n"/>
      <c r="I255" s="44" t="n"/>
      <c r="J255" s="44" t="n"/>
      <c r="K255" s="44" t="n"/>
    </row>
    <row r="256" ht="19.5" customHeight="1" s="33">
      <c r="A256" s="41" t="n">
        <v>3</v>
      </c>
      <c r="B256" s="42" t="n"/>
      <c r="C256" s="42" t="n"/>
      <c r="D256" s="42" t="n"/>
      <c r="E256" s="42" t="n"/>
      <c r="H256" s="42" t="n"/>
      <c r="I256" s="42" t="n"/>
      <c r="J256" s="42" t="n"/>
      <c r="K256" s="42" t="n"/>
    </row>
    <row r="257" ht="19.5" customHeight="1" s="33">
      <c r="A257" s="43" t="n">
        <v>4</v>
      </c>
      <c r="B257" s="44" t="n"/>
      <c r="C257" s="44" t="n"/>
      <c r="D257" s="44" t="n"/>
      <c r="E257" s="44" t="n"/>
      <c r="H257" s="44" t="n"/>
      <c r="I257" s="44" t="n"/>
      <c r="J257" s="44" t="n"/>
      <c r="K257" s="44" t="n"/>
    </row>
    <row r="258" ht="19.5" customHeight="1" s="33">
      <c r="A258" s="41" t="n">
        <v>5</v>
      </c>
      <c r="B258" s="42" t="n"/>
      <c r="C258" s="42" t="n"/>
      <c r="D258" s="42" t="n"/>
      <c r="E258" s="42" t="n"/>
      <c r="H258" s="42" t="n"/>
      <c r="I258" s="42" t="n"/>
      <c r="J258" s="42" t="n"/>
      <c r="K258" s="42" t="n"/>
    </row>
    <row r="259" ht="19.5" customHeight="1" s="33">
      <c r="A259" s="43" t="n">
        <v>6</v>
      </c>
      <c r="B259" s="44" t="n"/>
      <c r="C259" s="44" t="n"/>
      <c r="D259" s="44" t="n"/>
      <c r="E259" s="44" t="n"/>
      <c r="H259" s="44" t="n"/>
      <c r="I259" s="44" t="n"/>
      <c r="J259" s="44" t="n"/>
      <c r="K259" s="44" t="n"/>
    </row>
    <row r="260" ht="19.5" customHeight="1" s="33">
      <c r="A260" s="41" t="n">
        <v>7</v>
      </c>
      <c r="B260" s="42" t="n"/>
      <c r="C260" s="42" t="n"/>
      <c r="D260" s="42" t="n"/>
      <c r="E260" s="42" t="n"/>
      <c r="H260" s="42" t="n"/>
      <c r="I260" s="42" t="n"/>
      <c r="J260" s="42" t="n"/>
      <c r="K260" s="42" t="n"/>
    </row>
    <row r="261" ht="27.75" customHeight="1" s="33">
      <c r="A261" s="47" t="inlineStr">
        <is>
          <t>개인차27</t>
        </is>
      </c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</row>
    <row r="262" ht="15" customHeight="1" s="33">
      <c r="A262" s="64" t="inlineStr">
        <is>
          <t>상행</t>
        </is>
      </c>
      <c r="B262" s="35" t="n"/>
      <c r="C262" s="35" t="n"/>
      <c r="D262" s="35" t="n"/>
      <c r="E262" s="35" t="n"/>
      <c r="G262" s="64" t="inlineStr">
        <is>
          <t>하행</t>
        </is>
      </c>
      <c r="H262" s="35" t="n"/>
      <c r="I262" s="35" t="n"/>
      <c r="J262" s="35" t="n"/>
      <c r="K262" s="35" t="n"/>
    </row>
    <row r="263" ht="15" customHeight="1" s="33">
      <c r="A263" s="48" t="inlineStr">
        <is>
          <t>no</t>
        </is>
      </c>
      <c r="B263" s="49" t="inlineStr">
        <is>
          <t>구역</t>
        </is>
      </c>
      <c r="C263" s="49" t="inlineStr">
        <is>
          <t>회(부서)</t>
        </is>
      </c>
      <c r="D263" s="49" t="inlineStr">
        <is>
          <t>성 명</t>
        </is>
      </c>
      <c r="E263" s="49" t="inlineStr">
        <is>
          <t>비고</t>
        </is>
      </c>
      <c r="G263" s="48" t="inlineStr">
        <is>
          <t>no</t>
        </is>
      </c>
      <c r="H263" s="49" t="inlineStr">
        <is>
          <t>구역</t>
        </is>
      </c>
      <c r="I263" s="49" t="inlineStr">
        <is>
          <t>회(부서)</t>
        </is>
      </c>
      <c r="J263" s="49" t="inlineStr">
        <is>
          <t>성 명</t>
        </is>
      </c>
      <c r="K263" s="49" t="inlineStr">
        <is>
          <t>비고</t>
        </is>
      </c>
    </row>
    <row r="264" ht="19.5" customHeight="1" s="33">
      <c r="A264" s="41" t="n">
        <v>1</v>
      </c>
      <c r="B264" s="42" t="n"/>
      <c r="C264" s="42" t="n"/>
      <c r="D264" s="42" t="n"/>
      <c r="E264" s="42" t="n"/>
      <c r="H264" s="42" t="n"/>
      <c r="I264" s="42" t="n"/>
      <c r="J264" s="42" t="n"/>
      <c r="K264" s="42" t="n"/>
    </row>
    <row r="265" ht="19.5" customHeight="1" s="33">
      <c r="A265" s="43" t="n">
        <v>2</v>
      </c>
      <c r="B265" s="44" t="n"/>
      <c r="C265" s="44" t="n"/>
      <c r="D265" s="44" t="n"/>
      <c r="E265" s="44" t="n"/>
      <c r="H265" s="44" t="n"/>
      <c r="I265" s="44" t="n"/>
      <c r="J265" s="44" t="n"/>
      <c r="K265" s="44" t="n"/>
    </row>
    <row r="266" ht="19.5" customHeight="1" s="33">
      <c r="A266" s="41" t="n">
        <v>3</v>
      </c>
      <c r="B266" s="42" t="n"/>
      <c r="C266" s="42" t="n"/>
      <c r="D266" s="42" t="n"/>
      <c r="E266" s="42" t="n"/>
      <c r="H266" s="42" t="n"/>
      <c r="I266" s="42" t="n"/>
      <c r="J266" s="42" t="n"/>
      <c r="K266" s="42" t="n"/>
    </row>
    <row r="267" ht="19.5" customHeight="1" s="33">
      <c r="A267" s="43" t="n">
        <v>4</v>
      </c>
      <c r="B267" s="44" t="n"/>
      <c r="C267" s="44" t="n"/>
      <c r="D267" s="44" t="n"/>
      <c r="E267" s="44" t="n"/>
      <c r="H267" s="44" t="n"/>
      <c r="I267" s="44" t="n"/>
      <c r="J267" s="44" t="n"/>
      <c r="K267" s="44" t="n"/>
    </row>
    <row r="268" ht="19.5" customHeight="1" s="33">
      <c r="A268" s="41" t="n">
        <v>5</v>
      </c>
      <c r="B268" s="42" t="n"/>
      <c r="C268" s="42" t="n"/>
      <c r="D268" s="42" t="n"/>
      <c r="E268" s="42" t="n"/>
      <c r="H268" s="42" t="n"/>
      <c r="I268" s="42" t="n"/>
      <c r="J268" s="42" t="n"/>
      <c r="K268" s="42" t="n"/>
    </row>
    <row r="269" ht="19.5" customHeight="1" s="33">
      <c r="A269" s="43" t="n">
        <v>6</v>
      </c>
      <c r="B269" s="44" t="n"/>
      <c r="C269" s="44" t="n"/>
      <c r="D269" s="44" t="n"/>
      <c r="E269" s="44" t="n"/>
      <c r="H269" s="44" t="n"/>
      <c r="I269" s="44" t="n"/>
      <c r="J269" s="44" t="n"/>
      <c r="K269" s="44" t="n"/>
    </row>
    <row r="270" ht="19.5" customHeight="1" s="33">
      <c r="A270" s="41" t="n">
        <v>7</v>
      </c>
      <c r="B270" s="42" t="n"/>
      <c r="C270" s="42" t="n"/>
      <c r="D270" s="42" t="n"/>
      <c r="E270" s="42" t="n"/>
      <c r="H270" s="42" t="n"/>
      <c r="I270" s="42" t="n"/>
      <c r="J270" s="42" t="n"/>
      <c r="K270" s="42" t="n"/>
    </row>
    <row r="271" ht="27.75" customHeight="1" s="33">
      <c r="A271" s="47" t="inlineStr">
        <is>
          <t>개인차28</t>
        </is>
      </c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</row>
    <row r="272" ht="15" customHeight="1" s="33">
      <c r="A272" s="64" t="inlineStr">
        <is>
          <t>상행</t>
        </is>
      </c>
      <c r="B272" s="35" t="n"/>
      <c r="C272" s="35" t="n"/>
      <c r="D272" s="35" t="n"/>
      <c r="E272" s="35" t="n"/>
      <c r="G272" s="64" t="inlineStr">
        <is>
          <t>하행</t>
        </is>
      </c>
      <c r="H272" s="35" t="n"/>
      <c r="I272" s="35" t="n"/>
      <c r="J272" s="35" t="n"/>
      <c r="K272" s="35" t="n"/>
    </row>
    <row r="273" ht="15" customHeight="1" s="33">
      <c r="A273" s="48" t="inlineStr">
        <is>
          <t>no</t>
        </is>
      </c>
      <c r="B273" s="49" t="inlineStr">
        <is>
          <t>구역</t>
        </is>
      </c>
      <c r="C273" s="49" t="inlineStr">
        <is>
          <t>회(부서)</t>
        </is>
      </c>
      <c r="D273" s="49" t="inlineStr">
        <is>
          <t>성 명</t>
        </is>
      </c>
      <c r="E273" s="49" t="inlineStr">
        <is>
          <t>비고</t>
        </is>
      </c>
      <c r="G273" s="48" t="inlineStr">
        <is>
          <t>no</t>
        </is>
      </c>
      <c r="H273" s="49" t="inlineStr">
        <is>
          <t>구역</t>
        </is>
      </c>
      <c r="I273" s="49" t="inlineStr">
        <is>
          <t>회(부서)</t>
        </is>
      </c>
      <c r="J273" s="49" t="inlineStr">
        <is>
          <t>성 명</t>
        </is>
      </c>
      <c r="K273" s="49" t="inlineStr">
        <is>
          <t>비고</t>
        </is>
      </c>
    </row>
    <row r="274" ht="19.5" customHeight="1" s="33">
      <c r="A274" s="41" t="n">
        <v>1</v>
      </c>
      <c r="B274" s="42" t="n"/>
      <c r="C274" s="42" t="n"/>
      <c r="D274" s="42" t="n"/>
      <c r="E274" s="42" t="n"/>
      <c r="H274" s="42" t="n"/>
      <c r="I274" s="42" t="n"/>
      <c r="J274" s="42" t="n"/>
      <c r="K274" s="42" t="n"/>
    </row>
    <row r="275" ht="19.5" customHeight="1" s="33">
      <c r="A275" s="43" t="n">
        <v>2</v>
      </c>
      <c r="B275" s="44" t="n"/>
      <c r="C275" s="44" t="n"/>
      <c r="D275" s="44" t="n"/>
      <c r="E275" s="44" t="n"/>
      <c r="H275" s="44" t="n"/>
      <c r="I275" s="44" t="n"/>
      <c r="J275" s="44" t="n"/>
      <c r="K275" s="44" t="n"/>
    </row>
    <row r="276" ht="19.5" customHeight="1" s="33">
      <c r="A276" s="41" t="n">
        <v>3</v>
      </c>
      <c r="B276" s="42" t="n"/>
      <c r="C276" s="42" t="n"/>
      <c r="D276" s="42" t="n"/>
      <c r="E276" s="42" t="n"/>
      <c r="H276" s="42" t="n"/>
      <c r="I276" s="42" t="n"/>
      <c r="J276" s="42" t="n"/>
      <c r="K276" s="42" t="n"/>
    </row>
    <row r="277" ht="19.5" customHeight="1" s="33">
      <c r="A277" s="43" t="n">
        <v>4</v>
      </c>
      <c r="B277" s="44" t="n"/>
      <c r="C277" s="44" t="n"/>
      <c r="D277" s="44" t="n"/>
      <c r="E277" s="44" t="n"/>
      <c r="H277" s="44" t="n"/>
      <c r="I277" s="44" t="n"/>
      <c r="J277" s="44" t="n"/>
      <c r="K277" s="44" t="n"/>
    </row>
    <row r="278" ht="19.5" customHeight="1" s="33">
      <c r="A278" s="41" t="n">
        <v>5</v>
      </c>
      <c r="B278" s="42" t="n"/>
      <c r="C278" s="42" t="n"/>
      <c r="D278" s="42" t="n"/>
      <c r="E278" s="42" t="n"/>
      <c r="H278" s="42" t="n"/>
      <c r="I278" s="42" t="n"/>
      <c r="J278" s="42" t="n"/>
      <c r="K278" s="42" t="n"/>
    </row>
    <row r="279" ht="19.5" customHeight="1" s="33">
      <c r="A279" s="43" t="n">
        <v>6</v>
      </c>
      <c r="B279" s="44" t="n"/>
      <c r="C279" s="44" t="n"/>
      <c r="D279" s="44" t="n"/>
      <c r="E279" s="44" t="n"/>
      <c r="H279" s="44" t="n"/>
      <c r="I279" s="44" t="n"/>
      <c r="J279" s="44" t="n"/>
      <c r="K279" s="44" t="n"/>
    </row>
    <row r="280" ht="19.5" customHeight="1" s="33">
      <c r="A280" s="41" t="n">
        <v>7</v>
      </c>
      <c r="B280" s="42" t="n"/>
      <c r="C280" s="42" t="n"/>
      <c r="D280" s="42" t="n"/>
      <c r="E280" s="42" t="n"/>
      <c r="H280" s="42" t="n"/>
      <c r="I280" s="42" t="n"/>
      <c r="J280" s="42" t="n"/>
      <c r="K280" s="42" t="n"/>
    </row>
    <row r="281" ht="27.75" customHeight="1" s="33">
      <c r="A281" s="47" t="inlineStr">
        <is>
          <t>개인차29</t>
        </is>
      </c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</row>
    <row r="282" ht="15" customHeight="1" s="33">
      <c r="A282" s="64" t="inlineStr">
        <is>
          <t>상행</t>
        </is>
      </c>
      <c r="B282" s="35" t="n"/>
      <c r="C282" s="35" t="n"/>
      <c r="D282" s="35" t="n"/>
      <c r="E282" s="35" t="n"/>
      <c r="G282" s="64" t="inlineStr">
        <is>
          <t>하행</t>
        </is>
      </c>
      <c r="H282" s="35" t="n"/>
      <c r="I282" s="35" t="n"/>
      <c r="J282" s="35" t="n"/>
      <c r="K282" s="35" t="n"/>
    </row>
    <row r="283" ht="15" customHeight="1" s="33">
      <c r="A283" s="48" t="inlineStr">
        <is>
          <t>no</t>
        </is>
      </c>
      <c r="B283" s="49" t="inlineStr">
        <is>
          <t>구역</t>
        </is>
      </c>
      <c r="C283" s="49" t="inlineStr">
        <is>
          <t>회(부서)</t>
        </is>
      </c>
      <c r="D283" s="49" t="inlineStr">
        <is>
          <t>성 명</t>
        </is>
      </c>
      <c r="E283" s="49" t="inlineStr">
        <is>
          <t>비고</t>
        </is>
      </c>
      <c r="G283" s="48" t="inlineStr">
        <is>
          <t>no</t>
        </is>
      </c>
      <c r="H283" s="49" t="inlineStr">
        <is>
          <t>구역</t>
        </is>
      </c>
      <c r="I283" s="49" t="inlineStr">
        <is>
          <t>회(부서)</t>
        </is>
      </c>
      <c r="J283" s="49" t="inlineStr">
        <is>
          <t>성 명</t>
        </is>
      </c>
      <c r="K283" s="49" t="inlineStr">
        <is>
          <t>비고</t>
        </is>
      </c>
    </row>
    <row r="284" ht="19.5" customHeight="1" s="33">
      <c r="A284" s="41" t="n">
        <v>1</v>
      </c>
      <c r="B284" s="42" t="n"/>
      <c r="C284" s="42" t="n"/>
      <c r="D284" s="42" t="n"/>
      <c r="E284" s="42" t="n"/>
      <c r="H284" s="42" t="n"/>
      <c r="I284" s="42" t="n"/>
      <c r="J284" s="42" t="n"/>
      <c r="K284" s="42" t="n"/>
    </row>
    <row r="285" ht="19.5" customHeight="1" s="33">
      <c r="A285" s="43" t="n">
        <v>2</v>
      </c>
      <c r="B285" s="44" t="n"/>
      <c r="C285" s="44" t="n"/>
      <c r="D285" s="44" t="n"/>
      <c r="E285" s="44" t="n"/>
      <c r="H285" s="44" t="n"/>
      <c r="I285" s="44" t="n"/>
      <c r="J285" s="44" t="n"/>
      <c r="K285" s="44" t="n"/>
    </row>
    <row r="286" ht="19.5" customHeight="1" s="33">
      <c r="A286" s="41" t="n">
        <v>3</v>
      </c>
      <c r="B286" s="42" t="n"/>
      <c r="C286" s="42" t="n"/>
      <c r="D286" s="42" t="n"/>
      <c r="E286" s="42" t="n"/>
      <c r="H286" s="42" t="n"/>
      <c r="I286" s="42" t="n"/>
      <c r="J286" s="42" t="n"/>
      <c r="K286" s="42" t="n"/>
    </row>
    <row r="287" ht="19.5" customHeight="1" s="33">
      <c r="A287" s="43" t="n">
        <v>4</v>
      </c>
      <c r="B287" s="44" t="n"/>
      <c r="C287" s="44" t="n"/>
      <c r="D287" s="44" t="n"/>
      <c r="E287" s="44" t="n"/>
      <c r="H287" s="44" t="n"/>
      <c r="I287" s="44" t="n"/>
      <c r="J287" s="44" t="n"/>
      <c r="K287" s="44" t="n"/>
    </row>
    <row r="288" ht="19.5" customHeight="1" s="33">
      <c r="A288" s="41" t="n">
        <v>5</v>
      </c>
      <c r="B288" s="42" t="n"/>
      <c r="C288" s="42" t="n"/>
      <c r="D288" s="42" t="n"/>
      <c r="E288" s="42" t="n"/>
      <c r="H288" s="42" t="n"/>
      <c r="I288" s="42" t="n"/>
      <c r="J288" s="42" t="n"/>
      <c r="K288" s="42" t="n"/>
    </row>
    <row r="289" ht="19.5" customHeight="1" s="33">
      <c r="A289" s="43" t="n">
        <v>6</v>
      </c>
      <c r="B289" s="44" t="n"/>
      <c r="C289" s="44" t="n"/>
      <c r="D289" s="44" t="n"/>
      <c r="E289" s="44" t="n"/>
      <c r="H289" s="44" t="n"/>
      <c r="I289" s="44" t="n"/>
      <c r="J289" s="44" t="n"/>
      <c r="K289" s="44" t="n"/>
    </row>
    <row r="290" ht="19.5" customHeight="1" s="33">
      <c r="A290" s="41" t="n">
        <v>7</v>
      </c>
      <c r="B290" s="42" t="n"/>
      <c r="C290" s="42" t="n"/>
      <c r="D290" s="42" t="n"/>
      <c r="E290" s="42" t="n"/>
      <c r="H290" s="42" t="n"/>
      <c r="I290" s="42" t="n"/>
      <c r="J290" s="42" t="n"/>
      <c r="K290" s="42" t="n"/>
    </row>
    <row r="291" ht="27.75" customHeight="1" s="33">
      <c r="A291" s="47" t="inlineStr">
        <is>
          <t>개인차30</t>
        </is>
      </c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</row>
    <row r="292" ht="15" customHeight="1" s="33">
      <c r="A292" s="64" t="inlineStr">
        <is>
          <t>상행</t>
        </is>
      </c>
      <c r="B292" s="35" t="n"/>
      <c r="C292" s="35" t="n"/>
      <c r="D292" s="35" t="n"/>
      <c r="E292" s="35" t="n"/>
      <c r="G292" s="64" t="inlineStr">
        <is>
          <t>하행</t>
        </is>
      </c>
      <c r="H292" s="35" t="n"/>
      <c r="I292" s="35" t="n"/>
      <c r="J292" s="35" t="n"/>
      <c r="K292" s="35" t="n"/>
    </row>
    <row r="293" ht="15" customHeight="1" s="33">
      <c r="A293" s="48" t="inlineStr">
        <is>
          <t>no</t>
        </is>
      </c>
      <c r="B293" s="49" t="inlineStr">
        <is>
          <t>구역</t>
        </is>
      </c>
      <c r="C293" s="49" t="inlineStr">
        <is>
          <t>회(부서)</t>
        </is>
      </c>
      <c r="D293" s="49" t="inlineStr">
        <is>
          <t>성 명</t>
        </is>
      </c>
      <c r="E293" s="49" t="inlineStr">
        <is>
          <t>비고</t>
        </is>
      </c>
      <c r="G293" s="48" t="inlineStr">
        <is>
          <t>no</t>
        </is>
      </c>
      <c r="H293" s="49" t="inlineStr">
        <is>
          <t>구역</t>
        </is>
      </c>
      <c r="I293" s="49" t="inlineStr">
        <is>
          <t>회(부서)</t>
        </is>
      </c>
      <c r="J293" s="49" t="inlineStr">
        <is>
          <t>성 명</t>
        </is>
      </c>
      <c r="K293" s="49" t="inlineStr">
        <is>
          <t>비고</t>
        </is>
      </c>
    </row>
    <row r="294" ht="19.5" customHeight="1" s="33">
      <c r="A294" s="41" t="n">
        <v>1</v>
      </c>
      <c r="B294" s="42" t="n"/>
      <c r="C294" s="42" t="n"/>
      <c r="D294" s="42" t="n"/>
      <c r="E294" s="42" t="n"/>
      <c r="H294" s="42" t="n"/>
      <c r="I294" s="42" t="n"/>
      <c r="J294" s="42" t="n"/>
      <c r="K294" s="42" t="n"/>
    </row>
    <row r="295" ht="19.5" customHeight="1" s="33">
      <c r="A295" s="43" t="n">
        <v>2</v>
      </c>
      <c r="B295" s="44" t="n"/>
      <c r="C295" s="44" t="n"/>
      <c r="D295" s="44" t="n"/>
      <c r="E295" s="44" t="n"/>
      <c r="H295" s="44" t="n"/>
      <c r="I295" s="44" t="n"/>
      <c r="J295" s="44" t="n"/>
      <c r="K295" s="44" t="n"/>
    </row>
    <row r="296" ht="19.5" customHeight="1" s="33">
      <c r="A296" s="41" t="n">
        <v>3</v>
      </c>
      <c r="B296" s="42" t="n"/>
      <c r="C296" s="42" t="n"/>
      <c r="D296" s="42" t="n"/>
      <c r="E296" s="42" t="n"/>
      <c r="H296" s="42" t="n"/>
      <c r="I296" s="42" t="n"/>
      <c r="J296" s="42" t="n"/>
      <c r="K296" s="42" t="n"/>
    </row>
    <row r="297" ht="19.5" customHeight="1" s="33">
      <c r="A297" s="43" t="n">
        <v>4</v>
      </c>
      <c r="B297" s="44" t="n"/>
      <c r="C297" s="44" t="n"/>
      <c r="D297" s="44" t="n"/>
      <c r="E297" s="44" t="n"/>
      <c r="H297" s="44" t="n"/>
      <c r="I297" s="44" t="n"/>
      <c r="J297" s="44" t="n"/>
      <c r="K297" s="44" t="n"/>
    </row>
    <row r="298" ht="19.5" customHeight="1" s="33">
      <c r="A298" s="41" t="n">
        <v>5</v>
      </c>
      <c r="B298" s="42" t="n"/>
      <c r="C298" s="42" t="n"/>
      <c r="D298" s="42" t="n"/>
      <c r="E298" s="42" t="n"/>
      <c r="H298" s="42" t="n"/>
      <c r="I298" s="42" t="n"/>
      <c r="J298" s="42" t="n"/>
      <c r="K298" s="42" t="n"/>
    </row>
    <row r="299" ht="19.5" customHeight="1" s="33">
      <c r="A299" s="43" t="n">
        <v>6</v>
      </c>
      <c r="B299" s="44" t="n"/>
      <c r="C299" s="44" t="n"/>
      <c r="D299" s="44" t="n"/>
      <c r="E299" s="44" t="n"/>
      <c r="H299" s="44" t="n"/>
      <c r="I299" s="44" t="n"/>
      <c r="J299" s="44" t="n"/>
      <c r="K299" s="44" t="n"/>
    </row>
    <row r="300" ht="19.5" customHeight="1" s="33">
      <c r="A300" s="41" t="n">
        <v>7</v>
      </c>
      <c r="B300" s="42" t="n"/>
      <c r="C300" s="42" t="n"/>
      <c r="D300" s="42" t="n"/>
      <c r="E300" s="42" t="n"/>
      <c r="H300" s="42" t="n"/>
      <c r="I300" s="42" t="n"/>
      <c r="J300" s="42" t="n"/>
      <c r="K300" s="42" t="n"/>
    </row>
  </sheetData>
  <mergeCells count="90">
    <mergeCell ref="G232:K232"/>
    <mergeCell ref="A232:E232"/>
    <mergeCell ref="G12:K12"/>
    <mergeCell ref="A142:E142"/>
    <mergeCell ref="A182:E182"/>
    <mergeCell ref="A51:K51"/>
    <mergeCell ref="A291:K291"/>
    <mergeCell ref="G132:K132"/>
    <mergeCell ref="A241:K241"/>
    <mergeCell ref="G272:K272"/>
    <mergeCell ref="A41:K41"/>
    <mergeCell ref="G112:K112"/>
    <mergeCell ref="A221:K221"/>
    <mergeCell ref="A282:E282"/>
    <mergeCell ref="G62:K62"/>
    <mergeCell ref="A192:E192"/>
    <mergeCell ref="A272:E272"/>
    <mergeCell ref="A101:K101"/>
    <mergeCell ref="A251:K251"/>
    <mergeCell ref="A151:K151"/>
    <mergeCell ref="G192:K192"/>
    <mergeCell ref="A141:K141"/>
    <mergeCell ref="A52:E52"/>
    <mergeCell ref="G212:K212"/>
    <mergeCell ref="G252:K252"/>
    <mergeCell ref="G52:K52"/>
    <mergeCell ref="A222:E222"/>
    <mergeCell ref="G2:K2"/>
    <mergeCell ref="A11:K11"/>
    <mergeCell ref="G42:K42"/>
    <mergeCell ref="A132:E132"/>
    <mergeCell ref="A191:K191"/>
    <mergeCell ref="A61:K61"/>
    <mergeCell ref="G262:K262"/>
    <mergeCell ref="G122:K122"/>
    <mergeCell ref="G172:K172"/>
    <mergeCell ref="A12:E12"/>
    <mergeCell ref="G92:K92"/>
    <mergeCell ref="G152:K152"/>
    <mergeCell ref="A71:K71"/>
    <mergeCell ref="G142:K142"/>
    <mergeCell ref="A32:E32"/>
    <mergeCell ref="A181:K181"/>
    <mergeCell ref="A91:K91"/>
    <mergeCell ref="A131:K131"/>
    <mergeCell ref="A171:K171"/>
    <mergeCell ref="A231:K231"/>
    <mergeCell ref="G32:K32"/>
    <mergeCell ref="A202:E202"/>
    <mergeCell ref="A111:K111"/>
    <mergeCell ref="A82:E82"/>
    <mergeCell ref="A1:K1"/>
    <mergeCell ref="A281:K281"/>
    <mergeCell ref="G82:K82"/>
    <mergeCell ref="A172:E172"/>
    <mergeCell ref="A252:E252"/>
    <mergeCell ref="A271:K271"/>
    <mergeCell ref="A292:E292"/>
    <mergeCell ref="A2:E2"/>
    <mergeCell ref="A21:K21"/>
    <mergeCell ref="A42:E42"/>
    <mergeCell ref="A22:E22"/>
    <mergeCell ref="A122:E122"/>
    <mergeCell ref="G182:K182"/>
    <mergeCell ref="A72:E72"/>
    <mergeCell ref="A112:E112"/>
    <mergeCell ref="A152:E152"/>
    <mergeCell ref="G202:K202"/>
    <mergeCell ref="G102:K102"/>
    <mergeCell ref="G242:K242"/>
    <mergeCell ref="A211:K211"/>
    <mergeCell ref="G282:K282"/>
    <mergeCell ref="G72:K72"/>
    <mergeCell ref="A201:K201"/>
    <mergeCell ref="A261:K261"/>
    <mergeCell ref="A162:E162"/>
    <mergeCell ref="A212:E212"/>
    <mergeCell ref="G292:K292"/>
    <mergeCell ref="G162:K162"/>
    <mergeCell ref="A242:E242"/>
    <mergeCell ref="G222:K222"/>
    <mergeCell ref="A262:E262"/>
    <mergeCell ref="A62:E62"/>
    <mergeCell ref="A92:E92"/>
    <mergeCell ref="A81:K81"/>
    <mergeCell ref="A102:E102"/>
    <mergeCell ref="A121:K121"/>
    <mergeCell ref="A161:K161"/>
    <mergeCell ref="G22:K22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2026-05-31T22:05:04Z</dcterms:modified>
  <cp:revision>0</cp:revision>
</cp:coreProperties>
</file>