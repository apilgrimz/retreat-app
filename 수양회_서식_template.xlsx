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1구역" sheetId="1" state="visible" r:id="rId1"/>
    <sheet xmlns:r="http://schemas.openxmlformats.org/officeDocument/2006/relationships" name="12구역" sheetId="2" state="visible" r:id="rId2"/>
    <sheet xmlns:r="http://schemas.openxmlformats.org/officeDocument/2006/relationships" name="13구역" sheetId="3" state="visible" r:id="rId3"/>
    <sheet xmlns:r="http://schemas.openxmlformats.org/officeDocument/2006/relationships" name="14구역" sheetId="4" state="visible" r:id="rId4"/>
    <sheet xmlns:r="http://schemas.openxmlformats.org/officeDocument/2006/relationships" name="21구역" sheetId="5" state="visible" r:id="rId5"/>
    <sheet xmlns:r="http://schemas.openxmlformats.org/officeDocument/2006/relationships" name="22구역" sheetId="6" state="visible" r:id="rId6"/>
    <sheet xmlns:r="http://schemas.openxmlformats.org/officeDocument/2006/relationships" name="23구역" sheetId="7" state="visible" r:id="rId7"/>
    <sheet xmlns:r="http://schemas.openxmlformats.org/officeDocument/2006/relationships" name="24구역" sheetId="8" state="visible" r:id="rId8"/>
    <sheet xmlns:r="http://schemas.openxmlformats.org/officeDocument/2006/relationships" name="31구역" sheetId="9" state="visible" r:id="rId9"/>
    <sheet xmlns:r="http://schemas.openxmlformats.org/officeDocument/2006/relationships" name="32구역" sheetId="10" state="visible" r:id="rId10"/>
    <sheet xmlns:r="http://schemas.openxmlformats.org/officeDocument/2006/relationships" name="33구역" sheetId="11" state="visible" r:id="rId11"/>
    <sheet xmlns:r="http://schemas.openxmlformats.org/officeDocument/2006/relationships" name="34구역" sheetId="12" state="visible" r:id="rId12"/>
    <sheet xmlns:r="http://schemas.openxmlformats.org/officeDocument/2006/relationships" name="전도대상자" sheetId="13" state="visible" r:id="rId13"/>
    <sheet xmlns:r="http://schemas.openxmlformats.org/officeDocument/2006/relationships" name="전도현황" sheetId="14" state="visible" r:id="rId14"/>
    <sheet xmlns:r="http://schemas.openxmlformats.org/officeDocument/2006/relationships" name="회비지원" sheetId="15" state="visible" r:id="rId15"/>
    <sheet xmlns:r="http://schemas.openxmlformats.org/officeDocument/2006/relationships" name="통계" sheetId="16" state="visible" r:id="rId16"/>
    <sheet xmlns:r="http://schemas.openxmlformats.org/officeDocument/2006/relationships" name="1호차" sheetId="17" state="visible" r:id="rId17"/>
    <sheet xmlns:r="http://schemas.openxmlformats.org/officeDocument/2006/relationships" name="2호차" sheetId="18" state="visible" r:id="rId18"/>
    <sheet xmlns:r="http://schemas.openxmlformats.org/officeDocument/2006/relationships" name="3호차" sheetId="19" state="visible" r:id="rId19"/>
    <sheet xmlns:r="http://schemas.openxmlformats.org/officeDocument/2006/relationships" name="4호차" sheetId="20" state="visible" r:id="rId20"/>
    <sheet xmlns:r="http://schemas.openxmlformats.org/officeDocument/2006/relationships" name="5호차" sheetId="21" state="visible" r:id="rId21"/>
    <sheet xmlns:r="http://schemas.openxmlformats.org/officeDocument/2006/relationships" name="6호차" sheetId="22" state="visible" r:id="rId22"/>
    <sheet xmlns:r="http://schemas.openxmlformats.org/officeDocument/2006/relationships" name="7호차" sheetId="23" state="visible" r:id="rId23"/>
    <sheet xmlns:r="http://schemas.openxmlformats.org/officeDocument/2006/relationships" name="교회차" sheetId="24" state="visible" r:id="rId24"/>
    <sheet xmlns:r="http://schemas.openxmlformats.org/officeDocument/2006/relationships" name="개인차" sheetId="25" state="visible" r:id="rId25"/>
    <sheet xmlns:r="http://schemas.openxmlformats.org/officeDocument/2006/relationships" name="타교회_대중교통" sheetId="26" state="visible" r:id="rId2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>
        <v>1</v>
      </c>
      <c r="B3" s="42">
        <f>IF(전도대상자!B3="","",전도대상자!B3)</f>
        <v/>
      </c>
      <c r="C3" s="42">
        <f>IF(전도대상자!D3="","",전도대상자!D3)</f>
        <v/>
      </c>
      <c r="D3" s="42">
        <f>IF(전도대상자!C3="","",전도대상자!C3)</f>
        <v/>
      </c>
      <c r="E3" s="42">
        <f>IF(전도대상자!F3="","",전도대상자!F3)</f>
        <v/>
      </c>
      <c r="F3" s="42">
        <f>IF(전도대상자!E3="","",전도대상자!E3)</f>
        <v/>
      </c>
      <c r="G3" s="42" t="n"/>
      <c r="H3" s="42" t="n"/>
      <c r="I3" s="42">
        <f>IF(전도대상자!I3="","",전도대상자!I3)</f>
        <v/>
      </c>
    </row>
    <row r="4" ht="19.5" customHeight="1" s="33">
      <c r="A4" s="43" t="n">
        <v>2</v>
      </c>
      <c r="B4" s="44">
        <f>IF(전도대상자!B4="","",전도대상자!B4)</f>
        <v/>
      </c>
      <c r="C4" s="44">
        <f>IF(전도대상자!D4="","",전도대상자!D4)</f>
        <v/>
      </c>
      <c r="D4" s="44">
        <f>IF(전도대상자!C4="","",전도대상자!C4)</f>
        <v/>
      </c>
      <c r="E4" s="44">
        <f>IF(전도대상자!F4="","",전도대상자!F4)</f>
        <v/>
      </c>
      <c r="F4" s="44">
        <f>IF(전도대상자!E4="","",전도대상자!E4)</f>
        <v/>
      </c>
      <c r="G4" s="44" t="n"/>
      <c r="H4" s="44" t="n"/>
      <c r="I4" s="44">
        <f>IF(전도대상자!I4="","",전도대상자!I4)</f>
        <v/>
      </c>
    </row>
    <row r="5" ht="19.5" customHeight="1" s="33">
      <c r="A5" s="41" t="n">
        <v>3</v>
      </c>
      <c r="B5" s="42">
        <f>IF(전도대상자!B5="","",전도대상자!B5)</f>
        <v/>
      </c>
      <c r="C5" s="42">
        <f>IF(전도대상자!D5="","",전도대상자!D5)</f>
        <v/>
      </c>
      <c r="D5" s="42">
        <f>IF(전도대상자!C5="","",전도대상자!C5)</f>
        <v/>
      </c>
      <c r="E5" s="42">
        <f>IF(전도대상자!F5="","",전도대상자!F5)</f>
        <v/>
      </c>
      <c r="F5" s="42">
        <f>IF(전도대상자!E5="","",전도대상자!E5)</f>
        <v/>
      </c>
      <c r="G5" s="42" t="n"/>
      <c r="H5" s="42" t="n"/>
      <c r="I5" s="42">
        <f>IF(전도대상자!I5="","",전도대상자!I5)</f>
        <v/>
      </c>
    </row>
    <row r="6" ht="19.5" customHeight="1" s="33">
      <c r="A6" s="43" t="n">
        <v>4</v>
      </c>
      <c r="B6" s="44">
        <f>IF(전도대상자!B6="","",전도대상자!B6)</f>
        <v/>
      </c>
      <c r="C6" s="44">
        <f>IF(전도대상자!D6="","",전도대상자!D6)</f>
        <v/>
      </c>
      <c r="D6" s="44">
        <f>IF(전도대상자!C6="","",전도대상자!C6)</f>
        <v/>
      </c>
      <c r="E6" s="44">
        <f>IF(전도대상자!F6="","",전도대상자!F6)</f>
        <v/>
      </c>
      <c r="F6" s="44">
        <f>IF(전도대상자!E6="","",전도대상자!E6)</f>
        <v/>
      </c>
      <c r="G6" s="44" t="n"/>
      <c r="H6" s="44" t="n"/>
      <c r="I6" s="44">
        <f>IF(전도대상자!I6="","",전도대상자!I6)</f>
        <v/>
      </c>
    </row>
    <row r="7" ht="19.5" customHeight="1" s="33">
      <c r="A7" s="41" t="n">
        <v>5</v>
      </c>
      <c r="B7" s="42">
        <f>IF(전도대상자!B7="","",전도대상자!B7)</f>
        <v/>
      </c>
      <c r="C7" s="42">
        <f>IF(전도대상자!D7="","",전도대상자!D7)</f>
        <v/>
      </c>
      <c r="D7" s="42">
        <f>IF(전도대상자!C7="","",전도대상자!C7)</f>
        <v/>
      </c>
      <c r="E7" s="42">
        <f>IF(전도대상자!F7="","",전도대상자!F7)</f>
        <v/>
      </c>
      <c r="F7" s="42">
        <f>IF(전도대상자!E7="","",전도대상자!E7)</f>
        <v/>
      </c>
      <c r="G7" s="42" t="n"/>
      <c r="H7" s="42" t="n"/>
      <c r="I7" s="42">
        <f>IF(전도대상자!I7="","",전도대상자!I7)</f>
        <v/>
      </c>
    </row>
    <row r="8" ht="19.5" customHeight="1" s="33">
      <c r="A8" s="43" t="n">
        <v>6</v>
      </c>
      <c r="B8" s="44">
        <f>IF(전도대상자!B8="","",전도대상자!B8)</f>
        <v/>
      </c>
      <c r="C8" s="44">
        <f>IF(전도대상자!D8="","",전도대상자!D8)</f>
        <v/>
      </c>
      <c r="D8" s="44">
        <f>IF(전도대상자!C8="","",전도대상자!C8)</f>
        <v/>
      </c>
      <c r="E8" s="44">
        <f>IF(전도대상자!F8="","",전도대상자!F8)</f>
        <v/>
      </c>
      <c r="F8" s="44">
        <f>IF(전도대상자!E8="","",전도대상자!E8)</f>
        <v/>
      </c>
      <c r="G8" s="44" t="n"/>
      <c r="H8" s="44" t="n"/>
      <c r="I8" s="44">
        <f>IF(전도대상자!I8="","",전도대상자!I8)</f>
        <v/>
      </c>
    </row>
    <row r="9" ht="19.5" customHeight="1" s="33">
      <c r="A9" s="41" t="n">
        <v>7</v>
      </c>
      <c r="B9" s="42">
        <f>IF(전도대상자!B9="","",전도대상자!B9)</f>
        <v/>
      </c>
      <c r="C9" s="42">
        <f>IF(전도대상자!D9="","",전도대상자!D9)</f>
        <v/>
      </c>
      <c r="D9" s="42">
        <f>IF(전도대상자!C9="","",전도대상자!C9)</f>
        <v/>
      </c>
      <c r="E9" s="42">
        <f>IF(전도대상자!F9="","",전도대상자!F9)</f>
        <v/>
      </c>
      <c r="F9" s="42">
        <f>IF(전도대상자!E9="","",전도대상자!E9)</f>
        <v/>
      </c>
      <c r="G9" s="42" t="n"/>
      <c r="H9" s="42" t="n"/>
      <c r="I9" s="42">
        <f>IF(전도대상자!I9="","",전도대상자!I9)</f>
        <v/>
      </c>
    </row>
    <row r="10" ht="19.5" customHeight="1" s="33">
      <c r="A10" s="43" t="n">
        <v>8</v>
      </c>
      <c r="B10" s="44">
        <f>IF(전도대상자!B10="","",전도대상자!B10)</f>
        <v/>
      </c>
      <c r="C10" s="44">
        <f>IF(전도대상자!D10="","",전도대상자!D10)</f>
        <v/>
      </c>
      <c r="D10" s="44">
        <f>IF(전도대상자!C10="","",전도대상자!C10)</f>
        <v/>
      </c>
      <c r="E10" s="44">
        <f>IF(전도대상자!F10="","",전도대상자!F10)</f>
        <v/>
      </c>
      <c r="F10" s="44">
        <f>IF(전도대상자!E10="","",전도대상자!E10)</f>
        <v/>
      </c>
      <c r="G10" s="44" t="n"/>
      <c r="H10" s="44" t="n"/>
      <c r="I10" s="44">
        <f>IF(전도대상자!I10="","",전도대상자!I10)</f>
        <v/>
      </c>
    </row>
    <row r="11" ht="19.5" customHeight="1" s="33">
      <c r="A11" s="41" t="n">
        <v>9</v>
      </c>
      <c r="B11" s="42">
        <f>IF(전도대상자!B11="","",전도대상자!B11)</f>
        <v/>
      </c>
      <c r="C11" s="42">
        <f>IF(전도대상자!D11="","",전도대상자!D11)</f>
        <v/>
      </c>
      <c r="D11" s="42">
        <f>IF(전도대상자!C11="","",전도대상자!C11)</f>
        <v/>
      </c>
      <c r="E11" s="42">
        <f>IF(전도대상자!F11="","",전도대상자!F11)</f>
        <v/>
      </c>
      <c r="F11" s="42">
        <f>IF(전도대상자!E11="","",전도대상자!E11)</f>
        <v/>
      </c>
      <c r="G11" s="42" t="n"/>
      <c r="H11" s="42" t="n"/>
      <c r="I11" s="42">
        <f>IF(전도대상자!I11="","",전도대상자!I11)</f>
        <v/>
      </c>
    </row>
    <row r="12" ht="19.5" customHeight="1" s="33">
      <c r="A12" s="43" t="n">
        <v>10</v>
      </c>
      <c r="B12" s="44">
        <f>IF(전도대상자!B12="","",전도대상자!B12)</f>
        <v/>
      </c>
      <c r="C12" s="44">
        <f>IF(전도대상자!D12="","",전도대상자!D12)</f>
        <v/>
      </c>
      <c r="D12" s="44">
        <f>IF(전도대상자!C12="","",전도대상자!C12)</f>
        <v/>
      </c>
      <c r="E12" s="44">
        <f>IF(전도대상자!F12="","",전도대상자!F12)</f>
        <v/>
      </c>
      <c r="F12" s="44">
        <f>IF(전도대상자!E12="","",전도대상자!E12)</f>
        <v/>
      </c>
      <c r="G12" s="44" t="n"/>
      <c r="H12" s="44" t="n"/>
      <c r="I12" s="44">
        <f>IF(전도대상자!I12="","",전도대상자!I12)</f>
        <v/>
      </c>
    </row>
    <row r="13" ht="19.5" customHeight="1" s="33">
      <c r="A13" s="41" t="n">
        <v>11</v>
      </c>
      <c r="B13" s="42">
        <f>IF(전도대상자!B13="","",전도대상자!B13)</f>
        <v/>
      </c>
      <c r="C13" s="42">
        <f>IF(전도대상자!D13="","",전도대상자!D13)</f>
        <v/>
      </c>
      <c r="D13" s="42">
        <f>IF(전도대상자!C13="","",전도대상자!C13)</f>
        <v/>
      </c>
      <c r="E13" s="42">
        <f>IF(전도대상자!F13="","",전도대상자!F13)</f>
        <v/>
      </c>
      <c r="F13" s="42">
        <f>IF(전도대상자!E13="","",전도대상자!E13)</f>
        <v/>
      </c>
      <c r="G13" s="42" t="n"/>
      <c r="H13" s="42" t="n"/>
      <c r="I13" s="42">
        <f>IF(전도대상자!I13="","",전도대상자!I13)</f>
        <v/>
      </c>
    </row>
    <row r="14" ht="19.5" customHeight="1" s="33">
      <c r="A14" s="43" t="n">
        <v>12</v>
      </c>
      <c r="B14" s="44">
        <f>IF(전도대상자!B14="","",전도대상자!B14)</f>
        <v/>
      </c>
      <c r="C14" s="44">
        <f>IF(전도대상자!D14="","",전도대상자!D14)</f>
        <v/>
      </c>
      <c r="D14" s="44">
        <f>IF(전도대상자!C14="","",전도대상자!C14)</f>
        <v/>
      </c>
      <c r="E14" s="44">
        <f>IF(전도대상자!F14="","",전도대상자!F14)</f>
        <v/>
      </c>
      <c r="F14" s="44">
        <f>IF(전도대상자!E14="","",전도대상자!E14)</f>
        <v/>
      </c>
      <c r="G14" s="44" t="n"/>
      <c r="H14" s="44" t="n"/>
      <c r="I14" s="44">
        <f>IF(전도대상자!I14="","",전도대상자!I14)</f>
        <v/>
      </c>
    </row>
    <row r="15" ht="19.5" customHeight="1" s="33">
      <c r="A15" s="41" t="n">
        <v>13</v>
      </c>
      <c r="B15" s="42">
        <f>IF(전도대상자!B15="","",전도대상자!B15)</f>
        <v/>
      </c>
      <c r="C15" s="42">
        <f>IF(전도대상자!D15="","",전도대상자!D15)</f>
        <v/>
      </c>
      <c r="D15" s="42">
        <f>IF(전도대상자!C15="","",전도대상자!C15)</f>
        <v/>
      </c>
      <c r="E15" s="42">
        <f>IF(전도대상자!F15="","",전도대상자!F15)</f>
        <v/>
      </c>
      <c r="F15" s="42">
        <f>IF(전도대상자!E15="","",전도대상자!E15)</f>
        <v/>
      </c>
      <c r="G15" s="42" t="n"/>
      <c r="H15" s="42" t="n"/>
      <c r="I15" s="42">
        <f>IF(전도대상자!I15="","",전도대상자!I15)</f>
        <v/>
      </c>
    </row>
    <row r="16" ht="19.5" customHeight="1" s="33">
      <c r="A16" s="43" t="n">
        <v>14</v>
      </c>
      <c r="B16" s="44">
        <f>IF(전도대상자!B16="","",전도대상자!B16)</f>
        <v/>
      </c>
      <c r="C16" s="44">
        <f>IF(전도대상자!D16="","",전도대상자!D16)</f>
        <v/>
      </c>
      <c r="D16" s="44">
        <f>IF(전도대상자!C16="","",전도대상자!C16)</f>
        <v/>
      </c>
      <c r="E16" s="44">
        <f>IF(전도대상자!F16="","",전도대상자!F16)</f>
        <v/>
      </c>
      <c r="F16" s="44">
        <f>IF(전도대상자!E16="","",전도대상자!E16)</f>
        <v/>
      </c>
      <c r="G16" s="44" t="n"/>
      <c r="H16" s="44" t="n"/>
      <c r="I16" s="44">
        <f>IF(전도대상자!I16="","",전도대상자!I16)</f>
        <v/>
      </c>
    </row>
    <row r="17" ht="19.5" customHeight="1" s="33">
      <c r="A17" s="41" t="n">
        <v>15</v>
      </c>
      <c r="B17" s="42">
        <f>IF(전도대상자!B17="","",전도대상자!B17)</f>
        <v/>
      </c>
      <c r="C17" s="42">
        <f>IF(전도대상자!D17="","",전도대상자!D17)</f>
        <v/>
      </c>
      <c r="D17" s="42">
        <f>IF(전도대상자!C17="","",전도대상자!C17)</f>
        <v/>
      </c>
      <c r="E17" s="42">
        <f>IF(전도대상자!F17="","",전도대상자!F17)</f>
        <v/>
      </c>
      <c r="F17" s="42">
        <f>IF(전도대상자!E17="","",전도대상자!E17)</f>
        <v/>
      </c>
      <c r="G17" s="42" t="n"/>
      <c r="H17" s="42" t="n"/>
      <c r="I17" s="42">
        <f>IF(전도대상자!I17="","",전도대상자!I17)</f>
        <v/>
      </c>
    </row>
    <row r="18" ht="19.5" customHeight="1" s="33">
      <c r="A18" s="43" t="n">
        <v>16</v>
      </c>
      <c r="B18" s="44">
        <f>IF(전도대상자!B18="","",전도대상자!B18)</f>
        <v/>
      </c>
      <c r="C18" s="44">
        <f>IF(전도대상자!D18="","",전도대상자!D18)</f>
        <v/>
      </c>
      <c r="D18" s="44">
        <f>IF(전도대상자!C18="","",전도대상자!C18)</f>
        <v/>
      </c>
      <c r="E18" s="44">
        <f>IF(전도대상자!F18="","",전도대상자!F18)</f>
        <v/>
      </c>
      <c r="F18" s="44">
        <f>IF(전도대상자!E18="","",전도대상자!E18)</f>
        <v/>
      </c>
      <c r="G18" s="44" t="n"/>
      <c r="H18" s="44" t="n"/>
      <c r="I18" s="44">
        <f>IF(전도대상자!I18="","",전도대상자!I18)</f>
        <v/>
      </c>
    </row>
    <row r="19" ht="19.5" customHeight="1" s="33">
      <c r="A19" s="41" t="n">
        <v>17</v>
      </c>
      <c r="B19" s="42">
        <f>IF(전도대상자!B19="","",전도대상자!B19)</f>
        <v/>
      </c>
      <c r="C19" s="42">
        <f>IF(전도대상자!D19="","",전도대상자!D19)</f>
        <v/>
      </c>
      <c r="D19" s="42">
        <f>IF(전도대상자!C19="","",전도대상자!C19)</f>
        <v/>
      </c>
      <c r="E19" s="42">
        <f>IF(전도대상자!F19="","",전도대상자!F19)</f>
        <v/>
      </c>
      <c r="F19" s="42">
        <f>IF(전도대상자!E19="","",전도대상자!E19)</f>
        <v/>
      </c>
      <c r="G19" s="42" t="n"/>
      <c r="H19" s="42" t="n"/>
      <c r="I19" s="42">
        <f>IF(전도대상자!I19="","",전도대상자!I19)</f>
        <v/>
      </c>
    </row>
    <row r="20" ht="19.5" customHeight="1" s="33">
      <c r="A20" s="43" t="n">
        <v>18</v>
      </c>
      <c r="B20" s="44">
        <f>IF(전도대상자!B20="","",전도대상자!B20)</f>
        <v/>
      </c>
      <c r="C20" s="44">
        <f>IF(전도대상자!D20="","",전도대상자!D20)</f>
        <v/>
      </c>
      <c r="D20" s="44">
        <f>IF(전도대상자!C20="","",전도대상자!C20)</f>
        <v/>
      </c>
      <c r="E20" s="44">
        <f>IF(전도대상자!F20="","",전도대상자!F20)</f>
        <v/>
      </c>
      <c r="F20" s="44">
        <f>IF(전도대상자!E20="","",전도대상자!E20)</f>
        <v/>
      </c>
      <c r="G20" s="44" t="n"/>
      <c r="H20" s="44" t="n"/>
      <c r="I20" s="44">
        <f>IF(전도대상자!I20="","",전도대상자!I20)</f>
        <v/>
      </c>
    </row>
    <row r="21" ht="19.5" customHeight="1" s="33">
      <c r="A21" s="41" t="n">
        <v>19</v>
      </c>
      <c r="B21" s="42">
        <f>IF(전도대상자!B21="","",전도대상자!B21)</f>
        <v/>
      </c>
      <c r="C21" s="42">
        <f>IF(전도대상자!D21="","",전도대상자!D21)</f>
        <v/>
      </c>
      <c r="D21" s="42">
        <f>IF(전도대상자!C21="","",전도대상자!C21)</f>
        <v/>
      </c>
      <c r="E21" s="42">
        <f>IF(전도대상자!F21="","",전도대상자!F21)</f>
        <v/>
      </c>
      <c r="F21" s="42">
        <f>IF(전도대상자!E21="","",전도대상자!E21)</f>
        <v/>
      </c>
      <c r="G21" s="42" t="n"/>
      <c r="H21" s="42" t="n"/>
      <c r="I21" s="42">
        <f>IF(전도대상자!I21="","",전도대상자!I21)</f>
        <v/>
      </c>
    </row>
    <row r="22" ht="19.5" customHeight="1" s="33">
      <c r="A22" s="43" t="n">
        <v>20</v>
      </c>
      <c r="B22" s="44">
        <f>IF(전도대상자!B22="","",전도대상자!B22)</f>
        <v/>
      </c>
      <c r="C22" s="44">
        <f>IF(전도대상자!D22="","",전도대상자!D22)</f>
        <v/>
      </c>
      <c r="D22" s="44">
        <f>IF(전도대상자!C22="","",전도대상자!C22)</f>
        <v/>
      </c>
      <c r="E22" s="44">
        <f>IF(전도대상자!F22="","",전도대상자!F22)</f>
        <v/>
      </c>
      <c r="F22" s="44">
        <f>IF(전도대상자!E22="","",전도대상자!E22)</f>
        <v/>
      </c>
      <c r="G22" s="44" t="n"/>
      <c r="H22" s="44" t="n"/>
      <c r="I22" s="44">
        <f>IF(전도대상자!I22="","",전도대상자!I22)</f>
        <v/>
      </c>
    </row>
    <row r="23" ht="19.5" customHeight="1" s="33">
      <c r="A23" s="41" t="n">
        <v>21</v>
      </c>
      <c r="B23" s="42">
        <f>IF(전도대상자!B23="","",전도대상자!B23)</f>
        <v/>
      </c>
      <c r="C23" s="42">
        <f>IF(전도대상자!D23="","",전도대상자!D23)</f>
        <v/>
      </c>
      <c r="D23" s="42">
        <f>IF(전도대상자!C23="","",전도대상자!C23)</f>
        <v/>
      </c>
      <c r="E23" s="42">
        <f>IF(전도대상자!F23="","",전도대상자!F23)</f>
        <v/>
      </c>
      <c r="F23" s="42">
        <f>IF(전도대상자!E23="","",전도대상자!E23)</f>
        <v/>
      </c>
      <c r="G23" s="42" t="n"/>
      <c r="H23" s="42" t="n"/>
      <c r="I23" s="42">
        <f>IF(전도대상자!I23="","",전도대상자!I23)</f>
        <v/>
      </c>
    </row>
    <row r="24" ht="19.5" customHeight="1" s="33">
      <c r="A24" s="43" t="n">
        <v>22</v>
      </c>
      <c r="B24" s="44">
        <f>IF(전도대상자!B24="","",전도대상자!B24)</f>
        <v/>
      </c>
      <c r="C24" s="44">
        <f>IF(전도대상자!D24="","",전도대상자!D24)</f>
        <v/>
      </c>
      <c r="D24" s="44">
        <f>IF(전도대상자!C24="","",전도대상자!C24)</f>
        <v/>
      </c>
      <c r="E24" s="44">
        <f>IF(전도대상자!F24="","",전도대상자!F24)</f>
        <v/>
      </c>
      <c r="F24" s="44">
        <f>IF(전도대상자!E24="","",전도대상자!E24)</f>
        <v/>
      </c>
      <c r="G24" s="44" t="n"/>
      <c r="H24" s="44" t="n"/>
      <c r="I24" s="44">
        <f>IF(전도대상자!I24="","",전도대상자!I24)</f>
        <v/>
      </c>
    </row>
    <row r="25" ht="19.5" customHeight="1" s="33">
      <c r="A25" s="41" t="n">
        <v>23</v>
      </c>
      <c r="B25" s="42">
        <f>IF(전도대상자!B25="","",전도대상자!B25)</f>
        <v/>
      </c>
      <c r="C25" s="42">
        <f>IF(전도대상자!D25="","",전도대상자!D25)</f>
        <v/>
      </c>
      <c r="D25" s="42">
        <f>IF(전도대상자!C25="","",전도대상자!C25)</f>
        <v/>
      </c>
      <c r="E25" s="42">
        <f>IF(전도대상자!F25="","",전도대상자!F25)</f>
        <v/>
      </c>
      <c r="F25" s="42">
        <f>IF(전도대상자!E25="","",전도대상자!E25)</f>
        <v/>
      </c>
      <c r="G25" s="42" t="n"/>
      <c r="H25" s="42" t="n"/>
      <c r="I25" s="42">
        <f>IF(전도대상자!I25="","",전도대상자!I25)</f>
        <v/>
      </c>
    </row>
    <row r="26" ht="19.5" customHeight="1" s="33">
      <c r="A26" s="43" t="n">
        <v>24</v>
      </c>
      <c r="B26" s="44">
        <f>IF(전도대상자!B26="","",전도대상자!B26)</f>
        <v/>
      </c>
      <c r="C26" s="44">
        <f>IF(전도대상자!D26="","",전도대상자!D26)</f>
        <v/>
      </c>
      <c r="D26" s="44">
        <f>IF(전도대상자!C26="","",전도대상자!C26)</f>
        <v/>
      </c>
      <c r="E26" s="44">
        <f>IF(전도대상자!F26="","",전도대상자!F26)</f>
        <v/>
      </c>
      <c r="F26" s="44">
        <f>IF(전도대상자!E26="","",전도대상자!E26)</f>
        <v/>
      </c>
      <c r="G26" s="44" t="n"/>
      <c r="H26" s="44" t="n"/>
      <c r="I26" s="44">
        <f>IF(전도대상자!I26="","",전도대상자!I26)</f>
        <v/>
      </c>
    </row>
    <row r="27" ht="19.5" customHeight="1" s="33">
      <c r="A27" s="41" t="n">
        <v>25</v>
      </c>
      <c r="B27" s="42">
        <f>IF(전도대상자!B27="","",전도대상자!B27)</f>
        <v/>
      </c>
      <c r="C27" s="42">
        <f>IF(전도대상자!D27="","",전도대상자!D27)</f>
        <v/>
      </c>
      <c r="D27" s="42">
        <f>IF(전도대상자!C27="","",전도대상자!C27)</f>
        <v/>
      </c>
      <c r="E27" s="42">
        <f>IF(전도대상자!F27="","",전도대상자!F27)</f>
        <v/>
      </c>
      <c r="F27" s="42">
        <f>IF(전도대상자!E27="","",전도대상자!E27)</f>
        <v/>
      </c>
      <c r="G27" s="42" t="n"/>
      <c r="H27" s="42" t="n"/>
      <c r="I27" s="42">
        <f>IF(전도대상자!I27="","",전도대상자!I27)</f>
        <v/>
      </c>
    </row>
    <row r="28" ht="19.5" customHeight="1" s="33">
      <c r="A28" s="43" t="n">
        <v>26</v>
      </c>
      <c r="B28" s="44">
        <f>IF(전도대상자!B28="","",전도대상자!B28)</f>
        <v/>
      </c>
      <c r="C28" s="44">
        <f>IF(전도대상자!D28="","",전도대상자!D28)</f>
        <v/>
      </c>
      <c r="D28" s="44">
        <f>IF(전도대상자!C28="","",전도대상자!C28)</f>
        <v/>
      </c>
      <c r="E28" s="44">
        <f>IF(전도대상자!F28="","",전도대상자!F28)</f>
        <v/>
      </c>
      <c r="F28" s="44">
        <f>IF(전도대상자!E28="","",전도대상자!E28)</f>
        <v/>
      </c>
      <c r="G28" s="44" t="n"/>
      <c r="H28" s="44" t="n"/>
      <c r="I28" s="44">
        <f>IF(전도대상자!I28="","",전도대상자!I28)</f>
        <v/>
      </c>
    </row>
    <row r="29" ht="19.5" customHeight="1" s="33">
      <c r="A29" s="41" t="n">
        <v>27</v>
      </c>
      <c r="B29" s="42">
        <f>IF(전도대상자!B29="","",전도대상자!B29)</f>
        <v/>
      </c>
      <c r="C29" s="42">
        <f>IF(전도대상자!D29="","",전도대상자!D29)</f>
        <v/>
      </c>
      <c r="D29" s="42">
        <f>IF(전도대상자!C29="","",전도대상자!C29)</f>
        <v/>
      </c>
      <c r="E29" s="42">
        <f>IF(전도대상자!F29="","",전도대상자!F29)</f>
        <v/>
      </c>
      <c r="F29" s="42">
        <f>IF(전도대상자!E29="","",전도대상자!E29)</f>
        <v/>
      </c>
      <c r="G29" s="42" t="n"/>
      <c r="H29" s="42" t="n"/>
      <c r="I29" s="42">
        <f>IF(전도대상자!I29="","",전도대상자!I29)</f>
        <v/>
      </c>
    </row>
    <row r="30" ht="19.5" customHeight="1" s="33">
      <c r="A30" s="43" t="n">
        <v>28</v>
      </c>
      <c r="B30" s="44">
        <f>IF(전도대상자!B30="","",전도대상자!B30)</f>
        <v/>
      </c>
      <c r="C30" s="44">
        <f>IF(전도대상자!D30="","",전도대상자!D30)</f>
        <v/>
      </c>
      <c r="D30" s="44">
        <f>IF(전도대상자!C30="","",전도대상자!C30)</f>
        <v/>
      </c>
      <c r="E30" s="44">
        <f>IF(전도대상자!F30="","",전도대상자!F30)</f>
        <v/>
      </c>
      <c r="F30" s="44">
        <f>IF(전도대상자!E30="","",전도대상자!E30)</f>
        <v/>
      </c>
      <c r="G30" s="44" t="n"/>
      <c r="H30" s="44" t="n"/>
      <c r="I30" s="44">
        <f>IF(전도대상자!I30="","",전도대상자!I30)</f>
        <v/>
      </c>
    </row>
    <row r="31" ht="19.5" customHeight="1" s="33">
      <c r="A31" s="41" t="n">
        <v>29</v>
      </c>
      <c r="B31" s="42">
        <f>IF(전도대상자!B31="","",전도대상자!B31)</f>
        <v/>
      </c>
      <c r="C31" s="42">
        <f>IF(전도대상자!D31="","",전도대상자!D31)</f>
        <v/>
      </c>
      <c r="D31" s="42">
        <f>IF(전도대상자!C31="","",전도대상자!C31)</f>
        <v/>
      </c>
      <c r="E31" s="42">
        <f>IF(전도대상자!F31="","",전도대상자!F31)</f>
        <v/>
      </c>
      <c r="F31" s="42">
        <f>IF(전도대상자!E31="","",전도대상자!E31)</f>
        <v/>
      </c>
      <c r="G31" s="42" t="n"/>
      <c r="H31" s="42" t="n"/>
      <c r="I31" s="42">
        <f>IF(전도대상자!I31="","",전도대상자!I31)</f>
        <v/>
      </c>
    </row>
    <row r="32" ht="19.5" customHeight="1" s="33">
      <c r="A32" s="43" t="n">
        <v>30</v>
      </c>
      <c r="B32" s="44">
        <f>IF(전도대상자!B32="","",전도대상자!B32)</f>
        <v/>
      </c>
      <c r="C32" s="44">
        <f>IF(전도대상자!D32="","",전도대상자!D32)</f>
        <v/>
      </c>
      <c r="D32" s="44">
        <f>IF(전도대상자!C32="","",전도대상자!C32)</f>
        <v/>
      </c>
      <c r="E32" s="44">
        <f>IF(전도대상자!F32="","",전도대상자!F32)</f>
        <v/>
      </c>
      <c r="F32" s="44">
        <f>IF(전도대상자!E32="","",전도대상자!E32)</f>
        <v/>
      </c>
      <c r="G32" s="44" t="n"/>
      <c r="H32" s="44" t="n"/>
      <c r="I32" s="44">
        <f>IF(전도대상자!I32="","",전도대상자!I32)</f>
        <v/>
      </c>
    </row>
    <row r="33" ht="19.5" customHeight="1" s="33">
      <c r="A33" s="41" t="n">
        <v>31</v>
      </c>
      <c r="B33" s="42">
        <f>IF(전도대상자!B33="","",전도대상자!B33)</f>
        <v/>
      </c>
      <c r="C33" s="42">
        <f>IF(전도대상자!D33="","",전도대상자!D33)</f>
        <v/>
      </c>
      <c r="D33" s="42">
        <f>IF(전도대상자!C33="","",전도대상자!C33)</f>
        <v/>
      </c>
      <c r="E33" s="42">
        <f>IF(전도대상자!F33="","",전도대상자!F33)</f>
        <v/>
      </c>
      <c r="F33" s="42">
        <f>IF(전도대상자!E33="","",전도대상자!E33)</f>
        <v/>
      </c>
      <c r="G33" s="42" t="n"/>
      <c r="H33" s="42" t="n"/>
      <c r="I33" s="42">
        <f>IF(전도대상자!I33="","",전도대상자!I33)</f>
        <v/>
      </c>
    </row>
    <row r="34" ht="19.5" customHeight="1" s="33">
      <c r="A34" s="43" t="n">
        <v>32</v>
      </c>
      <c r="B34" s="44">
        <f>IF(전도대상자!B34="","",전도대상자!B34)</f>
        <v/>
      </c>
      <c r="C34" s="44">
        <f>IF(전도대상자!D34="","",전도대상자!D34)</f>
        <v/>
      </c>
      <c r="D34" s="44">
        <f>IF(전도대상자!C34="","",전도대상자!C34)</f>
        <v/>
      </c>
      <c r="E34" s="44">
        <f>IF(전도대상자!F34="","",전도대상자!F34)</f>
        <v/>
      </c>
      <c r="F34" s="44">
        <f>IF(전도대상자!E34="","",전도대상자!E34)</f>
        <v/>
      </c>
      <c r="G34" s="44" t="n"/>
      <c r="H34" s="44" t="n"/>
      <c r="I34" s="44">
        <f>IF(전도대상자!I34="","",전도대상자!I34)</f>
        <v/>
      </c>
    </row>
    <row r="35" ht="19.5" customHeight="1" s="33">
      <c r="A35" s="41" t="n">
        <v>33</v>
      </c>
      <c r="B35" s="42">
        <f>IF(전도대상자!B35="","",전도대상자!B35)</f>
        <v/>
      </c>
      <c r="C35" s="42">
        <f>IF(전도대상자!D35="","",전도대상자!D35)</f>
        <v/>
      </c>
      <c r="D35" s="42">
        <f>IF(전도대상자!C35="","",전도대상자!C35)</f>
        <v/>
      </c>
      <c r="E35" s="42">
        <f>IF(전도대상자!F35="","",전도대상자!F35)</f>
        <v/>
      </c>
      <c r="F35" s="42">
        <f>IF(전도대상자!E35="","",전도대상자!E35)</f>
        <v/>
      </c>
      <c r="G35" s="42" t="n"/>
      <c r="H35" s="42" t="n"/>
      <c r="I35" s="42">
        <f>IF(전도대상자!I35="","",전도대상자!I35)</f>
        <v/>
      </c>
    </row>
    <row r="36" ht="19.5" customHeight="1" s="33">
      <c r="A36" s="43" t="n">
        <v>34</v>
      </c>
      <c r="B36" s="44">
        <f>IF(전도대상자!B36="","",전도대상자!B36)</f>
        <v/>
      </c>
      <c r="C36" s="44">
        <f>IF(전도대상자!D36="","",전도대상자!D36)</f>
        <v/>
      </c>
      <c r="D36" s="44">
        <f>IF(전도대상자!C36="","",전도대상자!C36)</f>
        <v/>
      </c>
      <c r="E36" s="44">
        <f>IF(전도대상자!F36="","",전도대상자!F36)</f>
        <v/>
      </c>
      <c r="F36" s="44">
        <f>IF(전도대상자!E36="","",전도대상자!E36)</f>
        <v/>
      </c>
      <c r="G36" s="44" t="n"/>
      <c r="H36" s="44" t="n"/>
      <c r="I36" s="44">
        <f>IF(전도대상자!I36="","",전도대상자!I36)</f>
        <v/>
      </c>
    </row>
    <row r="37" ht="19.5" customHeight="1" s="33">
      <c r="A37" s="41" t="n">
        <v>35</v>
      </c>
      <c r="B37" s="42">
        <f>IF(전도대상자!B37="","",전도대상자!B37)</f>
        <v/>
      </c>
      <c r="C37" s="42">
        <f>IF(전도대상자!D37="","",전도대상자!D37)</f>
        <v/>
      </c>
      <c r="D37" s="42">
        <f>IF(전도대상자!C37="","",전도대상자!C37)</f>
        <v/>
      </c>
      <c r="E37" s="42">
        <f>IF(전도대상자!F37="","",전도대상자!F37)</f>
        <v/>
      </c>
      <c r="F37" s="42">
        <f>IF(전도대상자!E37="","",전도대상자!E37)</f>
        <v/>
      </c>
      <c r="G37" s="42" t="n"/>
      <c r="H37" s="42" t="n"/>
      <c r="I37" s="42">
        <f>IF(전도대상자!I37="","",전도대상자!I37)</f>
        <v/>
      </c>
    </row>
    <row r="38" ht="15" customHeight="1" s="33">
      <c r="A38" s="45" t="n">
        <v>36</v>
      </c>
      <c r="B38" s="32">
        <f>IF(전도대상자!B38="","",전도대상자!B38)</f>
        <v/>
      </c>
      <c r="C38" s="32">
        <f>IF(전도대상자!D38="","",전도대상자!D38)</f>
        <v/>
      </c>
      <c r="D38" s="32">
        <f>IF(전도대상자!C38="","",전도대상자!C38)</f>
        <v/>
      </c>
      <c r="E38" s="32">
        <f>IF(전도대상자!F38="","",전도대상자!F38)</f>
        <v/>
      </c>
      <c r="F38" s="32">
        <f>IF(전도대상자!E38="","",전도대상자!E38)</f>
        <v/>
      </c>
      <c r="G38" s="46" t="n"/>
      <c r="H38" s="46" t="n"/>
      <c r="I38" s="46">
        <f>IF(전도대상자!I38="","",전도대상자!I38)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2026년 하계수양회 교통편 통계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2" t="inlineStr">
        <is>
          <t>상행</t>
        </is>
      </c>
      <c r="E3" s="32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11구역</t>
        </is>
      </c>
      <c r="B4" s="42">
        <f>IF(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=0,"",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)</f>
        <v/>
      </c>
      <c r="C4" s="42">
        <f>IF(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=0,"",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)</f>
        <v/>
      </c>
      <c r="D4" s="42">
        <f>IF(COUNTIFS(11구역!F4:F43,"교회차1",11구역!E4:E43,"*"&amp;$B23&amp;"*")+COUNTIFS(11구역!F4:F43,"교회차2",11구역!E4:E43,"*"&amp;$B23&amp;"*")+COUNTIFS(11구역!H4:H43,"*교회차*",11구역!E4:E43,"*"&amp;$B23&amp;"*")=0,"",COUNTIFS(11구역!F4:F43,"교회차1",11구역!E4:E43,"*"&amp;$B23&amp;"*")+COUNTIFS(11구역!F4:F43,"교회차2",11구역!E4:E43,"*"&amp;$B23&amp;"*")+COUNTIFS(11구역!H4:H43,"*교회차*",11구역!E4:E43,"*"&amp;$B23&amp;"*"))</f>
        <v/>
      </c>
      <c r="E4" s="42">
        <f>IF(COUNTIFS(11구역!G4:G43,"교회차1",11구역!E4:E43,"*"&amp;$B23&amp;"*")+COUNTIFS(11구역!G4:G43,"교회차2",11구역!E4:E43,"*"&amp;$B23&amp;"*")+COUNTIFS(11구역!I4:I43,"*교회차*",11구역!E4:E43,"*"&amp;$B23&amp;"*")=0,"",COUNTIFS(11구역!G4:G43,"교회차1",11구역!E4:E43,"*"&amp;$B23&amp;"*")+COUNTIFS(11구역!G4:G43,"교회차2",11구역!E4:E43,"*"&amp;$B23&amp;"*")+COUNTIFS(11구역!I4:I43,"*교회차*",11구역!E4:E43,"*"&amp;$B23&amp;"*"))</f>
        <v/>
      </c>
      <c r="F4" s="42">
        <f>IF(COUNTIFS(11구역!F4:F43,"타교회",11구역!E4:E43,"*"&amp;$B23&amp;"*")+COUNTIFS(11구역!H4:H43,"*타교회*",11구역!E4:E43,"*"&amp;$B23&amp;"*")=0,"",COUNTIFS(11구역!F4:F43,"타교회",11구역!E4:E43,"*"&amp;$B23&amp;"*")+COUNTIFS(11구역!H4:H43,"*타교회*",11구역!E4:E43,"*"&amp;$B23&amp;"*"))</f>
        <v/>
      </c>
      <c r="G4" s="42">
        <f>IF(COUNTIFS(11구역!G4:G43,"타교회",11구역!E4:E43,"*"&amp;$B23&amp;"*")+COUNTIFS(11구역!I4:I43,"*타교회*",11구역!E4:E43,"*"&amp;$B23&amp;"*")=0,"",COUNTIFS(11구역!G4:G43,"타교회",11구역!E4:E43,"*"&amp;$B23&amp;"*")+COUNTIFS(11구역!I4:I43,"*타교회*",11구역!E4:E43,"*"&amp;$B23&amp;"*"))</f>
        <v/>
      </c>
      <c r="H4" s="42">
        <f>IF(COUNTIFS(11구역!F4:F43,"개인차",11구역!E4:E43,"*"&amp;$B23&amp;"*")+(COUNTIFS(11구역!H4:H43,"?*",11구역!E4:E43,"*"&amp;$B23&amp;"*")-COUNTIFS(11구역!H4:H43,"*교회차*",11구역!E4:E43,"*"&amp;$B23&amp;"*")-COUNTIFS(11구역!H4:H43,"*타교회*",11구역!E4:E43,"*"&amp;$B23&amp;"*")-COUNTIFS(11구역!H4:H43,"*대중교통*",11구역!E4:E43,"*"&amp;$B23&amp;"*"))=0,"",COUNTIFS(11구역!F4:F43,"개인차",11구역!E4:E43,"*"&amp;$B23&amp;"*")+(COUNTIFS(11구역!H4:H43,"?*",11구역!E4:E43,"*"&amp;$B23&amp;"*")-COUNTIFS(11구역!H4:H43,"*교회차*",11구역!E4:E43,"*"&amp;$B23&amp;"*")-COUNTIFS(11구역!H4:H43,"*타교회*",11구역!E4:E43,"*"&amp;$B23&amp;"*")-COUNTIFS(11구역!H4:H43,"*대중교통*",11구역!E4:E43,"*"&amp;$B23&amp;"*")))</f>
        <v/>
      </c>
      <c r="I4" s="42">
        <f>IF(COUNTIFS(11구역!G4:G43,"개인차",11구역!E4:E43,"*"&amp;$B23&amp;"*")+(COUNTIFS(11구역!I4:I43,"?*",11구역!E4:E43,"*"&amp;$B23&amp;"*")-COUNTIFS(11구역!I4:I43,"*교회차*",11구역!E4:E43,"*"&amp;$B23&amp;"*")-COUNTIFS(11구역!I4:I43,"*타교회*",11구역!E4:E43,"*"&amp;$B23&amp;"*")-COUNTIFS(11구역!I4:I43,"*대중교통*",11구역!E4:E43,"*"&amp;$B23&amp;"*"))=0,"",COUNTIFS(11구역!G4:G43,"개인차",11구역!E4:E43,"*"&amp;$B23&amp;"*")+(COUNTIFS(11구역!I4:I43,"?*",11구역!E4:E43,"*"&amp;$B23&amp;"*")-COUNTIFS(11구역!I4:I43,"*교회차*",11구역!E4:E43,"*"&amp;$B23&amp;"*")-COUNTIFS(11구역!I4:I43,"*타교회*",11구역!E4:E43,"*"&amp;$B23&amp;"*")-COUNTIFS(11구역!I4:I43,"*대중교통*",11구역!E4:E43,"*"&amp;$B23&amp;"*")))</f>
        <v/>
      </c>
      <c r="J4" s="42">
        <f>IF(COUNTIFS(11구역!F4:F43,"대중교통",11구역!E4:E43,"*"&amp;$B23&amp;"*")+COUNTIFS(11구역!H4:H43,"*대중교통*",11구역!E4:E43,"*"&amp;$B23&amp;"*")=0,"",COUNTIFS(11구역!F4:F43,"대중교통",11구역!E4:E43,"*"&amp;$B23&amp;"*")+COUNTIFS(11구역!H4:H43,"*대중교통*",11구역!E4:E43,"*"&amp;$B23&amp;"*"))</f>
        <v/>
      </c>
      <c r="K4" s="42">
        <f>IF(COUNTIFS(11구역!G4:G43,"대중교통",11구역!E4:E43,"*"&amp;$B23&amp;"*")+COUNTIFS(11구역!I4:I43,"*대중교통*",11구역!E4:E43,"*"&amp;$B23&amp;"*")=0,"",COUNTIFS(11구역!G4:G43,"대중교통",11구역!E4:E43,"*"&amp;$B23&amp;"*")+COUNTIFS(11구역!I4:I43,"*대중교통*",11구역!E4:E43,"*"&amp;$B23&amp;"*"))</f>
        <v/>
      </c>
      <c r="L4" s="42" t="n"/>
      <c r="M4" s="42" t="n"/>
    </row>
    <row r="5" ht="21.75" customHeight="1" s="33">
      <c r="A5" s="44" t="inlineStr">
        <is>
          <t>12구역</t>
        </is>
      </c>
      <c r="B5" s="44">
        <f>IF(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=0,"",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)</f>
        <v/>
      </c>
      <c r="C5" s="44">
        <f>IF(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=0,"",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)</f>
        <v/>
      </c>
      <c r="D5" s="44">
        <f>IF(COUNTIFS(12구역!F4:F43,"교회차1",12구역!E4:E43,"*"&amp;$B23&amp;"*")+COUNTIFS(12구역!F4:F43,"교회차2",12구역!E4:E43,"*"&amp;$B23&amp;"*")+COUNTIFS(12구역!H4:H43,"*교회차*",12구역!E4:E43,"*"&amp;$B23&amp;"*")=0,"",COUNTIFS(12구역!F4:F43,"교회차1",12구역!E4:E43,"*"&amp;$B23&amp;"*")+COUNTIFS(12구역!F4:F43,"교회차2",12구역!E4:E43,"*"&amp;$B23&amp;"*")+COUNTIFS(12구역!H4:H43,"*교회차*",12구역!E4:E43,"*"&amp;$B23&amp;"*"))</f>
        <v/>
      </c>
      <c r="E5" s="44">
        <f>IF(COUNTIFS(12구역!G4:G43,"교회차1",12구역!E4:E43,"*"&amp;$B23&amp;"*")+COUNTIFS(12구역!G4:G43,"교회차2",12구역!E4:E43,"*"&amp;$B23&amp;"*")+COUNTIFS(12구역!I4:I43,"*교회차*",12구역!E4:E43,"*"&amp;$B23&amp;"*")=0,"",COUNTIFS(12구역!G4:G43,"교회차1",12구역!E4:E43,"*"&amp;$B23&amp;"*")+COUNTIFS(12구역!G4:G43,"교회차2",12구역!E4:E43,"*"&amp;$B23&amp;"*")+COUNTIFS(12구역!I4:I43,"*교회차*",12구역!E4:E43,"*"&amp;$B23&amp;"*"))</f>
        <v/>
      </c>
      <c r="F5" s="44">
        <f>IF(COUNTIFS(12구역!F4:F43,"타교회",12구역!E4:E43,"*"&amp;$B23&amp;"*")+COUNTIFS(12구역!H4:H43,"*타교회*",12구역!E4:E43,"*"&amp;$B23&amp;"*")=0,"",COUNTIFS(12구역!F4:F43,"타교회",12구역!E4:E43,"*"&amp;$B23&amp;"*")+COUNTIFS(12구역!H4:H43,"*타교회*",12구역!E4:E43,"*"&amp;$B23&amp;"*"))</f>
        <v/>
      </c>
      <c r="G5" s="44">
        <f>IF(COUNTIFS(12구역!G4:G43,"타교회",12구역!E4:E43,"*"&amp;$B23&amp;"*")+COUNTIFS(12구역!I4:I43,"*타교회*",12구역!E4:E43,"*"&amp;$B23&amp;"*")=0,"",COUNTIFS(12구역!G4:G43,"타교회",12구역!E4:E43,"*"&amp;$B23&amp;"*")+COUNTIFS(12구역!I4:I43,"*타교회*",12구역!E4:E43,"*"&amp;$B23&amp;"*"))</f>
        <v/>
      </c>
      <c r="H5" s="44">
        <f>IF(COUNTIFS(12구역!F4:F43,"개인차",12구역!E4:E43,"*"&amp;$B23&amp;"*")+(COUNTIFS(12구역!H4:H43,"?*",12구역!E4:E43,"*"&amp;$B23&amp;"*")-COUNTIFS(12구역!H4:H43,"*교회차*",12구역!E4:E43,"*"&amp;$B23&amp;"*")-COUNTIFS(12구역!H4:H43,"*타교회*",12구역!E4:E43,"*"&amp;$B23&amp;"*")-COUNTIFS(12구역!H4:H43,"*대중교통*",12구역!E4:E43,"*"&amp;$B23&amp;"*"))=0,"",COUNTIFS(12구역!F4:F43,"개인차",12구역!E4:E43,"*"&amp;$B23&amp;"*")+(COUNTIFS(12구역!H4:H43,"?*",12구역!E4:E43,"*"&amp;$B23&amp;"*")-COUNTIFS(12구역!H4:H43,"*교회차*",12구역!E4:E43,"*"&amp;$B23&amp;"*")-COUNTIFS(12구역!H4:H43,"*타교회*",12구역!E4:E43,"*"&amp;$B23&amp;"*")-COUNTIFS(12구역!H4:H43,"*대중교통*",12구역!E4:E43,"*"&amp;$B23&amp;"*")))</f>
        <v/>
      </c>
      <c r="I5" s="44">
        <f>IF(COUNTIFS(12구역!G4:G43,"개인차",12구역!E4:E43,"*"&amp;$B23&amp;"*")+(COUNTIFS(12구역!I4:I43,"?*",12구역!E4:E43,"*"&amp;$B23&amp;"*")-COUNTIFS(12구역!I4:I43,"*교회차*",12구역!E4:E43,"*"&amp;$B23&amp;"*")-COUNTIFS(12구역!I4:I43,"*타교회*",12구역!E4:E43,"*"&amp;$B23&amp;"*")-COUNTIFS(12구역!I4:I43,"*대중교통*",12구역!E4:E43,"*"&amp;$B23&amp;"*"))=0,"",COUNTIFS(12구역!G4:G43,"개인차",12구역!E4:E43,"*"&amp;$B23&amp;"*")+(COUNTIFS(12구역!I4:I43,"?*",12구역!E4:E43,"*"&amp;$B23&amp;"*")-COUNTIFS(12구역!I4:I43,"*교회차*",12구역!E4:E43,"*"&amp;$B23&amp;"*")-COUNTIFS(12구역!I4:I43,"*타교회*",12구역!E4:E43,"*"&amp;$B23&amp;"*")-COUNTIFS(12구역!I4:I43,"*대중교통*",12구역!E4:E43,"*"&amp;$B23&amp;"*")))</f>
        <v/>
      </c>
      <c r="J5" s="44">
        <f>IF(COUNTIFS(12구역!F4:F43,"대중교통",12구역!E4:E43,"*"&amp;$B23&amp;"*")+COUNTIFS(12구역!H4:H43,"*대중교통*",12구역!E4:E43,"*"&amp;$B23&amp;"*")=0,"",COUNTIFS(12구역!F4:F43,"대중교통",12구역!E4:E43,"*"&amp;$B23&amp;"*")+COUNTIFS(12구역!H4:H43,"*대중교통*",12구역!E4:E43,"*"&amp;$B23&amp;"*"))</f>
        <v/>
      </c>
      <c r="K5" s="44">
        <f>IF(COUNTIFS(12구역!G4:G43,"대중교통",12구역!E4:E43,"*"&amp;$B23&amp;"*")+COUNTIFS(12구역!I4:I43,"*대중교통*",12구역!E4:E43,"*"&amp;$B23&amp;"*")=0,"",COUNTIFS(12구역!G4:G43,"대중교통",12구역!E4:E43,"*"&amp;$B23&amp;"*")+COUNTIFS(12구역!I4:I43,"*대중교통*",12구역!E4:E43,"*"&amp;$B23&amp;"*"))</f>
        <v/>
      </c>
      <c r="L5" s="44" t="n"/>
      <c r="M5" s="44" t="n"/>
    </row>
    <row r="6" ht="21.75" customHeight="1" s="33">
      <c r="A6" s="42" t="inlineStr">
        <is>
          <t>13구역</t>
        </is>
      </c>
      <c r="B6" s="42">
        <f>IF(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=0,"",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)</f>
        <v/>
      </c>
      <c r="C6" s="42">
        <f>IF(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=0,"",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)</f>
        <v/>
      </c>
      <c r="D6" s="42">
        <f>IF(COUNTIFS(13구역!F4:F43,"교회차1",13구역!E4:E43,"*"&amp;$B23&amp;"*")+COUNTIFS(13구역!F4:F43,"교회차2",13구역!E4:E43,"*"&amp;$B23&amp;"*")+COUNTIFS(13구역!H4:H43,"*교회차*",13구역!E4:E43,"*"&amp;$B23&amp;"*")=0,"",COUNTIFS(13구역!F4:F43,"교회차1",13구역!E4:E43,"*"&amp;$B23&amp;"*")+COUNTIFS(13구역!F4:F43,"교회차2",13구역!E4:E43,"*"&amp;$B23&amp;"*")+COUNTIFS(13구역!H4:H43,"*교회차*",13구역!E4:E43,"*"&amp;$B23&amp;"*"))</f>
        <v/>
      </c>
      <c r="E6" s="42">
        <f>IF(COUNTIFS(13구역!G4:G43,"교회차1",13구역!E4:E43,"*"&amp;$B23&amp;"*")+COUNTIFS(13구역!G4:G43,"교회차2",13구역!E4:E43,"*"&amp;$B23&amp;"*")+COUNTIFS(13구역!I4:I43,"*교회차*",13구역!E4:E43,"*"&amp;$B23&amp;"*")=0,"",COUNTIFS(13구역!G4:G43,"교회차1",13구역!E4:E43,"*"&amp;$B23&amp;"*")+COUNTIFS(13구역!G4:G43,"교회차2",13구역!E4:E43,"*"&amp;$B23&amp;"*")+COUNTIFS(13구역!I4:I43,"*교회차*",13구역!E4:E43,"*"&amp;$B23&amp;"*"))</f>
        <v/>
      </c>
      <c r="F6" s="42">
        <f>IF(COUNTIFS(13구역!F4:F43,"타교회",13구역!E4:E43,"*"&amp;$B23&amp;"*")+COUNTIFS(13구역!H4:H43,"*타교회*",13구역!E4:E43,"*"&amp;$B23&amp;"*")=0,"",COUNTIFS(13구역!F4:F43,"타교회",13구역!E4:E43,"*"&amp;$B23&amp;"*")+COUNTIFS(13구역!H4:H43,"*타교회*",13구역!E4:E43,"*"&amp;$B23&amp;"*"))</f>
        <v/>
      </c>
      <c r="G6" s="42">
        <f>IF(COUNTIFS(13구역!G4:G43,"타교회",13구역!E4:E43,"*"&amp;$B23&amp;"*")+COUNTIFS(13구역!I4:I43,"*타교회*",13구역!E4:E43,"*"&amp;$B23&amp;"*")=0,"",COUNTIFS(13구역!G4:G43,"타교회",13구역!E4:E43,"*"&amp;$B23&amp;"*")+COUNTIFS(13구역!I4:I43,"*타교회*",13구역!E4:E43,"*"&amp;$B23&amp;"*"))</f>
        <v/>
      </c>
      <c r="H6" s="42">
        <f>IF(COUNTIFS(13구역!F4:F43,"개인차",13구역!E4:E43,"*"&amp;$B23&amp;"*")+(COUNTIFS(13구역!H4:H43,"?*",13구역!E4:E43,"*"&amp;$B23&amp;"*")-COUNTIFS(13구역!H4:H43,"*교회차*",13구역!E4:E43,"*"&amp;$B23&amp;"*")-COUNTIFS(13구역!H4:H43,"*타교회*",13구역!E4:E43,"*"&amp;$B23&amp;"*")-COUNTIFS(13구역!H4:H43,"*대중교통*",13구역!E4:E43,"*"&amp;$B23&amp;"*"))=0,"",COUNTIFS(13구역!F4:F43,"개인차",13구역!E4:E43,"*"&amp;$B23&amp;"*")+(COUNTIFS(13구역!H4:H43,"?*",13구역!E4:E43,"*"&amp;$B23&amp;"*")-COUNTIFS(13구역!H4:H43,"*교회차*",13구역!E4:E43,"*"&amp;$B23&amp;"*")-COUNTIFS(13구역!H4:H43,"*타교회*",13구역!E4:E43,"*"&amp;$B23&amp;"*")-COUNTIFS(13구역!H4:H43,"*대중교통*",13구역!E4:E43,"*"&amp;$B23&amp;"*")))</f>
        <v/>
      </c>
      <c r="I6" s="42">
        <f>IF(COUNTIFS(13구역!G4:G43,"개인차",13구역!E4:E43,"*"&amp;$B23&amp;"*")+(COUNTIFS(13구역!I4:I43,"?*",13구역!E4:E43,"*"&amp;$B23&amp;"*")-COUNTIFS(13구역!I4:I43,"*교회차*",13구역!E4:E43,"*"&amp;$B23&amp;"*")-COUNTIFS(13구역!I4:I43,"*타교회*",13구역!E4:E43,"*"&amp;$B23&amp;"*")-COUNTIFS(13구역!I4:I43,"*대중교통*",13구역!E4:E43,"*"&amp;$B23&amp;"*"))=0,"",COUNTIFS(13구역!G4:G43,"개인차",13구역!E4:E43,"*"&amp;$B23&amp;"*")+(COUNTIFS(13구역!I4:I43,"?*",13구역!E4:E43,"*"&amp;$B23&amp;"*")-COUNTIFS(13구역!I4:I43,"*교회차*",13구역!E4:E43,"*"&amp;$B23&amp;"*")-COUNTIFS(13구역!I4:I43,"*타교회*",13구역!E4:E43,"*"&amp;$B23&amp;"*")-COUNTIFS(13구역!I4:I43,"*대중교통*",13구역!E4:E43,"*"&amp;$B23&amp;"*")))</f>
        <v/>
      </c>
      <c r="J6" s="42">
        <f>IF(COUNTIFS(13구역!F4:F43,"대중교통",13구역!E4:E43,"*"&amp;$B23&amp;"*")+COUNTIFS(13구역!H4:H43,"*대중교통*",13구역!E4:E43,"*"&amp;$B23&amp;"*")=0,"",COUNTIFS(13구역!F4:F43,"대중교통",13구역!E4:E43,"*"&amp;$B23&amp;"*")+COUNTIFS(13구역!H4:H43,"*대중교통*",13구역!E4:E43,"*"&amp;$B23&amp;"*"))</f>
        <v/>
      </c>
      <c r="K6" s="42">
        <f>IF(COUNTIFS(13구역!G4:G43,"대중교통",13구역!E4:E43,"*"&amp;$B23&amp;"*")+COUNTIFS(13구역!I4:I43,"*대중교통*",13구역!E4:E43,"*"&amp;$B23&amp;"*")=0,"",COUNTIFS(13구역!G4:G43,"대중교통",13구역!E4:E43,"*"&amp;$B23&amp;"*")+COUNTIFS(13구역!I4:I43,"*대중교통*",13구역!E4:E43,"*"&amp;$B23&amp;"*"))</f>
        <v/>
      </c>
      <c r="L6" s="42" t="n"/>
      <c r="M6" s="42" t="n"/>
    </row>
    <row r="7" ht="21.75" customHeight="1" s="33">
      <c r="A7" s="44" t="inlineStr">
        <is>
          <t>14구역</t>
        </is>
      </c>
      <c r="B7" s="44">
        <f>IF(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=0,"",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)</f>
        <v/>
      </c>
      <c r="C7" s="44">
        <f>IF(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=0,"",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)</f>
        <v/>
      </c>
      <c r="D7" s="44">
        <f>IF(COUNTIFS(14구역!F4:F43,"교회차1",14구역!E4:E43,"*"&amp;$B23&amp;"*")+COUNTIFS(14구역!F4:F43,"교회차2",14구역!E4:E43,"*"&amp;$B23&amp;"*")+COUNTIFS(14구역!H4:H43,"*교회차*",14구역!E4:E43,"*"&amp;$B23&amp;"*")=0,"",COUNTIFS(14구역!F4:F43,"교회차1",14구역!E4:E43,"*"&amp;$B23&amp;"*")+COUNTIFS(14구역!F4:F43,"교회차2",14구역!E4:E43,"*"&amp;$B23&amp;"*")+COUNTIFS(14구역!H4:H43,"*교회차*",14구역!E4:E43,"*"&amp;$B23&amp;"*"))</f>
        <v/>
      </c>
      <c r="E7" s="44">
        <f>IF(COUNTIFS(14구역!G4:G43,"교회차1",14구역!E4:E43,"*"&amp;$B23&amp;"*")+COUNTIFS(14구역!G4:G43,"교회차2",14구역!E4:E43,"*"&amp;$B23&amp;"*")+COUNTIFS(14구역!I4:I43,"*교회차*",14구역!E4:E43,"*"&amp;$B23&amp;"*")=0,"",COUNTIFS(14구역!G4:G43,"교회차1",14구역!E4:E43,"*"&amp;$B23&amp;"*")+COUNTIFS(14구역!G4:G43,"교회차2",14구역!E4:E43,"*"&amp;$B23&amp;"*")+COUNTIFS(14구역!I4:I43,"*교회차*",14구역!E4:E43,"*"&amp;$B23&amp;"*"))</f>
        <v/>
      </c>
      <c r="F7" s="44">
        <f>IF(COUNTIFS(14구역!F4:F43,"타교회",14구역!E4:E43,"*"&amp;$B23&amp;"*")+COUNTIFS(14구역!H4:H43,"*타교회*",14구역!E4:E43,"*"&amp;$B23&amp;"*")=0,"",COUNTIFS(14구역!F4:F43,"타교회",14구역!E4:E43,"*"&amp;$B23&amp;"*")+COUNTIFS(14구역!H4:H43,"*타교회*",14구역!E4:E43,"*"&amp;$B23&amp;"*"))</f>
        <v/>
      </c>
      <c r="G7" s="44">
        <f>IF(COUNTIFS(14구역!G4:G43,"타교회",14구역!E4:E43,"*"&amp;$B23&amp;"*")+COUNTIFS(14구역!I4:I43,"*타교회*",14구역!E4:E43,"*"&amp;$B23&amp;"*")=0,"",COUNTIFS(14구역!G4:G43,"타교회",14구역!E4:E43,"*"&amp;$B23&amp;"*")+COUNTIFS(14구역!I4:I43,"*타교회*",14구역!E4:E43,"*"&amp;$B23&amp;"*"))</f>
        <v/>
      </c>
      <c r="H7" s="44">
        <f>IF(COUNTIFS(14구역!F4:F43,"개인차",14구역!E4:E43,"*"&amp;$B23&amp;"*")+(COUNTIFS(14구역!H4:H43,"?*",14구역!E4:E43,"*"&amp;$B23&amp;"*")-COUNTIFS(14구역!H4:H43,"*교회차*",14구역!E4:E43,"*"&amp;$B23&amp;"*")-COUNTIFS(14구역!H4:H43,"*타교회*",14구역!E4:E43,"*"&amp;$B23&amp;"*")-COUNTIFS(14구역!H4:H43,"*대중교통*",14구역!E4:E43,"*"&amp;$B23&amp;"*"))=0,"",COUNTIFS(14구역!F4:F43,"개인차",14구역!E4:E43,"*"&amp;$B23&amp;"*")+(COUNTIFS(14구역!H4:H43,"?*",14구역!E4:E43,"*"&amp;$B23&amp;"*")-COUNTIFS(14구역!H4:H43,"*교회차*",14구역!E4:E43,"*"&amp;$B23&amp;"*")-COUNTIFS(14구역!H4:H43,"*타교회*",14구역!E4:E43,"*"&amp;$B23&amp;"*")-COUNTIFS(14구역!H4:H43,"*대중교통*",14구역!E4:E43,"*"&amp;$B23&amp;"*")))</f>
        <v/>
      </c>
      <c r="I7" s="44">
        <f>IF(COUNTIFS(14구역!G4:G43,"개인차",14구역!E4:E43,"*"&amp;$B23&amp;"*")+(COUNTIFS(14구역!I4:I43,"?*",14구역!E4:E43,"*"&amp;$B23&amp;"*")-COUNTIFS(14구역!I4:I43,"*교회차*",14구역!E4:E43,"*"&amp;$B23&amp;"*")-COUNTIFS(14구역!I4:I43,"*타교회*",14구역!E4:E43,"*"&amp;$B23&amp;"*")-COUNTIFS(14구역!I4:I43,"*대중교통*",14구역!E4:E43,"*"&amp;$B23&amp;"*"))=0,"",COUNTIFS(14구역!G4:G43,"개인차",14구역!E4:E43,"*"&amp;$B23&amp;"*")+(COUNTIFS(14구역!I4:I43,"?*",14구역!E4:E43,"*"&amp;$B23&amp;"*")-COUNTIFS(14구역!I4:I43,"*교회차*",14구역!E4:E43,"*"&amp;$B23&amp;"*")-COUNTIFS(14구역!I4:I43,"*타교회*",14구역!E4:E43,"*"&amp;$B23&amp;"*")-COUNTIFS(14구역!I4:I43,"*대중교통*",14구역!E4:E43,"*"&amp;$B23&amp;"*")))</f>
        <v/>
      </c>
      <c r="J7" s="44">
        <f>IF(COUNTIFS(14구역!F4:F43,"대중교통",14구역!E4:E43,"*"&amp;$B23&amp;"*")+COUNTIFS(14구역!H4:H43,"*대중교통*",14구역!E4:E43,"*"&amp;$B23&amp;"*")=0,"",COUNTIFS(14구역!F4:F43,"대중교통",14구역!E4:E43,"*"&amp;$B23&amp;"*")+COUNTIFS(14구역!H4:H43,"*대중교통*",14구역!E4:E43,"*"&amp;$B23&amp;"*"))</f>
        <v/>
      </c>
      <c r="K7" s="44">
        <f>IF(COUNTIFS(14구역!G4:G43,"대중교통",14구역!E4:E43,"*"&amp;$B23&amp;"*")+COUNTIFS(14구역!I4:I43,"*대중교통*",14구역!E4:E43,"*"&amp;$B23&amp;"*")=0,"",COUNTIFS(14구역!G4:G43,"대중교통",14구역!E4:E43,"*"&amp;$B23&amp;"*")+COUNTIFS(14구역!I4:I43,"*대중교통*",14구역!E4:E43,"*"&amp;$B23&amp;"*"))</f>
        <v/>
      </c>
      <c r="L7" s="44" t="n"/>
      <c r="M7" s="44" t="n"/>
    </row>
    <row r="8" ht="21.75" customHeight="1" s="33">
      <c r="A8" s="42" t="inlineStr">
        <is>
          <t>21구역</t>
        </is>
      </c>
      <c r="B8" s="42">
        <f>IF(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=0,"",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)</f>
        <v/>
      </c>
      <c r="C8" s="42">
        <f>IF(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=0,"",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)</f>
        <v/>
      </c>
      <c r="D8" s="42">
        <f>IF(COUNTIFS(21구역!F4:F43,"교회차1",21구역!E4:E43,"*"&amp;$B23&amp;"*")+COUNTIFS(21구역!F4:F43,"교회차2",21구역!E4:E43,"*"&amp;$B23&amp;"*")+COUNTIFS(21구역!H4:H43,"*교회차*",21구역!E4:E43,"*"&amp;$B23&amp;"*")=0,"",COUNTIFS(21구역!F4:F43,"교회차1",21구역!E4:E43,"*"&amp;$B23&amp;"*")+COUNTIFS(21구역!F4:F43,"교회차2",21구역!E4:E43,"*"&amp;$B23&amp;"*")+COUNTIFS(21구역!H4:H43,"*교회차*",21구역!E4:E43,"*"&amp;$B23&amp;"*"))</f>
        <v/>
      </c>
      <c r="E8" s="42">
        <f>IF(COUNTIFS(21구역!G4:G43,"교회차1",21구역!E4:E43,"*"&amp;$B23&amp;"*")+COUNTIFS(21구역!G4:G43,"교회차2",21구역!E4:E43,"*"&amp;$B23&amp;"*")+COUNTIFS(21구역!I4:I43,"*교회차*",21구역!E4:E43,"*"&amp;$B23&amp;"*")=0,"",COUNTIFS(21구역!G4:G43,"교회차1",21구역!E4:E43,"*"&amp;$B23&amp;"*")+COUNTIFS(21구역!G4:G43,"교회차2",21구역!E4:E43,"*"&amp;$B23&amp;"*")+COUNTIFS(21구역!I4:I43,"*교회차*",21구역!E4:E43,"*"&amp;$B23&amp;"*"))</f>
        <v/>
      </c>
      <c r="F8" s="42">
        <f>IF(COUNTIFS(21구역!F4:F43,"타교회",21구역!E4:E43,"*"&amp;$B23&amp;"*")+COUNTIFS(21구역!H4:H43,"*타교회*",21구역!E4:E43,"*"&amp;$B23&amp;"*")=0,"",COUNTIFS(21구역!F4:F43,"타교회",21구역!E4:E43,"*"&amp;$B23&amp;"*")+COUNTIFS(21구역!H4:H43,"*타교회*",21구역!E4:E43,"*"&amp;$B23&amp;"*"))</f>
        <v/>
      </c>
      <c r="G8" s="42">
        <f>IF(COUNTIFS(21구역!G4:G43,"타교회",21구역!E4:E43,"*"&amp;$B23&amp;"*")+COUNTIFS(21구역!I4:I43,"*타교회*",21구역!E4:E43,"*"&amp;$B23&amp;"*")=0,"",COUNTIFS(21구역!G4:G43,"타교회",21구역!E4:E43,"*"&amp;$B23&amp;"*")+COUNTIFS(21구역!I4:I43,"*타교회*",21구역!E4:E43,"*"&amp;$B23&amp;"*"))</f>
        <v/>
      </c>
      <c r="H8" s="42">
        <f>IF(COUNTIFS(21구역!F4:F43,"개인차",21구역!E4:E43,"*"&amp;$B23&amp;"*")+(COUNTIFS(21구역!H4:H43,"?*",21구역!E4:E43,"*"&amp;$B23&amp;"*")-COUNTIFS(21구역!H4:H43,"*교회차*",21구역!E4:E43,"*"&amp;$B23&amp;"*")-COUNTIFS(21구역!H4:H43,"*타교회*",21구역!E4:E43,"*"&amp;$B23&amp;"*")-COUNTIFS(21구역!H4:H43,"*대중교통*",21구역!E4:E43,"*"&amp;$B23&amp;"*"))=0,"",COUNTIFS(21구역!F4:F43,"개인차",21구역!E4:E43,"*"&amp;$B23&amp;"*")+(COUNTIFS(21구역!H4:H43,"?*",21구역!E4:E43,"*"&amp;$B23&amp;"*")-COUNTIFS(21구역!H4:H43,"*교회차*",21구역!E4:E43,"*"&amp;$B23&amp;"*")-COUNTIFS(21구역!H4:H43,"*타교회*",21구역!E4:E43,"*"&amp;$B23&amp;"*")-COUNTIFS(21구역!H4:H43,"*대중교통*",21구역!E4:E43,"*"&amp;$B23&amp;"*")))</f>
        <v/>
      </c>
      <c r="I8" s="42">
        <f>IF(COUNTIFS(21구역!G4:G43,"개인차",21구역!E4:E43,"*"&amp;$B23&amp;"*")+(COUNTIFS(21구역!I4:I43,"?*",21구역!E4:E43,"*"&amp;$B23&amp;"*")-COUNTIFS(21구역!I4:I43,"*교회차*",21구역!E4:E43,"*"&amp;$B23&amp;"*")-COUNTIFS(21구역!I4:I43,"*타교회*",21구역!E4:E43,"*"&amp;$B23&amp;"*")-COUNTIFS(21구역!I4:I43,"*대중교통*",21구역!E4:E43,"*"&amp;$B23&amp;"*"))=0,"",COUNTIFS(21구역!G4:G43,"개인차",21구역!E4:E43,"*"&amp;$B23&amp;"*")+(COUNTIFS(21구역!I4:I43,"?*",21구역!E4:E43,"*"&amp;$B23&amp;"*")-COUNTIFS(21구역!I4:I43,"*교회차*",21구역!E4:E43,"*"&amp;$B23&amp;"*")-COUNTIFS(21구역!I4:I43,"*타교회*",21구역!E4:E43,"*"&amp;$B23&amp;"*")-COUNTIFS(21구역!I4:I43,"*대중교통*",21구역!E4:E43,"*"&amp;$B23&amp;"*")))</f>
        <v/>
      </c>
      <c r="J8" s="42">
        <f>IF(COUNTIFS(21구역!F4:F43,"대중교통",21구역!E4:E43,"*"&amp;$B23&amp;"*")+COUNTIFS(21구역!H4:H43,"*대중교통*",21구역!E4:E43,"*"&amp;$B23&amp;"*")=0,"",COUNTIFS(21구역!F4:F43,"대중교통",21구역!E4:E43,"*"&amp;$B23&amp;"*")+COUNTIFS(21구역!H4:H43,"*대중교통*",21구역!E4:E43,"*"&amp;$B23&amp;"*"))</f>
        <v/>
      </c>
      <c r="K8" s="42">
        <f>IF(COUNTIFS(21구역!G4:G43,"대중교통",21구역!E4:E43,"*"&amp;$B23&amp;"*")+COUNTIFS(21구역!I4:I43,"*대중교통*",21구역!E4:E43,"*"&amp;$B23&amp;"*")=0,"",COUNTIFS(21구역!G4:G43,"대중교통",21구역!E4:E43,"*"&amp;$B23&amp;"*")+COUNTIFS(21구역!I4:I43,"*대중교통*",21구역!E4:E43,"*"&amp;$B23&amp;"*"))</f>
        <v/>
      </c>
      <c r="L8" s="42" t="n"/>
      <c r="M8" s="42" t="n"/>
    </row>
    <row r="9" ht="21.75" customHeight="1" s="33">
      <c r="A9" s="44" t="inlineStr">
        <is>
          <t>22구역</t>
        </is>
      </c>
      <c r="B9" s="44">
        <f>IF(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=0,"",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)</f>
        <v/>
      </c>
      <c r="C9" s="44">
        <f>IF(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=0,"",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)</f>
        <v/>
      </c>
      <c r="D9" s="44">
        <f>IF(COUNTIFS(22구역!F4:F43,"교회차1",22구역!E4:E43,"*"&amp;$B23&amp;"*")+COUNTIFS(22구역!F4:F43,"교회차2",22구역!E4:E43,"*"&amp;$B23&amp;"*")+COUNTIFS(22구역!H4:H43,"*교회차*",22구역!E4:E43,"*"&amp;$B23&amp;"*")=0,"",COUNTIFS(22구역!F4:F43,"교회차1",22구역!E4:E43,"*"&amp;$B23&amp;"*")+COUNTIFS(22구역!F4:F43,"교회차2",22구역!E4:E43,"*"&amp;$B23&amp;"*")+COUNTIFS(22구역!H4:H43,"*교회차*",22구역!E4:E43,"*"&amp;$B23&amp;"*"))</f>
        <v/>
      </c>
      <c r="E9" s="44">
        <f>IF(COUNTIFS(22구역!G4:G43,"교회차1",22구역!E4:E43,"*"&amp;$B23&amp;"*")+COUNTIFS(22구역!G4:G43,"교회차2",22구역!E4:E43,"*"&amp;$B23&amp;"*")+COUNTIFS(22구역!I4:I43,"*교회차*",22구역!E4:E43,"*"&amp;$B23&amp;"*")=0,"",COUNTIFS(22구역!G4:G43,"교회차1",22구역!E4:E43,"*"&amp;$B23&amp;"*")+COUNTIFS(22구역!G4:G43,"교회차2",22구역!E4:E43,"*"&amp;$B23&amp;"*")+COUNTIFS(22구역!I4:I43,"*교회차*",22구역!E4:E43,"*"&amp;$B23&amp;"*"))</f>
        <v/>
      </c>
      <c r="F9" s="44">
        <f>IF(COUNTIFS(22구역!F4:F43,"타교회",22구역!E4:E43,"*"&amp;$B23&amp;"*")+COUNTIFS(22구역!H4:H43,"*타교회*",22구역!E4:E43,"*"&amp;$B23&amp;"*")=0,"",COUNTIFS(22구역!F4:F43,"타교회",22구역!E4:E43,"*"&amp;$B23&amp;"*")+COUNTIFS(22구역!H4:H43,"*타교회*",22구역!E4:E43,"*"&amp;$B23&amp;"*"))</f>
        <v/>
      </c>
      <c r="G9" s="44">
        <f>IF(COUNTIFS(22구역!G4:G43,"타교회",22구역!E4:E43,"*"&amp;$B23&amp;"*")+COUNTIFS(22구역!I4:I43,"*타교회*",22구역!E4:E43,"*"&amp;$B23&amp;"*")=0,"",COUNTIFS(22구역!G4:G43,"타교회",22구역!E4:E43,"*"&amp;$B23&amp;"*")+COUNTIFS(22구역!I4:I43,"*타교회*",22구역!E4:E43,"*"&amp;$B23&amp;"*"))</f>
        <v/>
      </c>
      <c r="H9" s="44">
        <f>IF(COUNTIFS(22구역!F4:F43,"개인차",22구역!E4:E43,"*"&amp;$B23&amp;"*")+(COUNTIFS(22구역!H4:H43,"?*",22구역!E4:E43,"*"&amp;$B23&amp;"*")-COUNTIFS(22구역!H4:H43,"*교회차*",22구역!E4:E43,"*"&amp;$B23&amp;"*")-COUNTIFS(22구역!H4:H43,"*타교회*",22구역!E4:E43,"*"&amp;$B23&amp;"*")-COUNTIFS(22구역!H4:H43,"*대중교통*",22구역!E4:E43,"*"&amp;$B23&amp;"*"))=0,"",COUNTIFS(22구역!F4:F43,"개인차",22구역!E4:E43,"*"&amp;$B23&amp;"*")+(COUNTIFS(22구역!H4:H43,"?*",22구역!E4:E43,"*"&amp;$B23&amp;"*")-COUNTIFS(22구역!H4:H43,"*교회차*",22구역!E4:E43,"*"&amp;$B23&amp;"*")-COUNTIFS(22구역!H4:H43,"*타교회*",22구역!E4:E43,"*"&amp;$B23&amp;"*")-COUNTIFS(22구역!H4:H43,"*대중교통*",22구역!E4:E43,"*"&amp;$B23&amp;"*")))</f>
        <v/>
      </c>
      <c r="I9" s="44">
        <f>IF(COUNTIFS(22구역!G4:G43,"개인차",22구역!E4:E43,"*"&amp;$B23&amp;"*")+(COUNTIFS(22구역!I4:I43,"?*",22구역!E4:E43,"*"&amp;$B23&amp;"*")-COUNTIFS(22구역!I4:I43,"*교회차*",22구역!E4:E43,"*"&amp;$B23&amp;"*")-COUNTIFS(22구역!I4:I43,"*타교회*",22구역!E4:E43,"*"&amp;$B23&amp;"*")-COUNTIFS(22구역!I4:I43,"*대중교통*",22구역!E4:E43,"*"&amp;$B23&amp;"*"))=0,"",COUNTIFS(22구역!G4:G43,"개인차",22구역!E4:E43,"*"&amp;$B23&amp;"*")+(COUNTIFS(22구역!I4:I43,"?*",22구역!E4:E43,"*"&amp;$B23&amp;"*")-COUNTIFS(22구역!I4:I43,"*교회차*",22구역!E4:E43,"*"&amp;$B23&amp;"*")-COUNTIFS(22구역!I4:I43,"*타교회*",22구역!E4:E43,"*"&amp;$B23&amp;"*")-COUNTIFS(22구역!I4:I43,"*대중교통*",22구역!E4:E43,"*"&amp;$B23&amp;"*")))</f>
        <v/>
      </c>
      <c r="J9" s="44">
        <f>IF(COUNTIFS(22구역!F4:F43,"대중교통",22구역!E4:E43,"*"&amp;$B23&amp;"*")+COUNTIFS(22구역!H4:H43,"*대중교통*",22구역!E4:E43,"*"&amp;$B23&amp;"*")=0,"",COUNTIFS(22구역!F4:F43,"대중교통",22구역!E4:E43,"*"&amp;$B23&amp;"*")+COUNTIFS(22구역!H4:H43,"*대중교통*",22구역!E4:E43,"*"&amp;$B23&amp;"*"))</f>
        <v/>
      </c>
      <c r="K9" s="44">
        <f>IF(COUNTIFS(22구역!G4:G43,"대중교통",22구역!E4:E43,"*"&amp;$B23&amp;"*")+COUNTIFS(22구역!I4:I43,"*대중교통*",22구역!E4:E43,"*"&amp;$B23&amp;"*")=0,"",COUNTIFS(22구역!G4:G43,"대중교통",22구역!E4:E43,"*"&amp;$B23&amp;"*")+COUNTIFS(22구역!I4:I43,"*대중교통*",22구역!E4:E43,"*"&amp;$B23&amp;"*"))</f>
        <v/>
      </c>
      <c r="L9" s="44" t="n"/>
      <c r="M9" s="44" t="n"/>
    </row>
    <row r="10" ht="21.75" customHeight="1" s="33">
      <c r="A10" s="42" t="inlineStr">
        <is>
          <t>23구역</t>
        </is>
      </c>
      <c r="B10" s="42">
        <f>IF(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=0,"",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)</f>
        <v/>
      </c>
      <c r="C10" s="42">
        <f>IF(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=0,"",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)</f>
        <v/>
      </c>
      <c r="D10" s="42">
        <f>IF(COUNTIFS(23구역!F4:F43,"교회차1",23구역!E4:E43,"*"&amp;$B23&amp;"*")+COUNTIFS(23구역!F4:F43,"교회차2",23구역!E4:E43,"*"&amp;$B23&amp;"*")+COUNTIFS(23구역!H4:H43,"*교회차*",23구역!E4:E43,"*"&amp;$B23&amp;"*")=0,"",COUNTIFS(23구역!F4:F43,"교회차1",23구역!E4:E43,"*"&amp;$B23&amp;"*")+COUNTIFS(23구역!F4:F43,"교회차2",23구역!E4:E43,"*"&amp;$B23&amp;"*")+COUNTIFS(23구역!H4:H43,"*교회차*",23구역!E4:E43,"*"&amp;$B23&amp;"*"))</f>
        <v/>
      </c>
      <c r="E10" s="42">
        <f>IF(COUNTIFS(23구역!G4:G43,"교회차1",23구역!E4:E43,"*"&amp;$B23&amp;"*")+COUNTIFS(23구역!G4:G43,"교회차2",23구역!E4:E43,"*"&amp;$B23&amp;"*")+COUNTIFS(23구역!I4:I43,"*교회차*",23구역!E4:E43,"*"&amp;$B23&amp;"*")=0,"",COUNTIFS(23구역!G4:G43,"교회차1",23구역!E4:E43,"*"&amp;$B23&amp;"*")+COUNTIFS(23구역!G4:G43,"교회차2",23구역!E4:E43,"*"&amp;$B23&amp;"*")+COUNTIFS(23구역!I4:I43,"*교회차*",23구역!E4:E43,"*"&amp;$B23&amp;"*"))</f>
        <v/>
      </c>
      <c r="F10" s="42">
        <f>IF(COUNTIFS(23구역!F4:F43,"타교회",23구역!E4:E43,"*"&amp;$B23&amp;"*")+COUNTIFS(23구역!H4:H43,"*타교회*",23구역!E4:E43,"*"&amp;$B23&amp;"*")=0,"",COUNTIFS(23구역!F4:F43,"타교회",23구역!E4:E43,"*"&amp;$B23&amp;"*")+COUNTIFS(23구역!H4:H43,"*타교회*",23구역!E4:E43,"*"&amp;$B23&amp;"*"))</f>
        <v/>
      </c>
      <c r="G10" s="42">
        <f>IF(COUNTIFS(23구역!G4:G43,"타교회",23구역!E4:E43,"*"&amp;$B23&amp;"*")+COUNTIFS(23구역!I4:I43,"*타교회*",23구역!E4:E43,"*"&amp;$B23&amp;"*")=0,"",COUNTIFS(23구역!G4:G43,"타교회",23구역!E4:E43,"*"&amp;$B23&amp;"*")+COUNTIFS(23구역!I4:I43,"*타교회*",23구역!E4:E43,"*"&amp;$B23&amp;"*"))</f>
        <v/>
      </c>
      <c r="H10" s="42">
        <f>IF(COUNTIFS(23구역!F4:F43,"개인차",23구역!E4:E43,"*"&amp;$B23&amp;"*")+(COUNTIFS(23구역!H4:H43,"?*",23구역!E4:E43,"*"&amp;$B23&amp;"*")-COUNTIFS(23구역!H4:H43,"*교회차*",23구역!E4:E43,"*"&amp;$B23&amp;"*")-COUNTIFS(23구역!H4:H43,"*타교회*",23구역!E4:E43,"*"&amp;$B23&amp;"*")-COUNTIFS(23구역!H4:H43,"*대중교통*",23구역!E4:E43,"*"&amp;$B23&amp;"*"))=0,"",COUNTIFS(23구역!F4:F43,"개인차",23구역!E4:E43,"*"&amp;$B23&amp;"*")+(COUNTIFS(23구역!H4:H43,"?*",23구역!E4:E43,"*"&amp;$B23&amp;"*")-COUNTIFS(23구역!H4:H43,"*교회차*",23구역!E4:E43,"*"&amp;$B23&amp;"*")-COUNTIFS(23구역!H4:H43,"*타교회*",23구역!E4:E43,"*"&amp;$B23&amp;"*")-COUNTIFS(23구역!H4:H43,"*대중교통*",23구역!E4:E43,"*"&amp;$B23&amp;"*")))</f>
        <v/>
      </c>
      <c r="I10" s="42">
        <f>IF(COUNTIFS(23구역!G4:G43,"개인차",23구역!E4:E43,"*"&amp;$B23&amp;"*")+(COUNTIFS(23구역!I4:I43,"?*",23구역!E4:E43,"*"&amp;$B23&amp;"*")-COUNTIFS(23구역!I4:I43,"*교회차*",23구역!E4:E43,"*"&amp;$B23&amp;"*")-COUNTIFS(23구역!I4:I43,"*타교회*",23구역!E4:E43,"*"&amp;$B23&amp;"*")-COUNTIFS(23구역!I4:I43,"*대중교통*",23구역!E4:E43,"*"&amp;$B23&amp;"*"))=0,"",COUNTIFS(23구역!G4:G43,"개인차",23구역!E4:E43,"*"&amp;$B23&amp;"*")+(COUNTIFS(23구역!I4:I43,"?*",23구역!E4:E43,"*"&amp;$B23&amp;"*")-COUNTIFS(23구역!I4:I43,"*교회차*",23구역!E4:E43,"*"&amp;$B23&amp;"*")-COUNTIFS(23구역!I4:I43,"*타교회*",23구역!E4:E43,"*"&amp;$B23&amp;"*")-COUNTIFS(23구역!I4:I43,"*대중교통*",23구역!E4:E43,"*"&amp;$B23&amp;"*")))</f>
        <v/>
      </c>
      <c r="J10" s="42">
        <f>IF(COUNTIFS(23구역!F4:F43,"대중교통",23구역!E4:E43,"*"&amp;$B23&amp;"*")+COUNTIFS(23구역!H4:H43,"*대중교통*",23구역!E4:E43,"*"&amp;$B23&amp;"*")=0,"",COUNTIFS(23구역!F4:F43,"대중교통",23구역!E4:E43,"*"&amp;$B23&amp;"*")+COUNTIFS(23구역!H4:H43,"*대중교통*",23구역!E4:E43,"*"&amp;$B23&amp;"*"))</f>
        <v/>
      </c>
      <c r="K10" s="42">
        <f>IF(COUNTIFS(23구역!G4:G43,"대중교통",23구역!E4:E43,"*"&amp;$B23&amp;"*")+COUNTIFS(23구역!I4:I43,"*대중교통*",23구역!E4:E43,"*"&amp;$B23&amp;"*")=0,"",COUNTIFS(23구역!G4:G43,"대중교통",23구역!E4:E43,"*"&amp;$B23&amp;"*")+COUNTIFS(23구역!I4:I43,"*대중교통*",23구역!E4:E43,"*"&amp;$B23&amp;"*"))</f>
        <v/>
      </c>
      <c r="L10" s="42" t="n"/>
      <c r="M10" s="42" t="n"/>
    </row>
    <row r="11" ht="21.75" customHeight="1" s="33">
      <c r="A11" s="44" t="inlineStr">
        <is>
          <t>24구역</t>
        </is>
      </c>
      <c r="B11" s="44">
        <f>IF(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=0,"",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)</f>
        <v/>
      </c>
      <c r="C11" s="44">
        <f>IF(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=0,"",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)</f>
        <v/>
      </c>
      <c r="D11" s="44">
        <f>IF(COUNTIFS(24구역!F4:F43,"교회차1",24구역!E4:E43,"*"&amp;$B23&amp;"*")+COUNTIFS(24구역!F4:F43,"교회차2",24구역!E4:E43,"*"&amp;$B23&amp;"*")+COUNTIFS(24구역!H4:H43,"*교회차*",24구역!E4:E43,"*"&amp;$B23&amp;"*")=0,"",COUNTIFS(24구역!F4:F43,"교회차1",24구역!E4:E43,"*"&amp;$B23&amp;"*")+COUNTIFS(24구역!F4:F43,"교회차2",24구역!E4:E43,"*"&amp;$B23&amp;"*")+COUNTIFS(24구역!H4:H43,"*교회차*",24구역!E4:E43,"*"&amp;$B23&amp;"*"))</f>
        <v/>
      </c>
      <c r="E11" s="44">
        <f>IF(COUNTIFS(24구역!G4:G43,"교회차1",24구역!E4:E43,"*"&amp;$B23&amp;"*")+COUNTIFS(24구역!G4:G43,"교회차2",24구역!E4:E43,"*"&amp;$B23&amp;"*")+COUNTIFS(24구역!I4:I43,"*교회차*",24구역!E4:E43,"*"&amp;$B23&amp;"*")=0,"",COUNTIFS(24구역!G4:G43,"교회차1",24구역!E4:E43,"*"&amp;$B23&amp;"*")+COUNTIFS(24구역!G4:G43,"교회차2",24구역!E4:E43,"*"&amp;$B23&amp;"*")+COUNTIFS(24구역!I4:I43,"*교회차*",24구역!E4:E43,"*"&amp;$B23&amp;"*"))</f>
        <v/>
      </c>
      <c r="F11" s="44">
        <f>IF(COUNTIFS(24구역!F4:F43,"타교회",24구역!E4:E43,"*"&amp;$B23&amp;"*")+COUNTIFS(24구역!H4:H43,"*타교회*",24구역!E4:E43,"*"&amp;$B23&amp;"*")=0,"",COUNTIFS(24구역!F4:F43,"타교회",24구역!E4:E43,"*"&amp;$B23&amp;"*")+COUNTIFS(24구역!H4:H43,"*타교회*",24구역!E4:E43,"*"&amp;$B23&amp;"*"))</f>
        <v/>
      </c>
      <c r="G11" s="44">
        <f>IF(COUNTIFS(24구역!G4:G43,"타교회",24구역!E4:E43,"*"&amp;$B23&amp;"*")+COUNTIFS(24구역!I4:I43,"*타교회*",24구역!E4:E43,"*"&amp;$B23&amp;"*")=0,"",COUNTIFS(24구역!G4:G43,"타교회",24구역!E4:E43,"*"&amp;$B23&amp;"*")+COUNTIFS(24구역!I4:I43,"*타교회*",24구역!E4:E43,"*"&amp;$B23&amp;"*"))</f>
        <v/>
      </c>
      <c r="H11" s="44">
        <f>IF(COUNTIFS(24구역!F4:F43,"개인차",24구역!E4:E43,"*"&amp;$B23&amp;"*")+(COUNTIFS(24구역!H4:H43,"?*",24구역!E4:E43,"*"&amp;$B23&amp;"*")-COUNTIFS(24구역!H4:H43,"*교회차*",24구역!E4:E43,"*"&amp;$B23&amp;"*")-COUNTIFS(24구역!H4:H43,"*타교회*",24구역!E4:E43,"*"&amp;$B23&amp;"*")-COUNTIFS(24구역!H4:H43,"*대중교통*",24구역!E4:E43,"*"&amp;$B23&amp;"*"))=0,"",COUNTIFS(24구역!F4:F43,"개인차",24구역!E4:E43,"*"&amp;$B23&amp;"*")+(COUNTIFS(24구역!H4:H43,"?*",24구역!E4:E43,"*"&amp;$B23&amp;"*")-COUNTIFS(24구역!H4:H43,"*교회차*",24구역!E4:E43,"*"&amp;$B23&amp;"*")-COUNTIFS(24구역!H4:H43,"*타교회*",24구역!E4:E43,"*"&amp;$B23&amp;"*")-COUNTIFS(24구역!H4:H43,"*대중교통*",24구역!E4:E43,"*"&amp;$B23&amp;"*")))</f>
        <v/>
      </c>
      <c r="I11" s="44">
        <f>IF(COUNTIFS(24구역!G4:G43,"개인차",24구역!E4:E43,"*"&amp;$B23&amp;"*")+(COUNTIFS(24구역!I4:I43,"?*",24구역!E4:E43,"*"&amp;$B23&amp;"*")-COUNTIFS(24구역!I4:I43,"*교회차*",24구역!E4:E43,"*"&amp;$B23&amp;"*")-COUNTIFS(24구역!I4:I43,"*타교회*",24구역!E4:E43,"*"&amp;$B23&amp;"*")-COUNTIFS(24구역!I4:I43,"*대중교통*",24구역!E4:E43,"*"&amp;$B23&amp;"*"))=0,"",COUNTIFS(24구역!G4:G43,"개인차",24구역!E4:E43,"*"&amp;$B23&amp;"*")+(COUNTIFS(24구역!I4:I43,"?*",24구역!E4:E43,"*"&amp;$B23&amp;"*")-COUNTIFS(24구역!I4:I43,"*교회차*",24구역!E4:E43,"*"&amp;$B23&amp;"*")-COUNTIFS(24구역!I4:I43,"*타교회*",24구역!E4:E43,"*"&amp;$B23&amp;"*")-COUNTIFS(24구역!I4:I43,"*대중교통*",24구역!E4:E43,"*"&amp;$B23&amp;"*")))</f>
        <v/>
      </c>
      <c r="J11" s="44">
        <f>IF(COUNTIFS(24구역!F4:F43,"대중교통",24구역!E4:E43,"*"&amp;$B23&amp;"*")+COUNTIFS(24구역!H4:H43,"*대중교통*",24구역!E4:E43,"*"&amp;$B23&amp;"*")=0,"",COUNTIFS(24구역!F4:F43,"대중교통",24구역!E4:E43,"*"&amp;$B23&amp;"*")+COUNTIFS(24구역!H4:H43,"*대중교통*",24구역!E4:E43,"*"&amp;$B23&amp;"*"))</f>
        <v/>
      </c>
      <c r="K11" s="44">
        <f>IF(COUNTIFS(24구역!G4:G43,"대중교통",24구역!E4:E43,"*"&amp;$B23&amp;"*")+COUNTIFS(24구역!I4:I43,"*대중교통*",24구역!E4:E43,"*"&amp;$B23&amp;"*")=0,"",COUNTIFS(24구역!G4:G43,"대중교통",24구역!E4:E43,"*"&amp;$B23&amp;"*")+COUNTIFS(24구역!I4:I43,"*대중교통*",24구역!E4:E43,"*"&amp;$B23&amp;"*"))</f>
        <v/>
      </c>
      <c r="L11" s="44" t="n"/>
      <c r="M11" s="44" t="n"/>
    </row>
    <row r="12" ht="21.75" customHeight="1" s="33">
      <c r="A12" s="42" t="inlineStr">
        <is>
          <t>31구역</t>
        </is>
      </c>
      <c r="B12" s="42">
        <f>IF(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=0,"",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)</f>
        <v/>
      </c>
      <c r="C12" s="42">
        <f>IF(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=0,"",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)</f>
        <v/>
      </c>
      <c r="D12" s="42">
        <f>IF(COUNTIFS(31구역!F4:F43,"교회차1",31구역!E4:E43,"*"&amp;$B23&amp;"*")+COUNTIFS(31구역!F4:F43,"교회차2",31구역!E4:E43,"*"&amp;$B23&amp;"*")+COUNTIFS(31구역!H4:H43,"*교회차*",31구역!E4:E43,"*"&amp;$B23&amp;"*")=0,"",COUNTIFS(31구역!F4:F43,"교회차1",31구역!E4:E43,"*"&amp;$B23&amp;"*")+COUNTIFS(31구역!F4:F43,"교회차2",31구역!E4:E43,"*"&amp;$B23&amp;"*")+COUNTIFS(31구역!H4:H43,"*교회차*",31구역!E4:E43,"*"&amp;$B23&amp;"*"))</f>
        <v/>
      </c>
      <c r="E12" s="42">
        <f>IF(COUNTIFS(31구역!G4:G43,"교회차1",31구역!E4:E43,"*"&amp;$B23&amp;"*")+COUNTIFS(31구역!G4:G43,"교회차2",31구역!E4:E43,"*"&amp;$B23&amp;"*")+COUNTIFS(31구역!I4:I43,"*교회차*",31구역!E4:E43,"*"&amp;$B23&amp;"*")=0,"",COUNTIFS(31구역!G4:G43,"교회차1",31구역!E4:E43,"*"&amp;$B23&amp;"*")+COUNTIFS(31구역!G4:G43,"교회차2",31구역!E4:E43,"*"&amp;$B23&amp;"*")+COUNTIFS(31구역!I4:I43,"*교회차*",31구역!E4:E43,"*"&amp;$B23&amp;"*"))</f>
        <v/>
      </c>
      <c r="F12" s="42">
        <f>IF(COUNTIFS(31구역!F4:F43,"타교회",31구역!E4:E43,"*"&amp;$B23&amp;"*")+COUNTIFS(31구역!H4:H43,"*타교회*",31구역!E4:E43,"*"&amp;$B23&amp;"*")=0,"",COUNTIFS(31구역!F4:F43,"타교회",31구역!E4:E43,"*"&amp;$B23&amp;"*")+COUNTIFS(31구역!H4:H43,"*타교회*",31구역!E4:E43,"*"&amp;$B23&amp;"*"))</f>
        <v/>
      </c>
      <c r="G12" s="42">
        <f>IF(COUNTIFS(31구역!G4:G43,"타교회",31구역!E4:E43,"*"&amp;$B23&amp;"*")+COUNTIFS(31구역!I4:I43,"*타교회*",31구역!E4:E43,"*"&amp;$B23&amp;"*")=0,"",COUNTIFS(31구역!G4:G43,"타교회",31구역!E4:E43,"*"&amp;$B23&amp;"*")+COUNTIFS(31구역!I4:I43,"*타교회*",31구역!E4:E43,"*"&amp;$B23&amp;"*"))</f>
        <v/>
      </c>
      <c r="H12" s="42">
        <f>IF(COUNTIFS(31구역!F4:F43,"개인차",31구역!E4:E43,"*"&amp;$B23&amp;"*")+(COUNTIFS(31구역!H4:H43,"?*",31구역!E4:E43,"*"&amp;$B23&amp;"*")-COUNTIFS(31구역!H4:H43,"*교회차*",31구역!E4:E43,"*"&amp;$B23&amp;"*")-COUNTIFS(31구역!H4:H43,"*타교회*",31구역!E4:E43,"*"&amp;$B23&amp;"*")-COUNTIFS(31구역!H4:H43,"*대중교통*",31구역!E4:E43,"*"&amp;$B23&amp;"*"))=0,"",COUNTIFS(31구역!F4:F43,"개인차",31구역!E4:E43,"*"&amp;$B23&amp;"*")+(COUNTIFS(31구역!H4:H43,"?*",31구역!E4:E43,"*"&amp;$B23&amp;"*")-COUNTIFS(31구역!H4:H43,"*교회차*",31구역!E4:E43,"*"&amp;$B23&amp;"*")-COUNTIFS(31구역!H4:H43,"*타교회*",31구역!E4:E43,"*"&amp;$B23&amp;"*")-COUNTIFS(31구역!H4:H43,"*대중교통*",31구역!E4:E43,"*"&amp;$B23&amp;"*")))</f>
        <v/>
      </c>
      <c r="I12" s="42">
        <f>IF(COUNTIFS(31구역!G4:G43,"개인차",31구역!E4:E43,"*"&amp;$B23&amp;"*")+(COUNTIFS(31구역!I4:I43,"?*",31구역!E4:E43,"*"&amp;$B23&amp;"*")-COUNTIFS(31구역!I4:I43,"*교회차*",31구역!E4:E43,"*"&amp;$B23&amp;"*")-COUNTIFS(31구역!I4:I43,"*타교회*",31구역!E4:E43,"*"&amp;$B23&amp;"*")-COUNTIFS(31구역!I4:I43,"*대중교통*",31구역!E4:E43,"*"&amp;$B23&amp;"*"))=0,"",COUNTIFS(31구역!G4:G43,"개인차",31구역!E4:E43,"*"&amp;$B23&amp;"*")+(COUNTIFS(31구역!I4:I43,"?*",31구역!E4:E43,"*"&amp;$B23&amp;"*")-COUNTIFS(31구역!I4:I43,"*교회차*",31구역!E4:E43,"*"&amp;$B23&amp;"*")-COUNTIFS(31구역!I4:I43,"*타교회*",31구역!E4:E43,"*"&amp;$B23&amp;"*")-COUNTIFS(31구역!I4:I43,"*대중교통*",31구역!E4:E43,"*"&amp;$B23&amp;"*")))</f>
        <v/>
      </c>
      <c r="J12" s="42">
        <f>IF(COUNTIFS(31구역!F4:F43,"대중교통",31구역!E4:E43,"*"&amp;$B23&amp;"*")+COUNTIFS(31구역!H4:H43,"*대중교통*",31구역!E4:E43,"*"&amp;$B23&amp;"*")=0,"",COUNTIFS(31구역!F4:F43,"대중교통",31구역!E4:E43,"*"&amp;$B23&amp;"*")+COUNTIFS(31구역!H4:H43,"*대중교통*",31구역!E4:E43,"*"&amp;$B23&amp;"*"))</f>
        <v/>
      </c>
      <c r="K12" s="42">
        <f>IF(COUNTIFS(31구역!G4:G43,"대중교통",31구역!E4:E43,"*"&amp;$B23&amp;"*")+COUNTIFS(31구역!I4:I43,"*대중교통*",31구역!E4:E43,"*"&amp;$B23&amp;"*")=0,"",COUNTIFS(31구역!G4:G43,"대중교통",31구역!E4:E43,"*"&amp;$B23&amp;"*")+COUNTIFS(31구역!I4:I43,"*대중교통*",31구역!E4:E43,"*"&amp;$B23&amp;"*"))</f>
        <v/>
      </c>
      <c r="L12" s="42" t="n"/>
      <c r="M12" s="42" t="n"/>
    </row>
    <row r="13" ht="21.75" customHeight="1" s="33">
      <c r="A13" s="44" t="inlineStr">
        <is>
          <t>32구역</t>
        </is>
      </c>
      <c r="B13" s="44">
        <f>IF(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=0,"",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)</f>
        <v/>
      </c>
      <c r="C13" s="44">
        <f>IF(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=0,"",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)</f>
        <v/>
      </c>
      <c r="D13" s="44">
        <f>IF(COUNTIFS(32구역!F4:F43,"교회차1",32구역!E4:E43,"*"&amp;$B23&amp;"*")+COUNTIFS(32구역!F4:F43,"교회차2",32구역!E4:E43,"*"&amp;$B23&amp;"*")+COUNTIFS(32구역!H4:H43,"*교회차*",32구역!E4:E43,"*"&amp;$B23&amp;"*")=0,"",COUNTIFS(32구역!F4:F43,"교회차1",32구역!E4:E43,"*"&amp;$B23&amp;"*")+COUNTIFS(32구역!F4:F43,"교회차2",32구역!E4:E43,"*"&amp;$B23&amp;"*")+COUNTIFS(32구역!H4:H43,"*교회차*",32구역!E4:E43,"*"&amp;$B23&amp;"*"))</f>
        <v/>
      </c>
      <c r="E13" s="44">
        <f>IF(COUNTIFS(32구역!G4:G43,"교회차1",32구역!E4:E43,"*"&amp;$B23&amp;"*")+COUNTIFS(32구역!G4:G43,"교회차2",32구역!E4:E43,"*"&amp;$B23&amp;"*")+COUNTIFS(32구역!I4:I43,"*교회차*",32구역!E4:E43,"*"&amp;$B23&amp;"*")=0,"",COUNTIFS(32구역!G4:G43,"교회차1",32구역!E4:E43,"*"&amp;$B23&amp;"*")+COUNTIFS(32구역!G4:G43,"교회차2",32구역!E4:E43,"*"&amp;$B23&amp;"*")+COUNTIFS(32구역!I4:I43,"*교회차*",32구역!E4:E43,"*"&amp;$B23&amp;"*"))</f>
        <v/>
      </c>
      <c r="F13" s="44">
        <f>IF(COUNTIFS(32구역!F4:F43,"타교회",32구역!E4:E43,"*"&amp;$B23&amp;"*")+COUNTIFS(32구역!H4:H43,"*타교회*",32구역!E4:E43,"*"&amp;$B23&amp;"*")=0,"",COUNTIFS(32구역!F4:F43,"타교회",32구역!E4:E43,"*"&amp;$B23&amp;"*")+COUNTIFS(32구역!H4:H43,"*타교회*",32구역!E4:E43,"*"&amp;$B23&amp;"*"))</f>
        <v/>
      </c>
      <c r="G13" s="44">
        <f>IF(COUNTIFS(32구역!G4:G43,"타교회",32구역!E4:E43,"*"&amp;$B23&amp;"*")+COUNTIFS(32구역!I4:I43,"*타교회*",32구역!E4:E43,"*"&amp;$B23&amp;"*")=0,"",COUNTIFS(32구역!G4:G43,"타교회",32구역!E4:E43,"*"&amp;$B23&amp;"*")+COUNTIFS(32구역!I4:I43,"*타교회*",32구역!E4:E43,"*"&amp;$B23&amp;"*"))</f>
        <v/>
      </c>
      <c r="H13" s="44">
        <f>IF(COUNTIFS(32구역!F4:F43,"개인차",32구역!E4:E43,"*"&amp;$B23&amp;"*")+(COUNTIFS(32구역!H4:H43,"?*",32구역!E4:E43,"*"&amp;$B23&amp;"*")-COUNTIFS(32구역!H4:H43,"*교회차*",32구역!E4:E43,"*"&amp;$B23&amp;"*")-COUNTIFS(32구역!H4:H43,"*타교회*",32구역!E4:E43,"*"&amp;$B23&amp;"*")-COUNTIFS(32구역!H4:H43,"*대중교통*",32구역!E4:E43,"*"&amp;$B23&amp;"*"))=0,"",COUNTIFS(32구역!F4:F43,"개인차",32구역!E4:E43,"*"&amp;$B23&amp;"*")+(COUNTIFS(32구역!H4:H43,"?*",32구역!E4:E43,"*"&amp;$B23&amp;"*")-COUNTIFS(32구역!H4:H43,"*교회차*",32구역!E4:E43,"*"&amp;$B23&amp;"*")-COUNTIFS(32구역!H4:H43,"*타교회*",32구역!E4:E43,"*"&amp;$B23&amp;"*")-COUNTIFS(32구역!H4:H43,"*대중교통*",32구역!E4:E43,"*"&amp;$B23&amp;"*")))</f>
        <v/>
      </c>
      <c r="I13" s="44">
        <f>IF(COUNTIFS(32구역!G4:G43,"개인차",32구역!E4:E43,"*"&amp;$B23&amp;"*")+(COUNTIFS(32구역!I4:I43,"?*",32구역!E4:E43,"*"&amp;$B23&amp;"*")-COUNTIFS(32구역!I4:I43,"*교회차*",32구역!E4:E43,"*"&amp;$B23&amp;"*")-COUNTIFS(32구역!I4:I43,"*타교회*",32구역!E4:E43,"*"&amp;$B23&amp;"*")-COUNTIFS(32구역!I4:I43,"*대중교통*",32구역!E4:E43,"*"&amp;$B23&amp;"*"))=0,"",COUNTIFS(32구역!G4:G43,"개인차",32구역!E4:E43,"*"&amp;$B23&amp;"*")+(COUNTIFS(32구역!I4:I43,"?*",32구역!E4:E43,"*"&amp;$B23&amp;"*")-COUNTIFS(32구역!I4:I43,"*교회차*",32구역!E4:E43,"*"&amp;$B23&amp;"*")-COUNTIFS(32구역!I4:I43,"*타교회*",32구역!E4:E43,"*"&amp;$B23&amp;"*")-COUNTIFS(32구역!I4:I43,"*대중교통*",32구역!E4:E43,"*"&amp;$B23&amp;"*")))</f>
        <v/>
      </c>
      <c r="J13" s="44">
        <f>IF(COUNTIFS(32구역!F4:F43,"대중교통",32구역!E4:E43,"*"&amp;$B23&amp;"*")+COUNTIFS(32구역!H4:H43,"*대중교통*",32구역!E4:E43,"*"&amp;$B23&amp;"*")=0,"",COUNTIFS(32구역!F4:F43,"대중교통",32구역!E4:E43,"*"&amp;$B23&amp;"*")+COUNTIFS(32구역!H4:H43,"*대중교통*",32구역!E4:E43,"*"&amp;$B23&amp;"*"))</f>
        <v/>
      </c>
      <c r="K13" s="44">
        <f>IF(COUNTIFS(32구역!G4:G43,"대중교통",32구역!E4:E43,"*"&amp;$B23&amp;"*")+COUNTIFS(32구역!I4:I43,"*대중교통*",32구역!E4:E43,"*"&amp;$B23&amp;"*")=0,"",COUNTIFS(32구역!G4:G43,"대중교통",32구역!E4:E43,"*"&amp;$B23&amp;"*")+COUNTIFS(32구역!I4:I43,"*대중교통*",32구역!E4:E43,"*"&amp;$B23&amp;"*"))</f>
        <v/>
      </c>
      <c r="L13" s="44" t="n"/>
      <c r="M13" s="44" t="n"/>
    </row>
    <row r="14" ht="15" customHeight="1" s="33">
      <c r="A14" s="61" t="inlineStr">
        <is>
          <t>33구역</t>
        </is>
      </c>
      <c r="B14" s="61">
        <f>IF(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=0,"",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)</f>
        <v/>
      </c>
      <c r="C14" s="61">
        <f>IF(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=0,"",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)</f>
        <v/>
      </c>
      <c r="D14" s="61">
        <f>IF(COUNTIFS(33구역!F4:F43,"교회차1",33구역!E4:E43,"*"&amp;$B23&amp;"*")+COUNTIFS(33구역!F4:F43,"교회차2",33구역!E4:E43,"*"&amp;$B23&amp;"*")+COUNTIFS(33구역!H4:H43,"*교회차*",33구역!E4:E43,"*"&amp;$B23&amp;"*")=0,"",COUNTIFS(33구역!F4:F43,"교회차1",33구역!E4:E43,"*"&amp;$B23&amp;"*")+COUNTIFS(33구역!F4:F43,"교회차2",33구역!E4:E43,"*"&amp;$B23&amp;"*")+COUNTIFS(33구역!H4:H43,"*교회차*",33구역!E4:E43,"*"&amp;$B23&amp;"*"))</f>
        <v/>
      </c>
      <c r="E14" s="61">
        <f>IF(COUNTIFS(33구역!G4:G43,"교회차1",33구역!E4:E43,"*"&amp;$B23&amp;"*")+COUNTIFS(33구역!G4:G43,"교회차2",33구역!E4:E43,"*"&amp;$B23&amp;"*")+COUNTIFS(33구역!I4:I43,"*교회차*",33구역!E4:E43,"*"&amp;$B23&amp;"*")=0,"",COUNTIFS(33구역!G4:G43,"교회차1",33구역!E4:E43,"*"&amp;$B23&amp;"*")+COUNTIFS(33구역!G4:G43,"교회차2",33구역!E4:E43,"*"&amp;$B23&amp;"*")+COUNTIFS(33구역!I4:I43,"*교회차*",33구역!E4:E43,"*"&amp;$B23&amp;"*"))</f>
        <v/>
      </c>
      <c r="F14" s="61">
        <f>IF(COUNTIFS(33구역!F4:F43,"타교회",33구역!E4:E43,"*"&amp;$B23&amp;"*")+COUNTIFS(33구역!H4:H43,"*타교회*",33구역!E4:E43,"*"&amp;$B23&amp;"*")=0,"",COUNTIFS(33구역!F4:F43,"타교회",33구역!E4:E43,"*"&amp;$B23&amp;"*")+COUNTIFS(33구역!H4:H43,"*타교회*",33구역!E4:E43,"*"&amp;$B23&amp;"*"))</f>
        <v/>
      </c>
      <c r="G14" s="61">
        <f>IF(COUNTIFS(33구역!G4:G43,"타교회",33구역!E4:E43,"*"&amp;$B23&amp;"*")+COUNTIFS(33구역!I4:I43,"*타교회*",33구역!E4:E43,"*"&amp;$B23&amp;"*")=0,"",COUNTIFS(33구역!G4:G43,"타교회",33구역!E4:E43,"*"&amp;$B23&amp;"*")+COUNTIFS(33구역!I4:I43,"*타교회*",33구역!E4:E43,"*"&amp;$B23&amp;"*"))</f>
        <v/>
      </c>
      <c r="H14" s="61">
        <f>IF(COUNTIFS(33구역!F4:F43,"개인차",33구역!E4:E43,"*"&amp;$B23&amp;"*")+(COUNTIFS(33구역!H4:H43,"?*",33구역!E4:E43,"*"&amp;$B23&amp;"*")-COUNTIFS(33구역!H4:H43,"*교회차*",33구역!E4:E43,"*"&amp;$B23&amp;"*")-COUNTIFS(33구역!H4:H43,"*타교회*",33구역!E4:E43,"*"&amp;$B23&amp;"*")-COUNTIFS(33구역!H4:H43,"*대중교통*",33구역!E4:E43,"*"&amp;$B23&amp;"*"))=0,"",COUNTIFS(33구역!F4:F43,"개인차",33구역!E4:E43,"*"&amp;$B23&amp;"*")+(COUNTIFS(33구역!H4:H43,"?*",33구역!E4:E43,"*"&amp;$B23&amp;"*")-COUNTIFS(33구역!H4:H43,"*교회차*",33구역!E4:E43,"*"&amp;$B23&amp;"*")-COUNTIFS(33구역!H4:H43,"*타교회*",33구역!E4:E43,"*"&amp;$B23&amp;"*")-COUNTIFS(33구역!H4:H43,"*대중교통*",33구역!E4:E43,"*"&amp;$B23&amp;"*")))</f>
        <v/>
      </c>
      <c r="I14" s="61">
        <f>IF(COUNTIFS(33구역!G4:G43,"개인차",33구역!E4:E43,"*"&amp;$B23&amp;"*")+(COUNTIFS(33구역!I4:I43,"?*",33구역!E4:E43,"*"&amp;$B23&amp;"*")-COUNTIFS(33구역!I4:I43,"*교회차*",33구역!E4:E43,"*"&amp;$B23&amp;"*")-COUNTIFS(33구역!I4:I43,"*타교회*",33구역!E4:E43,"*"&amp;$B23&amp;"*")-COUNTIFS(33구역!I4:I43,"*대중교통*",33구역!E4:E43,"*"&amp;$B23&amp;"*"))=0,"",COUNTIFS(33구역!G4:G43,"개인차",33구역!E4:E43,"*"&amp;$B23&amp;"*")+(COUNTIFS(33구역!I4:I43,"?*",33구역!E4:E43,"*"&amp;$B23&amp;"*")-COUNTIFS(33구역!I4:I43,"*교회차*",33구역!E4:E43,"*"&amp;$B23&amp;"*")-COUNTIFS(33구역!I4:I43,"*타교회*",33구역!E4:E43,"*"&amp;$B23&amp;"*")-COUNTIFS(33구역!I4:I43,"*대중교통*",33구역!E4:E43,"*"&amp;$B23&amp;"*")))</f>
        <v/>
      </c>
      <c r="J14" s="61">
        <f>IF(COUNTIFS(33구역!F4:F43,"대중교통",33구역!E4:E43,"*"&amp;$B23&amp;"*")+COUNTIFS(33구역!H4:H43,"*대중교통*",33구역!E4:E43,"*"&amp;$B23&amp;"*")=0,"",COUNTIFS(33구역!F4:F43,"대중교통",33구역!E4:E43,"*"&amp;$B23&amp;"*")+COUNTIFS(33구역!H4:H43,"*대중교통*",33구역!E4:E43,"*"&amp;$B23&amp;"*"))</f>
        <v/>
      </c>
      <c r="K14" s="61">
        <f>IF(COUNTIFS(33구역!G4:G43,"대중교통",33구역!E4:E43,"*"&amp;$B23&amp;"*")+COUNTIFS(33구역!I4:I43,"*대중교통*",33구역!E4:E43,"*"&amp;$B23&amp;"*")=0,"",COUNTIFS(33구역!G4:G43,"대중교통",33구역!E4:E43,"*"&amp;$B23&amp;"*")+COUNTIFS(33구역!I4:I43,"*대중교통*",33구역!E4:E43,"*"&amp;$B23&amp;"*"))</f>
        <v/>
      </c>
      <c r="L14" s="61" t="n"/>
      <c r="M14" s="61" t="n"/>
    </row>
    <row r="15">
      <c r="A15" s="32" t="inlineStr">
        <is>
          <t>34구역</t>
        </is>
      </c>
      <c r="B15" s="32">
        <f>IF(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=0,"",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)</f>
        <v/>
      </c>
      <c r="C15" s="32">
        <f>IF(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=0,"",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)</f>
        <v/>
      </c>
      <c r="D15" s="32">
        <f>IF(COUNTIFS(34구역!F4:F43,"교회차1",34구역!E4:E43,"*"&amp;$B23&amp;"*")+COUNTIFS(34구역!F4:F43,"교회차2",34구역!E4:E43,"*"&amp;$B23&amp;"*")+COUNTIFS(34구역!H4:H43,"*교회차*",34구역!E4:E43,"*"&amp;$B23&amp;"*")=0,"",COUNTIFS(34구역!F4:F43,"교회차1",34구역!E4:E43,"*"&amp;$B23&amp;"*")+COUNTIFS(34구역!F4:F43,"교회차2",34구역!E4:E43,"*"&amp;$B23&amp;"*")+COUNTIFS(34구역!H4:H43,"*교회차*",34구역!E4:E43,"*"&amp;$B23&amp;"*"))</f>
        <v/>
      </c>
      <c r="E15" s="32">
        <f>IF(COUNTIFS(34구역!G4:G43,"교회차1",34구역!E4:E43,"*"&amp;$B23&amp;"*")+COUNTIFS(34구역!G4:G43,"교회차2",34구역!E4:E43,"*"&amp;$B23&amp;"*")+COUNTIFS(34구역!I4:I43,"*교회차*",34구역!E4:E43,"*"&amp;$B23&amp;"*")=0,"",COUNTIFS(34구역!G4:G43,"교회차1",34구역!E4:E43,"*"&amp;$B23&amp;"*")+COUNTIFS(34구역!G4:G43,"교회차2",34구역!E4:E43,"*"&amp;$B23&amp;"*")+COUNTIFS(34구역!I4:I43,"*교회차*",34구역!E4:E43,"*"&amp;$B23&amp;"*"))</f>
        <v/>
      </c>
      <c r="F15" s="32">
        <f>IF(COUNTIFS(34구역!F4:F43,"타교회",34구역!E4:E43,"*"&amp;$B23&amp;"*")+COUNTIFS(34구역!H4:H43,"*타교회*",34구역!E4:E43,"*"&amp;$B23&amp;"*")=0,"",COUNTIFS(34구역!F4:F43,"타교회",34구역!E4:E43,"*"&amp;$B23&amp;"*")+COUNTIFS(34구역!H4:H43,"*타교회*",34구역!E4:E43,"*"&amp;$B23&amp;"*"))</f>
        <v/>
      </c>
      <c r="G15" s="32">
        <f>IF(COUNTIFS(34구역!G4:G43,"타교회",34구역!E4:E43,"*"&amp;$B23&amp;"*")+COUNTIFS(34구역!I4:I43,"*타교회*",34구역!E4:E43,"*"&amp;$B23&amp;"*")=0,"",COUNTIFS(34구역!G4:G43,"타교회",34구역!E4:E43,"*"&amp;$B23&amp;"*")+COUNTIFS(34구역!I4:I43,"*타교회*",34구역!E4:E43,"*"&amp;$B23&amp;"*"))</f>
        <v/>
      </c>
      <c r="H15" s="32">
        <f>IF(COUNTIFS(34구역!F4:F43,"개인차",34구역!E4:E43,"*"&amp;$B23&amp;"*")+(COUNTIFS(34구역!H4:H43,"?*",34구역!E4:E43,"*"&amp;$B23&amp;"*")-COUNTIFS(34구역!H4:H43,"*교회차*",34구역!E4:E43,"*"&amp;$B23&amp;"*")-COUNTIFS(34구역!H4:H43,"*타교회*",34구역!E4:E43,"*"&amp;$B23&amp;"*")-COUNTIFS(34구역!H4:H43,"*대중교통*",34구역!E4:E43,"*"&amp;$B23&amp;"*"))=0,"",COUNTIFS(34구역!F4:F43,"개인차",34구역!E4:E43,"*"&amp;$B23&amp;"*")+(COUNTIFS(34구역!H4:H43,"?*",34구역!E4:E43,"*"&amp;$B23&amp;"*")-COUNTIFS(34구역!H4:H43,"*교회차*",34구역!E4:E43,"*"&amp;$B23&amp;"*")-COUNTIFS(34구역!H4:H43,"*타교회*",34구역!E4:E43,"*"&amp;$B23&amp;"*")-COUNTIFS(34구역!H4:H43,"*대중교통*",34구역!E4:E43,"*"&amp;$B23&amp;"*")))</f>
        <v/>
      </c>
      <c r="I15" s="32">
        <f>IF(COUNTIFS(34구역!G4:G43,"개인차",34구역!E4:E43,"*"&amp;$B23&amp;"*")+(COUNTIFS(34구역!I4:I43,"?*",34구역!E4:E43,"*"&amp;$B23&amp;"*")-COUNTIFS(34구역!I4:I43,"*교회차*",34구역!E4:E43,"*"&amp;$B23&amp;"*")-COUNTIFS(34구역!I4:I43,"*타교회*",34구역!E4:E43,"*"&amp;$B23&amp;"*")-COUNTIFS(34구역!I4:I43,"*대중교통*",34구역!E4:E43,"*"&amp;$B23&amp;"*"))=0,"",COUNTIFS(34구역!G4:G43,"개인차",34구역!E4:E43,"*"&amp;$B23&amp;"*")+(COUNTIFS(34구역!I4:I43,"?*",34구역!E4:E43,"*"&amp;$B23&amp;"*")-COUNTIFS(34구역!I4:I43,"*교회차*",34구역!E4:E43,"*"&amp;$B23&amp;"*")-COUNTIFS(34구역!I4:I43,"*타교회*",34구역!E4:E43,"*"&amp;$B23&amp;"*")-COUNTIFS(34구역!I4:I43,"*대중교통*",34구역!E4:E43,"*"&amp;$B23&amp;"*")))</f>
        <v/>
      </c>
      <c r="J15" s="32">
        <f>IF(COUNTIFS(34구역!F4:F43,"대중교통",34구역!E4:E43,"*"&amp;$B23&amp;"*")+COUNTIFS(34구역!H4:H43,"*대중교통*",34구역!E4:E43,"*"&amp;$B23&amp;"*")=0,"",COUNTIFS(34구역!F4:F43,"대중교통",34구역!E4:E43,"*"&amp;$B23&amp;"*")+COUNTIFS(34구역!H4:H43,"*대중교통*",34구역!E4:E43,"*"&amp;$B23&amp;"*"))</f>
        <v/>
      </c>
      <c r="K15" s="32">
        <f>IF(COUNTIFS(34구역!G4:G43,"대중교통",34구역!E4:E43,"*"&amp;$B23&amp;"*")+COUNTIFS(34구역!I4:I43,"*대중교통*",34구역!E4:E43,"*"&amp;$B23&amp;"*")=0,"",COUNTIFS(34구역!G4:G43,"대중교통",34구역!E4:E43,"*"&amp;$B23&amp;"*")+COUNTIFS(34구역!I4:I43,"*대중교통*",34구역!E4:E43,"*"&amp;$B23&amp;"*"))</f>
        <v/>
      </c>
      <c r="L15" s="32" t="n"/>
      <c r="M15" s="32" t="n"/>
    </row>
    <row r="16" ht="19.4" customHeight="1" s="33">
      <c r="A16" s="62" t="inlineStr">
        <is>
          <t>합  계</t>
        </is>
      </c>
      <c r="B16" s="32">
        <f>IF(SUM(B4:B15)=0,"",SUM(B4:B15))</f>
        <v/>
      </c>
      <c r="C16" s="32">
        <f>IF(SUM(C4:C15)=0,"",SUM(C4:C15))</f>
        <v/>
      </c>
      <c r="D16" s="32">
        <f>IF(SUM(D4:D15)=0,"",SUM(D4:D15))</f>
        <v/>
      </c>
      <c r="E16" s="32">
        <f>IF(SUM(E4:E15)=0,"",SUM(E4:E15))</f>
        <v/>
      </c>
      <c r="F16" s="32">
        <f>IF(SUM(F4:F15)=0,"",SUM(F4:F15))</f>
        <v/>
      </c>
      <c r="G16" s="32">
        <f>IF(SUM(G4:G15)=0,"",SUM(G4:G15))</f>
        <v/>
      </c>
      <c r="H16" s="32">
        <f>IF(SUM(H4:H15)=0,"",SUM(H4:H15))</f>
        <v/>
      </c>
      <c r="I16" s="32">
        <f>IF(SUM(I4:I15)=0,"",SUM(I4:I15))</f>
        <v/>
      </c>
      <c r="J16" s="32">
        <f>IF(SUM(J4:J15)=0,"",SUM(J4:J15))</f>
        <v/>
      </c>
      <c r="K16" s="32">
        <f>IF(SUM(K4:K15)=0,"",SUM(K4:K15))</f>
        <v/>
      </c>
      <c r="L16" s="32" t="n"/>
      <c r="M16" s="32" t="n"/>
    </row>
    <row r="17" ht="15" customHeight="1" s="33">
      <c r="A17" s="49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9" t="n"/>
    </row>
    <row r="18" ht="15" customHeight="1" s="33">
      <c r="A18" s="49" t="inlineStr">
        <is>
          <t>차수별 접수인원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67" t="n"/>
    </row>
    <row r="19">
      <c r="A19" s="32" t="inlineStr">
        <is>
          <t>차수</t>
        </is>
      </c>
      <c r="B19" s="32" t="inlineStr">
        <is>
          <t>1차</t>
        </is>
      </c>
      <c r="C19" s="32" t="inlineStr">
        <is>
          <t>2차</t>
        </is>
      </c>
      <c r="D19" s="32" t="inlineStr">
        <is>
          <t>3차</t>
        </is>
      </c>
      <c r="E19" s="32" t="inlineStr">
        <is>
          <t>4차</t>
        </is>
      </c>
      <c r="F19" s="32" t="inlineStr">
        <is>
          <t>5차</t>
        </is>
      </c>
      <c r="G19" s="32" t="inlineStr">
        <is>
          <t>6차</t>
        </is>
      </c>
      <c r="H19" s="32" t="inlineStr">
        <is>
          <t>7차</t>
        </is>
      </c>
      <c r="I19" s="32" t="inlineStr">
        <is>
          <t>8차</t>
        </is>
      </c>
      <c r="J19" s="32" t="inlineStr">
        <is>
          <t>계</t>
        </is>
      </c>
    </row>
    <row r="20">
      <c r="A20" s="32" t="inlineStr">
        <is>
          <t>접수인원</t>
        </is>
      </c>
      <c r="B20" s="32">
        <f>IF(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=0,"",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)</f>
        <v/>
      </c>
      <c r="C20" s="32">
        <f>IF(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=0,"",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)</f>
        <v/>
      </c>
      <c r="D20" s="32">
        <f>IF(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=0,"",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)</f>
        <v/>
      </c>
      <c r="E20" s="32">
        <f>IF(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=0,"",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)</f>
        <v/>
      </c>
      <c r="F20" s="32">
        <f>IF(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=0,"",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)</f>
        <v/>
      </c>
      <c r="G20" s="32">
        <f>IF(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=0,"",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)</f>
        <v/>
      </c>
      <c r="H20" s="32">
        <f>IF(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=0,"",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)</f>
        <v/>
      </c>
      <c r="I20" s="32">
        <f>IF(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=0,"",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)</f>
        <v/>
      </c>
      <c r="J20" s="32">
        <f>IF(SUM(B20:I20)=0,"",SUM(B20:I20))</f>
        <v/>
      </c>
    </row>
    <row r="21"/>
    <row r="22"/>
    <row r="23">
      <c r="A23" s="32" t="inlineStr">
        <is>
          <t>적용 차수</t>
        </is>
      </c>
      <c r="B23" s="32" t="inlineStr"/>
    </row>
  </sheetData>
  <mergeCells count="8">
    <mergeCell ref="F2:G2"/>
    <mergeCell ref="B2:C2"/>
    <mergeCell ref="H2:I2"/>
    <mergeCell ref="A18:K18"/>
    <mergeCell ref="D2:E2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</sheetData>
  <mergeCells count="60">
    <mergeCell ref="G72:K72"/>
    <mergeCell ref="G52:K52"/>
    <mergeCell ref="G12:K12"/>
    <mergeCell ref="A82:E82"/>
    <mergeCell ref="G2:K2"/>
    <mergeCell ref="A142:E142"/>
    <mergeCell ref="A182:E182"/>
    <mergeCell ref="A11:K11"/>
    <mergeCell ref="G42:K42"/>
    <mergeCell ref="A51:K51"/>
    <mergeCell ref="A132:E132"/>
    <mergeCell ref="A191:K191"/>
    <mergeCell ref="G132:K132"/>
    <mergeCell ref="A1:K1"/>
    <mergeCell ref="A162:E162"/>
    <mergeCell ref="A61:K61"/>
    <mergeCell ref="G82:K82"/>
    <mergeCell ref="G122:K122"/>
    <mergeCell ref="A172:E172"/>
    <mergeCell ref="A41:K41"/>
    <mergeCell ref="G172:K172"/>
    <mergeCell ref="G112:K112"/>
    <mergeCell ref="G162:K162"/>
    <mergeCell ref="G62:K62"/>
    <mergeCell ref="A192:E192"/>
    <mergeCell ref="A12:E12"/>
    <mergeCell ref="G92:K92"/>
    <mergeCell ref="G152:K152"/>
    <mergeCell ref="A101:K101"/>
    <mergeCell ref="A2:E2"/>
    <mergeCell ref="A21:K21"/>
    <mergeCell ref="A42:E42"/>
    <mergeCell ref="A71:K71"/>
    <mergeCell ref="G142:K142"/>
    <mergeCell ref="A32:E32"/>
    <mergeCell ref="A151:K151"/>
    <mergeCell ref="A22:E22"/>
    <mergeCell ref="A181:K181"/>
    <mergeCell ref="G192:K192"/>
    <mergeCell ref="A31:K31"/>
    <mergeCell ref="A141:K141"/>
    <mergeCell ref="A122:E122"/>
    <mergeCell ref="A91:K91"/>
    <mergeCell ref="A131:K131"/>
    <mergeCell ref="A62:E62"/>
    <mergeCell ref="G182:K182"/>
    <mergeCell ref="A171:K171"/>
    <mergeCell ref="A72:E72"/>
    <mergeCell ref="A52:E52"/>
    <mergeCell ref="A112:E112"/>
    <mergeCell ref="A81:K81"/>
    <mergeCell ref="G32:K32"/>
    <mergeCell ref="A152:E152"/>
    <mergeCell ref="A102:E102"/>
    <mergeCell ref="A121:K121"/>
    <mergeCell ref="A161:K161"/>
    <mergeCell ref="G102:K102"/>
    <mergeCell ref="G22:K22"/>
    <mergeCell ref="A111:K111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2026-05-30T13:42:02Z</dcterms:modified>
  <cp:revision>0</cp:revision>
</cp:coreProperties>
</file>