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  <font>
      <name val="Noto Sans CJK SC"/>
      <b val="1"/>
      <color rgb="FFFFFFFF"/>
      <sz val="11"/>
    </font>
    <font>
      <name val="Noto Sans CJK SC"/>
      <sz val="10"/>
    </font>
    <font>
      <name val="Noto Sans CJK SC"/>
      <b val="1"/>
      <color rgb="FF1F4E79"/>
      <sz val="11"/>
    </font>
    <font>
      <name val="Noto Sans CJK SC"/>
      <b val="1"/>
      <color rgb="FF1F4E79"/>
      <sz val="10"/>
    </font>
  </fonts>
  <fills count="10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23" fillId="3" borderId="0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3" fillId="3" borderId="11" applyAlignment="1" pivotButton="0" quotePrefix="0" xfId="0">
      <alignment horizontal="center" vertical="center"/>
    </xf>
    <xf numFmtId="0" fontId="25" fillId="9" borderId="11" applyAlignment="1" pivotButton="0" quotePrefix="0" xfId="0">
      <alignment horizontal="center" vertical="center"/>
    </xf>
    <xf numFmtId="0" fontId="0" fillId="9" borderId="11" pivotButton="0" quotePrefix="0" xfId="0"/>
    <xf numFmtId="0" fontId="0" fillId="0" borderId="14" pivotButton="0" quotePrefix="0" xfId="0"/>
    <xf numFmtId="0" fontId="8" fillId="0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0" fillId="0" borderId="15" pivotButton="0" quotePrefix="0" xfId="0"/>
    <xf numFmtId="0" fontId="8" fillId="0" borderId="15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0" fontId="11" fillId="0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general" vertical="bottom"/>
    </xf>
    <xf numFmtId="0" fontId="26" fillId="4" borderId="1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9.5" customHeight="1" s="33">
      <c r="A44" s="41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</row>
    <row r="45" ht="19.5" customHeight="1" s="33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</row>
    <row r="46" ht="19.5" customHeight="1" s="33">
      <c r="A46" s="41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</row>
    <row r="47" ht="19.5" customHeight="1" s="33">
      <c r="A47" s="43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</row>
    <row r="48" ht="19.5" customHeight="1" s="33">
      <c r="A48" s="41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</row>
    <row r="49" ht="19.5" customHeight="1" s="33">
      <c r="A49" s="43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</row>
    <row r="50" ht="19.5" customHeight="1" s="33">
      <c r="A50" s="41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</row>
    <row r="51" ht="19.5" customHeight="1" s="33">
      <c r="A51" s="43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</row>
    <row r="52" ht="19.5" customHeight="1" s="33">
      <c r="A52" s="41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</row>
    <row r="53" ht="19.5" customHeight="1" s="33">
      <c r="A53" s="43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</row>
    <row r="54" ht="19.5" customHeight="1" s="33">
      <c r="A54" s="41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</row>
    <row r="55" ht="19.5" customHeight="1" s="33">
      <c r="A55" s="43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</row>
    <row r="56" ht="19.5" customHeight="1" s="33">
      <c r="A56" s="41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</row>
    <row r="57" ht="19.5" customHeight="1" s="33">
      <c r="A57" s="43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</row>
    <row r="58" ht="19.5" customHeight="1" s="33">
      <c r="A58" s="41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 ht="19.5" customHeight="1" s="33">
      <c r="A59" s="43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</row>
    <row r="60" ht="19.5" customHeight="1" s="33">
      <c r="A60" s="41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</row>
    <row r="61" ht="19.5" customHeight="1" s="33">
      <c r="A61" s="43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</row>
    <row r="62" ht="19.5" customHeight="1" s="33">
      <c r="A62" s="41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</row>
    <row r="63" ht="19.5" customHeight="1" s="33">
      <c r="A63" s="43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</row>
    <row r="64" ht="19.5" customHeight="1" s="33">
      <c r="A64" s="41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</row>
    <row r="65" ht="19.5" customHeight="1" s="33">
      <c r="A65" s="43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</row>
    <row r="66" ht="19.5" customHeight="1" s="33">
      <c r="A66" s="41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</row>
    <row r="67" ht="19.5" customHeight="1" s="33">
      <c r="A67" s="43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</row>
    <row r="68" ht="19.5" customHeight="1" s="33">
      <c r="A68" s="41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</row>
    <row r="69" ht="19.5" customHeight="1" s="33">
      <c r="A69" s="43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</row>
    <row r="70" ht="19.5" customHeight="1" s="33">
      <c r="A70" s="41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</row>
    <row r="71" ht="19.5" customHeight="1" s="33">
      <c r="A71" s="43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</row>
    <row r="72" ht="19.5" customHeight="1" s="33">
      <c r="A72" s="41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</row>
    <row r="73" ht="19.5" customHeight="1" s="33">
      <c r="A73" s="43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</row>
    <row r="74" ht="15" customHeight="1" s="33">
      <c r="A74" s="45" t="inlineStr">
        <is>
          <t>합  계</t>
        </is>
      </c>
      <c r="B74" s="35" t="n"/>
      <c r="C74" s="35" t="n"/>
      <c r="D74" s="35" t="n"/>
      <c r="E74" s="46">
        <f>IF(COUNTA(E4:E73)=0,"",COUNTA(E4:E73))</f>
        <v/>
      </c>
      <c r="F74" s="46">
        <f>IF(COUNTA(F4:F73)=0,"",COUNTA(F4:F73))</f>
        <v/>
      </c>
      <c r="G74" s="46">
        <f>IF(COUNTA(G4:G73)=0,"",COUNTA(G4:G73))</f>
        <v/>
      </c>
      <c r="H74" s="46">
        <f>IF(COUNTA(H4:H73)=0,"",COUNTA(H4:H73))</f>
        <v/>
      </c>
      <c r="I74" s="46">
        <f>IF(COUNTA(I4:I73)=0,"",COUNTA(I4:I73))</f>
        <v/>
      </c>
      <c r="J74" s="46">
        <f>IF(COUNTA(J4:J73)=0,"",COUNTA(J4:J73))</f>
        <v/>
      </c>
      <c r="K74" s="46">
        <f>IF(COUNTA(K4:K73)=0,"",COUNTA(K4:K73))</f>
        <v/>
      </c>
      <c r="L74" s="46">
        <f>IF(COUNTA(L4:L73)=0,"",COUNTA(L4:L73))</f>
        <v/>
      </c>
      <c r="M74" s="46" t="n"/>
      <c r="N7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74:D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2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8" customWidth="1" style="32" min="3" max="3"/>
    <col width="8.5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/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/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/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/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/>
      <c r="B42" s="44" t="n"/>
      <c r="C42" s="44" t="n"/>
      <c r="D42" s="44" t="n"/>
      <c r="E42" s="44" t="n"/>
      <c r="F42" s="44" t="n"/>
      <c r="G42" s="44" t="n"/>
      <c r="H42" s="44" t="n"/>
      <c r="I42" s="44" t="n"/>
    </row>
    <row r="43" ht="19.5" customHeight="1" s="33">
      <c r="A43" s="41" t="n"/>
      <c r="B43" s="42" t="n"/>
      <c r="C43" s="42" t="n"/>
      <c r="D43" s="42" t="n"/>
      <c r="E43" s="42" t="n"/>
      <c r="F43" s="42" t="n"/>
      <c r="G43" s="42" t="n"/>
      <c r="H43" s="42" t="n"/>
      <c r="I43" s="42" t="n"/>
    </row>
    <row r="44" ht="19.5" customHeight="1" s="33">
      <c r="A44" s="43" t="n"/>
      <c r="B44" s="44" t="n"/>
      <c r="C44" s="44" t="n"/>
      <c r="D44" s="44" t="n"/>
      <c r="E44" s="44" t="n"/>
      <c r="F44" s="44" t="n"/>
      <c r="G44" s="44" t="n"/>
      <c r="H44" s="44" t="n"/>
      <c r="I44" s="44" t="n"/>
    </row>
    <row r="45" ht="19.5" customHeight="1" s="33">
      <c r="A45" s="41" t="n"/>
      <c r="B45" s="42" t="n"/>
      <c r="C45" s="42" t="n"/>
      <c r="D45" s="42" t="n"/>
      <c r="E45" s="42" t="n"/>
      <c r="F45" s="42" t="n"/>
      <c r="G45" s="42" t="n"/>
      <c r="H45" s="42" t="n"/>
      <c r="I45" s="42" t="n"/>
    </row>
    <row r="46" ht="19.5" customHeight="1" s="33">
      <c r="A46" s="43" t="n"/>
      <c r="B46" s="44" t="n"/>
      <c r="C46" s="44" t="n"/>
      <c r="D46" s="44" t="n"/>
      <c r="E46" s="44" t="n"/>
      <c r="F46" s="44" t="n"/>
      <c r="G46" s="44" t="n"/>
      <c r="H46" s="44" t="n"/>
      <c r="I46" s="44" t="n"/>
    </row>
    <row r="47" ht="19.5" customHeight="1" s="33">
      <c r="A47" s="41" t="n"/>
      <c r="B47" s="42" t="n"/>
      <c r="C47" s="42" t="n"/>
      <c r="D47" s="42" t="n"/>
      <c r="E47" s="42" t="n"/>
      <c r="F47" s="42" t="n"/>
      <c r="G47" s="42" t="n"/>
      <c r="H47" s="42" t="n"/>
      <c r="I47" s="42" t="n"/>
    </row>
    <row r="48" ht="19.5" customHeight="1" s="33">
      <c r="A48" s="43" t="n"/>
      <c r="B48" s="44" t="n"/>
      <c r="C48" s="44" t="n"/>
      <c r="D48" s="44" t="n"/>
      <c r="E48" s="44" t="n"/>
      <c r="F48" s="44" t="n"/>
      <c r="G48" s="44" t="n"/>
      <c r="H48" s="44" t="n"/>
      <c r="I48" s="44" t="n"/>
    </row>
    <row r="49" ht="19.5" customHeight="1" s="33">
      <c r="A49" s="41" t="n"/>
      <c r="B49" s="42" t="n"/>
      <c r="C49" s="42" t="n"/>
      <c r="D49" s="42" t="n"/>
      <c r="E49" s="42" t="n"/>
      <c r="F49" s="42" t="n"/>
      <c r="G49" s="42" t="n"/>
      <c r="H49" s="42" t="n"/>
      <c r="I49" s="42" t="n"/>
    </row>
    <row r="50" ht="19.5" customHeight="1" s="33">
      <c r="A50" s="43" t="n"/>
      <c r="B50" s="44" t="n"/>
      <c r="C50" s="44" t="n"/>
      <c r="D50" s="44" t="n"/>
      <c r="E50" s="44" t="n"/>
      <c r="F50" s="44" t="n"/>
      <c r="G50" s="44" t="n"/>
      <c r="H50" s="44" t="n"/>
      <c r="I50" s="44" t="n"/>
    </row>
    <row r="51" ht="19.5" customHeight="1" s="33">
      <c r="A51" s="41" t="n"/>
      <c r="B51" s="42" t="n"/>
      <c r="C51" s="42" t="n"/>
      <c r="D51" s="42" t="n"/>
      <c r="E51" s="42" t="n"/>
      <c r="F51" s="42" t="n"/>
      <c r="G51" s="42" t="n"/>
      <c r="H51" s="42" t="n"/>
      <c r="I51" s="42" t="n"/>
    </row>
    <row r="52" ht="19.5" customHeight="1" s="33">
      <c r="A52" s="43" t="n"/>
      <c r="B52" s="44" t="n"/>
      <c r="C52" s="44" t="n"/>
      <c r="D52" s="44" t="n"/>
      <c r="E52" s="44" t="n"/>
      <c r="F52" s="44" t="n"/>
      <c r="G52" s="44" t="n"/>
      <c r="H52" s="44" t="n"/>
      <c r="I52" s="44" t="n"/>
    </row>
    <row r="53" ht="19.5" customHeight="1" s="33">
      <c r="A53" s="41" t="n"/>
      <c r="B53" s="42" t="n"/>
      <c r="C53" s="42" t="n"/>
      <c r="D53" s="42" t="n"/>
      <c r="E53" s="42" t="n"/>
      <c r="F53" s="42" t="n"/>
      <c r="G53" s="42" t="n"/>
      <c r="H53" s="42" t="n"/>
      <c r="I53" s="42" t="n"/>
    </row>
    <row r="54" ht="19.5" customHeight="1" s="33">
      <c r="A54" s="43" t="n"/>
      <c r="B54" s="44" t="n"/>
      <c r="C54" s="44" t="n"/>
      <c r="D54" s="44" t="n"/>
      <c r="E54" s="44" t="n"/>
      <c r="F54" s="44" t="n"/>
      <c r="G54" s="44" t="n"/>
      <c r="H54" s="44" t="n"/>
      <c r="I54" s="44" t="n"/>
    </row>
    <row r="55" ht="19.5" customHeight="1" s="33">
      <c r="A55" s="41" t="n"/>
      <c r="B55" s="42" t="n"/>
      <c r="C55" s="42" t="n"/>
      <c r="D55" s="42" t="n"/>
      <c r="E55" s="42" t="n"/>
      <c r="F55" s="42" t="n"/>
      <c r="G55" s="42" t="n"/>
      <c r="H55" s="42" t="n"/>
      <c r="I55" s="42" t="n"/>
    </row>
    <row r="56" ht="19.5" customHeight="1" s="33">
      <c r="A56" s="43" t="n"/>
      <c r="B56" s="44" t="n"/>
      <c r="C56" s="44" t="n"/>
      <c r="D56" s="44" t="n"/>
      <c r="E56" s="44" t="n"/>
      <c r="F56" s="44" t="n"/>
      <c r="G56" s="44" t="n"/>
      <c r="H56" s="44" t="n"/>
      <c r="I56" s="44" t="n"/>
    </row>
    <row r="57" ht="19.5" customHeight="1" s="33">
      <c r="A57" s="41" t="n"/>
      <c r="B57" s="42" t="n"/>
      <c r="C57" s="42" t="n"/>
      <c r="D57" s="42" t="n"/>
      <c r="E57" s="42" t="n"/>
      <c r="F57" s="42" t="n"/>
      <c r="G57" s="42" t="n"/>
      <c r="H57" s="42" t="n"/>
      <c r="I57" s="42" t="n"/>
    </row>
    <row r="58" ht="19.5" customHeight="1" s="33">
      <c r="A58" s="43" t="n"/>
      <c r="B58" s="44" t="n"/>
      <c r="C58" s="44" t="n"/>
      <c r="D58" s="44" t="n"/>
      <c r="E58" s="44" t="n"/>
      <c r="F58" s="44" t="n"/>
      <c r="G58" s="44" t="n"/>
      <c r="H58" s="44" t="n"/>
      <c r="I58" s="44" t="n"/>
    </row>
    <row r="59" ht="19.5" customHeight="1" s="33">
      <c r="A59" s="41" t="n"/>
      <c r="B59" s="42" t="n"/>
      <c r="C59" s="42" t="n"/>
      <c r="D59" s="42" t="n"/>
      <c r="E59" s="42" t="n"/>
      <c r="F59" s="42" t="n"/>
      <c r="G59" s="42" t="n"/>
      <c r="H59" s="42" t="n"/>
      <c r="I59" s="42" t="n"/>
    </row>
    <row r="60" ht="19.5" customHeight="1" s="33">
      <c r="A60" s="43" t="n"/>
      <c r="B60" s="44" t="n"/>
      <c r="C60" s="44" t="n"/>
      <c r="D60" s="44" t="n"/>
      <c r="E60" s="44" t="n"/>
      <c r="F60" s="44" t="n"/>
      <c r="G60" s="44" t="n"/>
      <c r="H60" s="44" t="n"/>
      <c r="I60" s="44" t="n"/>
    </row>
    <row r="61" ht="19.5" customHeight="1" s="33">
      <c r="A61" s="41" t="n"/>
      <c r="B61" s="42" t="n"/>
      <c r="C61" s="42" t="n"/>
      <c r="D61" s="42" t="n"/>
      <c r="E61" s="42" t="n"/>
      <c r="F61" s="42" t="n"/>
      <c r="G61" s="42" t="n"/>
      <c r="H61" s="42" t="n"/>
      <c r="I61" s="42" t="n"/>
    </row>
    <row r="62" ht="19.5" customHeight="1" s="33">
      <c r="A62" s="43" t="n"/>
      <c r="B62" s="44" t="n"/>
      <c r="C62" s="44" t="n"/>
      <c r="D62" s="44" t="n"/>
      <c r="E62" s="44" t="n"/>
      <c r="F62" s="44" t="n"/>
      <c r="G62" s="44" t="n"/>
      <c r="H62" s="44" t="n"/>
      <c r="I62" s="44" t="n"/>
    </row>
    <row r="63" ht="19.5" customHeight="1" s="33">
      <c r="A63" s="41" t="n"/>
      <c r="B63" s="42" t="n"/>
      <c r="C63" s="42" t="n"/>
      <c r="D63" s="42" t="n"/>
      <c r="E63" s="42" t="n"/>
      <c r="F63" s="42" t="n"/>
      <c r="G63" s="42" t="n"/>
      <c r="H63" s="42" t="n"/>
      <c r="I63" s="42" t="n"/>
    </row>
    <row r="64" ht="19.5" customHeight="1" s="33">
      <c r="A64" s="43" t="n"/>
      <c r="B64" s="44" t="n"/>
      <c r="C64" s="44" t="n"/>
      <c r="D64" s="44" t="n"/>
      <c r="E64" s="44" t="n"/>
      <c r="F64" s="44" t="n"/>
      <c r="G64" s="44" t="n"/>
      <c r="H64" s="44" t="n"/>
      <c r="I64" s="44" t="n"/>
    </row>
    <row r="65" ht="19.5" customHeight="1" s="33">
      <c r="A65" s="41" t="n"/>
      <c r="B65" s="42" t="n"/>
      <c r="C65" s="42" t="n"/>
      <c r="D65" s="42" t="n"/>
      <c r="E65" s="42" t="n"/>
      <c r="F65" s="42" t="n"/>
      <c r="G65" s="42" t="n"/>
      <c r="H65" s="42" t="n"/>
      <c r="I65" s="42" t="n"/>
    </row>
    <row r="66" ht="19.5" customHeight="1" s="33">
      <c r="A66" s="43" t="n"/>
      <c r="B66" s="44" t="n"/>
      <c r="C66" s="44" t="n"/>
      <c r="D66" s="44" t="n"/>
      <c r="E66" s="44" t="n"/>
      <c r="F66" s="44" t="n"/>
      <c r="G66" s="44" t="n"/>
      <c r="H66" s="44" t="n"/>
      <c r="I66" s="44" t="n"/>
    </row>
    <row r="67" ht="19.5" customHeight="1" s="33">
      <c r="A67" s="41" t="n"/>
      <c r="B67" s="42" t="n"/>
      <c r="C67" s="42" t="n"/>
      <c r="D67" s="42" t="n"/>
      <c r="E67" s="42" t="n"/>
      <c r="F67" s="42" t="n"/>
      <c r="G67" s="42" t="n"/>
      <c r="H67" s="42" t="n"/>
      <c r="I67" s="42" t="n"/>
    </row>
    <row r="68" ht="19.5" customHeight="1" s="33">
      <c r="A68" s="43" t="n"/>
      <c r="B68" s="44" t="n"/>
      <c r="C68" s="44" t="n"/>
      <c r="D68" s="44" t="n"/>
      <c r="E68" s="44" t="n"/>
      <c r="F68" s="44" t="n"/>
      <c r="G68" s="44" t="n"/>
      <c r="H68" s="44" t="n"/>
      <c r="I68" s="44" t="n"/>
    </row>
    <row r="69" ht="19.5" customHeight="1" s="33">
      <c r="A69" s="41" t="n"/>
      <c r="B69" s="42" t="n"/>
      <c r="C69" s="42" t="n"/>
      <c r="D69" s="42" t="n"/>
      <c r="E69" s="42" t="n"/>
      <c r="F69" s="42" t="n"/>
      <c r="G69" s="42" t="n"/>
      <c r="H69" s="42" t="n"/>
      <c r="I69" s="42" t="n"/>
    </row>
    <row r="70" ht="19.5" customHeight="1" s="33">
      <c r="A70" s="43" t="n"/>
      <c r="B70" s="44" t="n"/>
      <c r="C70" s="44" t="n"/>
      <c r="D70" s="44" t="n"/>
      <c r="E70" s="44" t="n"/>
      <c r="F70" s="44" t="n"/>
      <c r="G70" s="44" t="n"/>
      <c r="H70" s="44" t="n"/>
      <c r="I70" s="44" t="n"/>
    </row>
    <row r="71" ht="19.5" customHeight="1" s="33">
      <c r="A71" s="41" t="n"/>
      <c r="B71" s="42" t="n"/>
      <c r="C71" s="42" t="n"/>
      <c r="D71" s="42" t="n"/>
      <c r="E71" s="42" t="n"/>
      <c r="F71" s="42" t="n"/>
      <c r="G71" s="42" t="n"/>
      <c r="H71" s="42" t="n"/>
      <c r="I71" s="42" t="n"/>
    </row>
    <row r="72" ht="19.5" customHeight="1" s="33">
      <c r="A72" s="43" t="n"/>
      <c r="B72" s="44" t="n"/>
      <c r="C72" s="44" t="n"/>
      <c r="D72" s="44" t="n"/>
      <c r="E72" s="44" t="n"/>
      <c r="F72" s="44" t="n"/>
      <c r="G72" s="44" t="n"/>
      <c r="H72" s="44" t="n"/>
      <c r="I72" s="44" t="n"/>
    </row>
    <row r="73" ht="19.5" customHeight="1" s="33">
      <c r="A73" s="41" t="n"/>
      <c r="B73" s="42" t="n"/>
      <c r="C73" s="42" t="n"/>
      <c r="D73" s="42" t="n"/>
      <c r="E73" s="42" t="n"/>
      <c r="F73" s="42" t="n"/>
      <c r="G73" s="42" t="n"/>
      <c r="H73" s="42" t="n"/>
      <c r="I73" s="42" t="n"/>
    </row>
    <row r="74" ht="19.5" customHeight="1" s="33">
      <c r="A74" s="43" t="n"/>
      <c r="B74" s="44" t="n"/>
      <c r="C74" s="44" t="n"/>
      <c r="D74" s="44" t="n"/>
      <c r="E74" s="44" t="n"/>
      <c r="F74" s="44" t="n"/>
      <c r="G74" s="44" t="n"/>
      <c r="H74" s="44" t="n"/>
      <c r="I74" s="44" t="n"/>
    </row>
    <row r="75" ht="19.5" customHeight="1" s="33">
      <c r="A75" s="41" t="n"/>
      <c r="B75" s="42" t="n"/>
      <c r="C75" s="42" t="n"/>
      <c r="D75" s="42" t="n"/>
      <c r="E75" s="42" t="n"/>
      <c r="F75" s="42" t="n"/>
      <c r="G75" s="42" t="n"/>
      <c r="H75" s="42" t="n"/>
      <c r="I75" s="42" t="n"/>
    </row>
    <row r="76" ht="19.5" customHeight="1" s="33">
      <c r="A76" s="43" t="n"/>
      <c r="B76" s="44" t="n"/>
      <c r="C76" s="44" t="n"/>
      <c r="D76" s="44" t="n"/>
      <c r="E76" s="44" t="n"/>
      <c r="F76" s="44" t="n"/>
      <c r="G76" s="44" t="n"/>
      <c r="H76" s="44" t="n"/>
      <c r="I76" s="44" t="n"/>
    </row>
    <row r="77" ht="19.5" customHeight="1" s="33">
      <c r="A77" s="41" t="n"/>
      <c r="B77" s="42" t="n"/>
      <c r="C77" s="42" t="n"/>
      <c r="D77" s="42" t="n"/>
      <c r="E77" s="42" t="n"/>
      <c r="F77" s="42" t="n"/>
      <c r="G77" s="42" t="n"/>
      <c r="H77" s="42" t="n"/>
      <c r="I77" s="42" t="n"/>
    </row>
    <row r="78" ht="19.5" customHeight="1" s="33">
      <c r="A78" s="43" t="n"/>
      <c r="B78" s="44" t="n"/>
      <c r="C78" s="44" t="n"/>
      <c r="D78" s="44" t="n"/>
      <c r="E78" s="44" t="n"/>
      <c r="F78" s="44" t="n"/>
      <c r="G78" s="44" t="n"/>
      <c r="H78" s="44" t="n"/>
      <c r="I78" s="44" t="n"/>
    </row>
    <row r="79" ht="19.5" customHeight="1" s="33">
      <c r="A79" s="41" t="n"/>
      <c r="B79" s="42" t="n"/>
      <c r="C79" s="42" t="n"/>
      <c r="D79" s="42" t="n"/>
      <c r="E79" s="42" t="n"/>
      <c r="F79" s="42" t="n"/>
      <c r="G79" s="42" t="n"/>
      <c r="H79" s="42" t="n"/>
      <c r="I79" s="42" t="n"/>
    </row>
    <row r="80" ht="19.5" customHeight="1" s="33">
      <c r="A80" s="43" t="n"/>
      <c r="B80" s="44" t="n"/>
      <c r="C80" s="44" t="n"/>
      <c r="D80" s="44" t="n"/>
      <c r="E80" s="44" t="n"/>
      <c r="F80" s="44" t="n"/>
      <c r="G80" s="44" t="n"/>
      <c r="H80" s="44" t="n"/>
      <c r="I80" s="44" t="n"/>
    </row>
    <row r="81" ht="19.5" customHeight="1" s="33">
      <c r="A81" s="41" t="n"/>
      <c r="B81" s="42" t="n"/>
      <c r="C81" s="42" t="n"/>
      <c r="D81" s="42" t="n"/>
      <c r="E81" s="42" t="n"/>
      <c r="F81" s="42" t="n"/>
      <c r="G81" s="42" t="n"/>
      <c r="H81" s="42" t="n"/>
      <c r="I81" s="42" t="n"/>
    </row>
    <row r="82" ht="19.5" customHeight="1" s="33">
      <c r="A82" s="43" t="n"/>
      <c r="B82" s="44" t="n"/>
      <c r="C82" s="44" t="n"/>
      <c r="D82" s="44" t="n"/>
      <c r="E82" s="44" t="n"/>
      <c r="F82" s="44" t="n"/>
      <c r="G82" s="44" t="n"/>
      <c r="H82" s="44" t="n"/>
      <c r="I82" s="44" t="n"/>
    </row>
    <row r="83" ht="19.5" customHeight="1" s="33">
      <c r="A83" s="41" t="n"/>
      <c r="B83" s="42" t="n"/>
      <c r="C83" s="42" t="n"/>
      <c r="D83" s="42" t="n"/>
      <c r="E83" s="42" t="n"/>
      <c r="F83" s="42" t="n"/>
      <c r="G83" s="42" t="n"/>
      <c r="H83" s="42" t="n"/>
      <c r="I83" s="42" t="n"/>
    </row>
    <row r="84" ht="19.5" customHeight="1" s="33">
      <c r="A84" s="43" t="n"/>
      <c r="B84" s="44" t="n"/>
      <c r="C84" s="44" t="n"/>
      <c r="D84" s="44" t="n"/>
      <c r="E84" s="44" t="n"/>
      <c r="F84" s="44" t="n"/>
      <c r="G84" s="44" t="n"/>
      <c r="H84" s="44" t="n"/>
      <c r="I84" s="44" t="n"/>
    </row>
    <row r="85" ht="19.5" customHeight="1" s="33">
      <c r="A85" s="41" t="n"/>
      <c r="B85" s="42" t="n"/>
      <c r="C85" s="42" t="n"/>
      <c r="D85" s="42" t="n"/>
      <c r="E85" s="42" t="n"/>
      <c r="F85" s="42" t="n"/>
      <c r="G85" s="42" t="n"/>
      <c r="H85" s="42" t="n"/>
      <c r="I85" s="42" t="n"/>
    </row>
    <row r="86" ht="19.5" customHeight="1" s="33">
      <c r="A86" s="43" t="n"/>
      <c r="B86" s="44" t="n"/>
      <c r="C86" s="44" t="n"/>
      <c r="D86" s="44" t="n"/>
      <c r="E86" s="44" t="n"/>
      <c r="F86" s="44" t="n"/>
      <c r="G86" s="44" t="n"/>
      <c r="H86" s="44" t="n"/>
      <c r="I86" s="44" t="n"/>
    </row>
    <row r="87" ht="19.5" customHeight="1" s="33">
      <c r="A87" s="41" t="n"/>
      <c r="B87" s="42" t="n"/>
      <c r="C87" s="42" t="n"/>
      <c r="D87" s="42" t="n"/>
      <c r="E87" s="42" t="n"/>
      <c r="F87" s="42" t="n"/>
      <c r="G87" s="42" t="n"/>
      <c r="H87" s="42" t="n"/>
      <c r="I87" s="42" t="n"/>
    </row>
    <row r="88" ht="19.5" customHeight="1" s="33">
      <c r="A88" s="43" t="n"/>
      <c r="B88" s="44" t="n"/>
      <c r="C88" s="44" t="n"/>
      <c r="D88" s="44" t="n"/>
      <c r="E88" s="44" t="n"/>
      <c r="F88" s="44" t="n"/>
      <c r="G88" s="44" t="n"/>
      <c r="H88" s="44" t="n"/>
      <c r="I88" s="44" t="n"/>
    </row>
    <row r="89" ht="19.5" customHeight="1" s="33">
      <c r="A89" s="41" t="n"/>
      <c r="B89" s="42" t="n"/>
      <c r="C89" s="42" t="n"/>
      <c r="D89" s="42" t="n"/>
      <c r="E89" s="42" t="n"/>
      <c r="F89" s="42" t="n"/>
      <c r="G89" s="42" t="n"/>
      <c r="H89" s="42" t="n"/>
      <c r="I89" s="42" t="n"/>
    </row>
    <row r="90" ht="19.5" customHeight="1" s="33">
      <c r="A90" s="43" t="n"/>
      <c r="B90" s="44" t="n"/>
      <c r="C90" s="44" t="n"/>
      <c r="D90" s="44" t="n"/>
      <c r="E90" s="44" t="n"/>
      <c r="F90" s="44" t="n"/>
      <c r="G90" s="44" t="n"/>
      <c r="H90" s="44" t="n"/>
      <c r="I90" s="44" t="n"/>
    </row>
    <row r="91" ht="19.5" customHeight="1" s="33">
      <c r="A91" s="41" t="n"/>
      <c r="B91" s="42" t="n"/>
      <c r="C91" s="42" t="n"/>
      <c r="D91" s="42" t="n"/>
      <c r="E91" s="42" t="n"/>
      <c r="F91" s="42" t="n"/>
      <c r="G91" s="42" t="n"/>
      <c r="H91" s="42" t="n"/>
      <c r="I91" s="42" t="n"/>
    </row>
    <row r="92" ht="19.5" customHeight="1" s="33">
      <c r="A92" s="43" t="n"/>
      <c r="B92" s="44" t="n"/>
      <c r="C92" s="44" t="n"/>
      <c r="D92" s="44" t="n"/>
      <c r="E92" s="44" t="n"/>
      <c r="F92" s="44" t="n"/>
      <c r="G92" s="44" t="n"/>
      <c r="H92" s="44" t="n"/>
      <c r="I92" s="44" t="n"/>
    </row>
    <row r="93" ht="19.5" customHeight="1" s="33">
      <c r="A93" s="41" t="n"/>
      <c r="B93" s="42" t="n"/>
      <c r="C93" s="42" t="n"/>
      <c r="D93" s="42" t="n"/>
      <c r="E93" s="42" t="n"/>
      <c r="F93" s="42" t="n"/>
      <c r="G93" s="42" t="n"/>
      <c r="H93" s="42" t="n"/>
      <c r="I93" s="42" t="n"/>
    </row>
    <row r="94" ht="19.5" customHeight="1" s="33">
      <c r="A94" s="43" t="n"/>
      <c r="B94" s="44" t="n"/>
      <c r="C94" s="44" t="n"/>
      <c r="D94" s="44" t="n"/>
      <c r="E94" s="44" t="n"/>
      <c r="F94" s="44" t="n"/>
      <c r="G94" s="44" t="n"/>
      <c r="H94" s="44" t="n"/>
      <c r="I94" s="44" t="n"/>
    </row>
    <row r="95" ht="19.5" customHeight="1" s="33">
      <c r="A95" s="41" t="n"/>
      <c r="B95" s="42" t="n"/>
      <c r="C95" s="42" t="n"/>
      <c r="D95" s="42" t="n"/>
      <c r="E95" s="42" t="n"/>
      <c r="F95" s="42" t="n"/>
      <c r="G95" s="42" t="n"/>
      <c r="H95" s="42" t="n"/>
      <c r="I95" s="42" t="n"/>
    </row>
    <row r="96" ht="19.5" customHeight="1" s="33">
      <c r="A96" s="43" t="n"/>
      <c r="B96" s="44" t="n"/>
      <c r="C96" s="44" t="n"/>
      <c r="D96" s="44" t="n"/>
      <c r="E96" s="44" t="n"/>
      <c r="F96" s="44" t="n"/>
      <c r="G96" s="44" t="n"/>
      <c r="H96" s="44" t="n"/>
      <c r="I96" s="44" t="n"/>
    </row>
    <row r="97" ht="19.5" customHeight="1" s="33">
      <c r="A97" s="41" t="n"/>
      <c r="B97" s="42" t="n"/>
      <c r="C97" s="42" t="n"/>
      <c r="D97" s="42" t="n"/>
      <c r="E97" s="42" t="n"/>
      <c r="F97" s="42" t="n"/>
      <c r="G97" s="42" t="n"/>
      <c r="H97" s="42" t="n"/>
      <c r="I97" s="42" t="n"/>
    </row>
    <row r="98" ht="19.5" customHeight="1" s="33">
      <c r="A98" s="43" t="n"/>
      <c r="B98" s="44" t="n"/>
      <c r="C98" s="44" t="n"/>
      <c r="D98" s="44" t="n"/>
      <c r="E98" s="44" t="n"/>
      <c r="F98" s="44" t="n"/>
      <c r="G98" s="44" t="n"/>
      <c r="H98" s="44" t="n"/>
      <c r="I98" s="44" t="n"/>
    </row>
    <row r="99" ht="19.5" customHeight="1" s="33">
      <c r="A99" s="41" t="n"/>
      <c r="B99" s="42" t="n"/>
      <c r="C99" s="42" t="n"/>
      <c r="D99" s="42" t="n"/>
      <c r="E99" s="42" t="n"/>
      <c r="F99" s="42" t="n"/>
      <c r="G99" s="42" t="n"/>
      <c r="H99" s="42" t="n"/>
      <c r="I99" s="42" t="n"/>
    </row>
    <row r="100" ht="19.5" customHeight="1" s="33">
      <c r="A100" s="43" t="n"/>
      <c r="B100" s="44" t="n"/>
      <c r="C100" s="44" t="n"/>
      <c r="D100" s="44" t="n"/>
      <c r="E100" s="44" t="n"/>
      <c r="F100" s="44" t="n"/>
      <c r="G100" s="44" t="n"/>
      <c r="H100" s="44" t="n"/>
      <c r="I100" s="44" t="n"/>
    </row>
    <row r="101" ht="19.5" customHeight="1" s="33">
      <c r="A101" s="41" t="n"/>
      <c r="B101" s="42" t="n"/>
      <c r="C101" s="42" t="n"/>
      <c r="D101" s="42" t="n"/>
      <c r="E101" s="42" t="n"/>
      <c r="F101" s="42" t="n"/>
      <c r="G101" s="42" t="n"/>
      <c r="H101" s="42" t="n"/>
      <c r="I101" s="42" t="n"/>
    </row>
    <row r="102" ht="19.5" customHeight="1" s="33">
      <c r="A102" s="43" t="n"/>
      <c r="B102" s="44" t="n"/>
      <c r="C102" s="44" t="n"/>
      <c r="D102" s="44" t="n"/>
      <c r="E102" s="44" t="n"/>
      <c r="F102" s="44" t="n"/>
      <c r="G102" s="44" t="n"/>
      <c r="H102" s="44" t="n"/>
      <c r="I102" s="44" t="n"/>
    </row>
    <row r="103" ht="19.5" customHeight="1" s="33">
      <c r="A103" s="41" t="n"/>
      <c r="B103" s="42" t="n"/>
      <c r="C103" s="42" t="n"/>
      <c r="D103" s="42" t="n"/>
      <c r="E103" s="42" t="n"/>
      <c r="F103" s="42" t="n"/>
      <c r="G103" s="42" t="n"/>
      <c r="H103" s="42" t="n"/>
      <c r="I103" s="42" t="n"/>
    </row>
    <row r="104" ht="19.5" customHeight="1" s="33">
      <c r="A104" s="43" t="n"/>
      <c r="B104" s="44" t="n"/>
      <c r="C104" s="44" t="n"/>
      <c r="D104" s="44" t="n"/>
      <c r="E104" s="44" t="n"/>
      <c r="F104" s="44" t="n"/>
      <c r="G104" s="44" t="n"/>
      <c r="H104" s="44" t="n"/>
      <c r="I104" s="44" t="n"/>
    </row>
    <row r="105" ht="19.5" customHeight="1" s="33">
      <c r="A105" s="41" t="n"/>
      <c r="B105" s="42" t="n"/>
      <c r="C105" s="42" t="n"/>
      <c r="D105" s="42" t="n"/>
      <c r="E105" s="42" t="n"/>
      <c r="F105" s="42" t="n"/>
      <c r="G105" s="42" t="n"/>
      <c r="H105" s="42" t="n"/>
      <c r="I105" s="42" t="n"/>
    </row>
    <row r="106" ht="19.5" customHeight="1" s="33">
      <c r="A106" s="43" t="n"/>
      <c r="B106" s="44" t="n"/>
      <c r="C106" s="44" t="n"/>
      <c r="D106" s="44" t="n"/>
      <c r="E106" s="44" t="n"/>
      <c r="F106" s="44" t="n"/>
      <c r="G106" s="44" t="n"/>
      <c r="H106" s="44" t="n"/>
      <c r="I106" s="44" t="n"/>
    </row>
    <row r="107" ht="19.5" customHeight="1" s="33">
      <c r="A107" s="41" t="n"/>
      <c r="B107" s="42" t="n"/>
      <c r="C107" s="42" t="n"/>
      <c r="D107" s="42" t="n"/>
      <c r="E107" s="42" t="n"/>
      <c r="F107" s="42" t="n"/>
      <c r="G107" s="42" t="n"/>
      <c r="H107" s="42" t="n"/>
      <c r="I107" s="42" t="n"/>
    </row>
    <row r="108" ht="19.5" customHeight="1" s="33">
      <c r="A108" s="43" t="n"/>
      <c r="B108" s="44" t="n"/>
      <c r="C108" s="44" t="n"/>
      <c r="D108" s="44" t="n"/>
      <c r="E108" s="44" t="n"/>
      <c r="F108" s="44" t="n"/>
      <c r="G108" s="44" t="n"/>
      <c r="H108" s="44" t="n"/>
      <c r="I108" s="44" t="n"/>
    </row>
    <row r="109" ht="19.5" customHeight="1" s="33">
      <c r="A109" s="41" t="n"/>
      <c r="B109" s="42" t="n"/>
      <c r="C109" s="42" t="n"/>
      <c r="D109" s="42" t="n"/>
      <c r="E109" s="42" t="n"/>
      <c r="F109" s="42" t="n"/>
      <c r="G109" s="42" t="n"/>
      <c r="H109" s="42" t="n"/>
      <c r="I109" s="42" t="n"/>
    </row>
    <row r="110" ht="19.5" customHeight="1" s="33">
      <c r="A110" s="43" t="n"/>
      <c r="B110" s="44" t="n"/>
      <c r="C110" s="44" t="n"/>
      <c r="D110" s="44" t="n"/>
      <c r="E110" s="44" t="n"/>
      <c r="F110" s="44" t="n"/>
      <c r="G110" s="44" t="n"/>
      <c r="H110" s="44" t="n"/>
      <c r="I110" s="44" t="n"/>
    </row>
    <row r="111" ht="19.5" customHeight="1" s="33">
      <c r="A111" s="41" t="n"/>
      <c r="B111" s="42" t="n"/>
      <c r="C111" s="42" t="n"/>
      <c r="D111" s="42" t="n"/>
      <c r="E111" s="42" t="n"/>
      <c r="F111" s="42" t="n"/>
      <c r="G111" s="42" t="n"/>
      <c r="H111" s="42" t="n"/>
      <c r="I111" s="42" t="n"/>
    </row>
    <row r="112" ht="19.5" customHeight="1" s="33">
      <c r="A112" s="43" t="n"/>
      <c r="B112" s="44" t="n"/>
      <c r="C112" s="44" t="n"/>
      <c r="D112" s="44" t="n"/>
      <c r="E112" s="44" t="n"/>
      <c r="F112" s="44" t="n"/>
      <c r="G112" s="44" t="n"/>
      <c r="H112" s="44" t="n"/>
      <c r="I112" s="44" t="n"/>
    </row>
    <row r="113" ht="19.5" customHeight="1" s="33">
      <c r="A113" s="41" t="n"/>
      <c r="B113" s="42" t="n"/>
      <c r="C113" s="42" t="n"/>
      <c r="D113" s="42" t="n"/>
      <c r="E113" s="42" t="n"/>
      <c r="F113" s="42" t="n"/>
      <c r="G113" s="42" t="n"/>
      <c r="H113" s="42" t="n"/>
      <c r="I113" s="42" t="n"/>
    </row>
    <row r="114" ht="19.5" customHeight="1" s="33">
      <c r="A114" s="43" t="n"/>
      <c r="B114" s="44" t="n"/>
      <c r="C114" s="44" t="n"/>
      <c r="D114" s="44" t="n"/>
      <c r="E114" s="44" t="n"/>
      <c r="F114" s="44" t="n"/>
      <c r="G114" s="44" t="n"/>
      <c r="H114" s="44" t="n"/>
      <c r="I114" s="44" t="n"/>
    </row>
    <row r="115" ht="19.5" customHeight="1" s="33">
      <c r="A115" s="41" t="n"/>
      <c r="B115" s="42" t="n"/>
      <c r="C115" s="42" t="n"/>
      <c r="D115" s="42" t="n"/>
      <c r="E115" s="42" t="n"/>
      <c r="F115" s="42" t="n"/>
      <c r="G115" s="42" t="n"/>
      <c r="H115" s="42" t="n"/>
      <c r="I115" s="42" t="n"/>
    </row>
    <row r="116" ht="19.5" customHeight="1" s="33">
      <c r="A116" s="43" t="n"/>
      <c r="B116" s="44" t="n"/>
      <c r="C116" s="44" t="n"/>
      <c r="D116" s="44" t="n"/>
      <c r="E116" s="44" t="n"/>
      <c r="F116" s="44" t="n"/>
      <c r="G116" s="44" t="n"/>
      <c r="H116" s="44" t="n"/>
      <c r="I116" s="44" t="n"/>
    </row>
    <row r="117" ht="19.5" customHeight="1" s="33">
      <c r="A117" s="41" t="n"/>
      <c r="B117" s="42" t="n"/>
      <c r="C117" s="42" t="n"/>
      <c r="D117" s="42" t="n"/>
      <c r="E117" s="42" t="n"/>
      <c r="F117" s="42" t="n"/>
      <c r="G117" s="42" t="n"/>
      <c r="H117" s="42" t="n"/>
      <c r="I117" s="42" t="n"/>
    </row>
    <row r="118" ht="19.5" customHeight="1" s="33">
      <c r="A118" s="43" t="n"/>
      <c r="B118" s="44" t="n"/>
      <c r="C118" s="44" t="n"/>
      <c r="D118" s="44" t="n"/>
      <c r="E118" s="44" t="n"/>
      <c r="F118" s="44" t="n"/>
      <c r="G118" s="44" t="n"/>
      <c r="H118" s="44" t="n"/>
      <c r="I118" s="44" t="n"/>
    </row>
    <row r="119" ht="19.5" customHeight="1" s="33">
      <c r="A119" s="41" t="n"/>
      <c r="B119" s="42" t="n"/>
      <c r="C119" s="42" t="n"/>
      <c r="D119" s="42" t="n"/>
      <c r="E119" s="42" t="n"/>
      <c r="F119" s="42" t="n"/>
      <c r="G119" s="42" t="n"/>
      <c r="H119" s="42" t="n"/>
      <c r="I119" s="42" t="n"/>
    </row>
    <row r="120" ht="19.5" customHeight="1" s="33">
      <c r="A120" s="43" t="n"/>
      <c r="B120" s="44" t="n"/>
      <c r="C120" s="44" t="n"/>
      <c r="D120" s="44" t="n"/>
      <c r="E120" s="44" t="n"/>
      <c r="F120" s="44" t="n"/>
      <c r="G120" s="44" t="n"/>
      <c r="H120" s="44" t="n"/>
      <c r="I120" s="44" t="n"/>
    </row>
    <row r="121" ht="19.5" customHeight="1" s="33">
      <c r="A121" s="41" t="n"/>
      <c r="B121" s="42" t="n"/>
      <c r="C121" s="42" t="n"/>
      <c r="D121" s="42" t="n"/>
      <c r="E121" s="42" t="n"/>
      <c r="F121" s="42" t="n"/>
      <c r="G121" s="42" t="n"/>
      <c r="H121" s="42" t="n"/>
      <c r="I121" s="42" t="n"/>
    </row>
    <row r="122" ht="19.5" customHeight="1" s="33">
      <c r="A122" s="43" t="n"/>
      <c r="B122" s="44" t="n"/>
      <c r="C122" s="44" t="n"/>
      <c r="D122" s="44" t="n"/>
      <c r="E122" s="44" t="n"/>
      <c r="F122" s="44" t="n"/>
      <c r="G122" s="44" t="n"/>
      <c r="H122" s="44" t="n"/>
      <c r="I122" s="44" t="n"/>
    </row>
    <row r="123" ht="19.5" customHeight="1" s="33">
      <c r="A123" s="41" t="n"/>
      <c r="B123" s="42" t="n"/>
      <c r="C123" s="42" t="n"/>
      <c r="D123" s="42" t="n"/>
      <c r="E123" s="42" t="n"/>
      <c r="F123" s="42" t="n"/>
      <c r="G123" s="42" t="n"/>
      <c r="H123" s="42" t="n"/>
      <c r="I123" s="42" t="n"/>
    </row>
    <row r="124" ht="19.5" customHeight="1" s="33">
      <c r="A124" s="43" t="n"/>
      <c r="B124" s="44" t="n"/>
      <c r="C124" s="44" t="n"/>
      <c r="D124" s="44" t="n"/>
      <c r="E124" s="44" t="n"/>
      <c r="F124" s="44" t="n"/>
      <c r="G124" s="44" t="n"/>
      <c r="H124" s="44" t="n"/>
      <c r="I124" s="44" t="n"/>
    </row>
    <row r="125" ht="19.5" customHeight="1" s="33">
      <c r="A125" s="41" t="n"/>
      <c r="B125" s="42" t="n"/>
      <c r="C125" s="42" t="n"/>
      <c r="D125" s="42" t="n"/>
      <c r="E125" s="42" t="n"/>
      <c r="F125" s="42" t="n"/>
      <c r="G125" s="42" t="n"/>
      <c r="H125" s="42" t="n"/>
      <c r="I125" s="42" t="n"/>
    </row>
    <row r="126" ht="19.5" customHeight="1" s="33">
      <c r="A126" s="43" t="n"/>
      <c r="B126" s="44" t="n"/>
      <c r="C126" s="44" t="n"/>
      <c r="D126" s="44" t="n"/>
      <c r="E126" s="44" t="n"/>
      <c r="F126" s="44" t="n"/>
      <c r="G126" s="44" t="n"/>
      <c r="H126" s="44" t="n"/>
      <c r="I126" s="44" t="n"/>
    </row>
    <row r="127" ht="19.5" customHeight="1" s="33">
      <c r="A127" s="41" t="n"/>
      <c r="B127" s="42" t="n"/>
      <c r="C127" s="42" t="n"/>
      <c r="D127" s="42" t="n"/>
      <c r="E127" s="42" t="n"/>
      <c r="F127" s="42" t="n"/>
      <c r="G127" s="42" t="n"/>
      <c r="H127" s="42" t="n"/>
      <c r="I127" s="42" t="n"/>
    </row>
    <row r="128" ht="19.5" customHeight="1" s="33">
      <c r="A128" s="43" t="n"/>
      <c r="B128" s="44" t="n"/>
      <c r="C128" s="44" t="n"/>
      <c r="D128" s="44" t="n"/>
      <c r="E128" s="44" t="n"/>
      <c r="F128" s="44" t="n"/>
      <c r="G128" s="44" t="n"/>
      <c r="H128" s="44" t="n"/>
      <c r="I128" s="44" t="n"/>
    </row>
    <row r="129" ht="19.5" customHeight="1" s="33">
      <c r="A129" s="41" t="n"/>
      <c r="B129" s="42" t="n"/>
      <c r="C129" s="42" t="n"/>
      <c r="D129" s="42" t="n"/>
      <c r="E129" s="42" t="n"/>
      <c r="F129" s="42" t="n"/>
      <c r="G129" s="42" t="n"/>
      <c r="H129" s="42" t="n"/>
      <c r="I129" s="42" t="n"/>
    </row>
    <row r="130" ht="19.5" customHeight="1" s="33">
      <c r="A130" s="43" t="n"/>
      <c r="B130" s="44" t="n"/>
      <c r="C130" s="44" t="n"/>
      <c r="D130" s="44" t="n"/>
      <c r="E130" s="44" t="n"/>
      <c r="F130" s="44" t="n"/>
      <c r="G130" s="44" t="n"/>
      <c r="H130" s="44" t="n"/>
      <c r="I130" s="44" t="n"/>
    </row>
    <row r="131" ht="19.5" customHeight="1" s="33">
      <c r="A131" s="41" t="n"/>
      <c r="B131" s="42" t="n"/>
      <c r="C131" s="42" t="n"/>
      <c r="D131" s="42" t="n"/>
      <c r="E131" s="42" t="n"/>
      <c r="F131" s="42" t="n"/>
      <c r="G131" s="42" t="n"/>
      <c r="H131" s="42" t="n"/>
      <c r="I131" s="42" t="n"/>
    </row>
    <row r="132" ht="19.5" customHeight="1" s="33">
      <c r="A132" s="43" t="n"/>
      <c r="B132" s="44" t="n"/>
      <c r="C132" s="44" t="n"/>
      <c r="D132" s="44" t="n"/>
      <c r="E132" s="44" t="n"/>
      <c r="F132" s="44" t="n"/>
      <c r="G132" s="44" t="n"/>
      <c r="H132" s="44" t="n"/>
      <c r="I132" s="44" t="n"/>
    </row>
    <row r="133" ht="19.5" customHeight="1" s="33">
      <c r="A133" s="41" t="n"/>
      <c r="B133" s="42" t="n"/>
      <c r="C133" s="42" t="n"/>
      <c r="D133" s="42" t="n"/>
      <c r="E133" s="42" t="n"/>
      <c r="F133" s="42" t="n"/>
      <c r="G133" s="42" t="n"/>
      <c r="H133" s="42" t="n"/>
      <c r="I133" s="42" t="n"/>
    </row>
    <row r="134" ht="19.5" customHeight="1" s="33">
      <c r="A134" s="43" t="n"/>
      <c r="B134" s="44" t="n"/>
      <c r="C134" s="44" t="n"/>
      <c r="D134" s="44" t="n"/>
      <c r="E134" s="44" t="n"/>
      <c r="F134" s="44" t="n"/>
      <c r="G134" s="44" t="n"/>
      <c r="H134" s="44" t="n"/>
      <c r="I134" s="44" t="n"/>
    </row>
    <row r="135" ht="19.5" customHeight="1" s="33">
      <c r="A135" s="41" t="n"/>
      <c r="B135" s="42" t="n"/>
      <c r="C135" s="42" t="n"/>
      <c r="D135" s="42" t="n"/>
      <c r="E135" s="42" t="n"/>
      <c r="F135" s="42" t="n"/>
      <c r="G135" s="42" t="n"/>
      <c r="H135" s="42" t="n"/>
      <c r="I135" s="42" t="n"/>
    </row>
    <row r="136" ht="19.5" customHeight="1" s="33">
      <c r="A136" s="43" t="n"/>
      <c r="B136" s="44" t="n"/>
      <c r="C136" s="44" t="n"/>
      <c r="D136" s="44" t="n"/>
      <c r="E136" s="44" t="n"/>
      <c r="F136" s="44" t="n"/>
      <c r="G136" s="44" t="n"/>
      <c r="H136" s="44" t="n"/>
      <c r="I136" s="44" t="n"/>
    </row>
    <row r="137" ht="19.5" customHeight="1" s="33">
      <c r="A137" s="41" t="n"/>
      <c r="B137" s="42" t="n"/>
      <c r="C137" s="42" t="n"/>
      <c r="D137" s="42" t="n"/>
      <c r="E137" s="42" t="n"/>
      <c r="F137" s="42" t="n"/>
      <c r="G137" s="42" t="n"/>
      <c r="H137" s="42" t="n"/>
      <c r="I137" s="42" t="n"/>
    </row>
    <row r="138" ht="19.5" customHeight="1" s="33">
      <c r="A138" s="43" t="n"/>
      <c r="B138" s="44" t="n"/>
      <c r="C138" s="44" t="n"/>
      <c r="D138" s="44" t="n"/>
      <c r="E138" s="44" t="n"/>
      <c r="F138" s="44" t="n"/>
      <c r="G138" s="44" t="n"/>
      <c r="H138" s="44" t="n"/>
      <c r="I138" s="44" t="n"/>
    </row>
    <row r="139" ht="19.5" customHeight="1" s="33">
      <c r="A139" s="41" t="n"/>
      <c r="B139" s="42" t="n"/>
      <c r="C139" s="42" t="n"/>
      <c r="D139" s="42" t="n"/>
      <c r="E139" s="42" t="n"/>
      <c r="F139" s="42" t="n"/>
      <c r="G139" s="42" t="n"/>
      <c r="H139" s="42" t="n"/>
      <c r="I139" s="42" t="n"/>
    </row>
    <row r="140" ht="19.5" customHeight="1" s="33">
      <c r="A140" s="43" t="n"/>
      <c r="B140" s="44" t="n"/>
      <c r="C140" s="44" t="n"/>
      <c r="D140" s="44" t="n"/>
      <c r="E140" s="44" t="n"/>
      <c r="F140" s="44" t="n"/>
      <c r="G140" s="44" t="n"/>
      <c r="H140" s="44" t="n"/>
      <c r="I140" s="44" t="n"/>
    </row>
    <row r="141" ht="19.5" customHeight="1" s="33">
      <c r="A141" s="41" t="n"/>
      <c r="B141" s="42" t="n"/>
      <c r="C141" s="42" t="n"/>
      <c r="D141" s="42" t="n"/>
      <c r="E141" s="42" t="n"/>
      <c r="F141" s="42" t="n"/>
      <c r="G141" s="42" t="n"/>
      <c r="H141" s="42" t="n"/>
      <c r="I141" s="42" t="n"/>
    </row>
    <row r="142" ht="19.5" customHeight="1" s="33">
      <c r="A142" s="43" t="n"/>
      <c r="B142" s="44" t="n"/>
      <c r="C142" s="44" t="n"/>
      <c r="D142" s="44" t="n"/>
      <c r="E142" s="44" t="n"/>
      <c r="F142" s="44" t="n"/>
      <c r="G142" s="44" t="n"/>
      <c r="H142" s="44" t="n"/>
      <c r="I142" s="44" t="n"/>
    </row>
    <row r="143" ht="19.5" customHeight="1" s="33">
      <c r="A143" s="41" t="n"/>
      <c r="B143" s="42" t="n"/>
      <c r="C143" s="42" t="n"/>
      <c r="D143" s="42" t="n"/>
      <c r="E143" s="42" t="n"/>
      <c r="F143" s="42" t="n"/>
      <c r="G143" s="42" t="n"/>
      <c r="H143" s="42" t="n"/>
      <c r="I143" s="42" t="n"/>
    </row>
    <row r="144" ht="19.5" customHeight="1" s="33">
      <c r="A144" s="43" t="n"/>
      <c r="B144" s="44" t="n"/>
      <c r="C144" s="44" t="n"/>
      <c r="D144" s="44" t="n"/>
      <c r="E144" s="44" t="n"/>
      <c r="F144" s="44" t="n"/>
      <c r="G144" s="44" t="n"/>
      <c r="H144" s="44" t="n"/>
      <c r="I144" s="44" t="n"/>
    </row>
    <row r="145" ht="19.5" customHeight="1" s="33">
      <c r="A145" s="41" t="n"/>
      <c r="B145" s="42" t="n"/>
      <c r="C145" s="42" t="n"/>
      <c r="D145" s="42" t="n"/>
      <c r="E145" s="42" t="n"/>
      <c r="F145" s="42" t="n"/>
      <c r="G145" s="42" t="n"/>
      <c r="H145" s="42" t="n"/>
      <c r="I145" s="42" t="n"/>
    </row>
    <row r="146" ht="19.5" customHeight="1" s="33">
      <c r="A146" s="43" t="n"/>
      <c r="B146" s="44" t="n"/>
      <c r="C146" s="44" t="n"/>
      <c r="D146" s="44" t="n"/>
      <c r="E146" s="44" t="n"/>
      <c r="F146" s="44" t="n"/>
      <c r="G146" s="44" t="n"/>
      <c r="H146" s="44" t="n"/>
      <c r="I146" s="44" t="n"/>
    </row>
    <row r="147" ht="19.5" customHeight="1" s="33">
      <c r="A147" s="41" t="n"/>
      <c r="B147" s="42" t="n"/>
      <c r="C147" s="42" t="n"/>
      <c r="D147" s="42" t="n"/>
      <c r="E147" s="42" t="n"/>
      <c r="F147" s="42" t="n"/>
      <c r="G147" s="42" t="n"/>
      <c r="H147" s="42" t="n"/>
      <c r="I147" s="42" t="n"/>
    </row>
    <row r="148" ht="19.5" customHeight="1" s="33">
      <c r="A148" s="43" t="n"/>
      <c r="B148" s="44" t="n"/>
      <c r="C148" s="44" t="n"/>
      <c r="D148" s="44" t="n"/>
      <c r="E148" s="44" t="n"/>
      <c r="F148" s="44" t="n"/>
      <c r="G148" s="44" t="n"/>
      <c r="H148" s="44" t="n"/>
      <c r="I148" s="44" t="n"/>
    </row>
    <row r="149" ht="19.5" customHeight="1" s="33">
      <c r="A149" s="41" t="n"/>
      <c r="B149" s="42" t="n"/>
      <c r="C149" s="42" t="n"/>
      <c r="D149" s="42" t="n"/>
      <c r="E149" s="42" t="n"/>
      <c r="F149" s="42" t="n"/>
      <c r="G149" s="42" t="n"/>
      <c r="H149" s="42" t="n"/>
      <c r="I149" s="42" t="n"/>
    </row>
    <row r="150" ht="19.5" customHeight="1" s="33">
      <c r="A150" s="43" t="n"/>
      <c r="B150" s="44" t="n"/>
      <c r="C150" s="44" t="n"/>
      <c r="D150" s="44" t="n"/>
      <c r="E150" s="44" t="n"/>
      <c r="F150" s="44" t="n"/>
      <c r="G150" s="44" t="n"/>
      <c r="H150" s="44" t="n"/>
      <c r="I150" s="44" t="n"/>
    </row>
    <row r="151" ht="19.5" customHeight="1" s="33">
      <c r="A151" s="41" t="n"/>
      <c r="B151" s="42" t="n"/>
      <c r="C151" s="42" t="n"/>
      <c r="D151" s="42" t="n"/>
      <c r="E151" s="42" t="n"/>
      <c r="F151" s="42" t="n"/>
      <c r="G151" s="42" t="n"/>
      <c r="H151" s="42" t="n"/>
      <c r="I151" s="42" t="n"/>
    </row>
    <row r="152" ht="19.5" customHeight="1" s="33">
      <c r="A152" s="43" t="n"/>
      <c r="B152" s="44" t="n"/>
      <c r="C152" s="44" t="n"/>
      <c r="D152" s="44" t="n"/>
      <c r="E152" s="44" t="n"/>
      <c r="F152" s="44" t="n"/>
      <c r="G152" s="44" t="n"/>
      <c r="H152" s="44" t="n"/>
      <c r="I152" s="44" t="n"/>
    </row>
    <row r="153" ht="19.5" customHeight="1" s="33">
      <c r="A153" s="41" t="n"/>
      <c r="B153" s="42" t="n"/>
      <c r="C153" s="42" t="n"/>
      <c r="D153" s="42" t="n"/>
      <c r="E153" s="42" t="n"/>
      <c r="F153" s="42" t="n"/>
      <c r="G153" s="42" t="n"/>
      <c r="H153" s="42" t="n"/>
      <c r="I153" s="42" t="n"/>
    </row>
    <row r="154" ht="19.5" customHeight="1" s="33">
      <c r="A154" s="43" t="n"/>
      <c r="B154" s="44" t="n"/>
      <c r="C154" s="44" t="n"/>
      <c r="D154" s="44" t="n"/>
      <c r="E154" s="44" t="n"/>
      <c r="F154" s="44" t="n"/>
      <c r="G154" s="44" t="n"/>
      <c r="H154" s="44" t="n"/>
      <c r="I154" s="44" t="n"/>
    </row>
    <row r="155" ht="19.5" customHeight="1" s="33">
      <c r="A155" s="41" t="n"/>
      <c r="B155" s="42" t="n"/>
      <c r="C155" s="42" t="n"/>
      <c r="D155" s="42" t="n"/>
      <c r="E155" s="42" t="n"/>
      <c r="F155" s="42" t="n"/>
      <c r="G155" s="42" t="n"/>
      <c r="H155" s="42" t="n"/>
      <c r="I155" s="42" t="n"/>
    </row>
    <row r="156" ht="19.5" customHeight="1" s="33">
      <c r="A156" s="43" t="n"/>
      <c r="B156" s="44" t="n"/>
      <c r="C156" s="44" t="n"/>
      <c r="D156" s="44" t="n"/>
      <c r="E156" s="44" t="n"/>
      <c r="F156" s="44" t="n"/>
      <c r="G156" s="44" t="n"/>
      <c r="H156" s="44" t="n"/>
      <c r="I156" s="44" t="n"/>
    </row>
    <row r="157" ht="19.5" customHeight="1" s="33">
      <c r="A157" s="41" t="n"/>
      <c r="B157" s="42" t="n"/>
      <c r="C157" s="42" t="n"/>
      <c r="D157" s="42" t="n"/>
      <c r="E157" s="42" t="n"/>
      <c r="F157" s="42" t="n"/>
      <c r="G157" s="42" t="n"/>
      <c r="H157" s="42" t="n"/>
      <c r="I157" s="42" t="n"/>
    </row>
    <row r="158" ht="19.5" customHeight="1" s="33">
      <c r="A158" s="43" t="n"/>
      <c r="B158" s="44" t="n"/>
      <c r="C158" s="44" t="n"/>
      <c r="D158" s="44" t="n"/>
      <c r="E158" s="44" t="n"/>
      <c r="F158" s="44" t="n"/>
      <c r="G158" s="44" t="n"/>
      <c r="H158" s="44" t="n"/>
      <c r="I158" s="44" t="n"/>
    </row>
    <row r="159" ht="19.5" customHeight="1" s="33">
      <c r="A159" s="41" t="n"/>
      <c r="B159" s="42" t="n"/>
      <c r="C159" s="42" t="n"/>
      <c r="D159" s="42" t="n"/>
      <c r="E159" s="42" t="n"/>
      <c r="F159" s="42" t="n"/>
      <c r="G159" s="42" t="n"/>
      <c r="H159" s="42" t="n"/>
      <c r="I159" s="42" t="n"/>
    </row>
    <row r="160" ht="19.5" customHeight="1" s="33">
      <c r="A160" s="43" t="n"/>
      <c r="B160" s="44" t="n"/>
      <c r="C160" s="44" t="n"/>
      <c r="D160" s="44" t="n"/>
      <c r="E160" s="44" t="n"/>
      <c r="F160" s="44" t="n"/>
      <c r="G160" s="44" t="n"/>
      <c r="H160" s="44" t="n"/>
      <c r="I160" s="44" t="n"/>
    </row>
    <row r="161" ht="19.5" customHeight="1" s="33">
      <c r="A161" s="41" t="n"/>
      <c r="B161" s="42" t="n"/>
      <c r="C161" s="42" t="n"/>
      <c r="D161" s="42" t="n"/>
      <c r="E161" s="42" t="n"/>
      <c r="F161" s="42" t="n"/>
      <c r="G161" s="42" t="n"/>
      <c r="H161" s="42" t="n"/>
      <c r="I161" s="42" t="n"/>
    </row>
    <row r="162" ht="19.5" customHeight="1" s="33">
      <c r="A162" s="43" t="n"/>
      <c r="B162" s="44" t="n"/>
      <c r="C162" s="44" t="n"/>
      <c r="D162" s="44" t="n"/>
      <c r="E162" s="44" t="n"/>
      <c r="F162" s="44" t="n"/>
      <c r="G162" s="44" t="n"/>
      <c r="H162" s="44" t="n"/>
      <c r="I162" s="44" t="n"/>
    </row>
    <row r="163" ht="19.5" customHeight="1" s="33">
      <c r="A163" s="41" t="n"/>
      <c r="B163" s="42" t="n"/>
      <c r="C163" s="42" t="n"/>
      <c r="D163" s="42" t="n"/>
      <c r="E163" s="42" t="n"/>
      <c r="F163" s="42" t="n"/>
      <c r="G163" s="42" t="n"/>
      <c r="H163" s="42" t="n"/>
      <c r="I163" s="42" t="n"/>
    </row>
    <row r="164" ht="19.5" customHeight="1" s="33">
      <c r="A164" s="43" t="n"/>
      <c r="B164" s="44" t="n"/>
      <c r="C164" s="44" t="n"/>
      <c r="D164" s="44" t="n"/>
      <c r="E164" s="44" t="n"/>
      <c r="F164" s="44" t="n"/>
      <c r="G164" s="44" t="n"/>
      <c r="H164" s="44" t="n"/>
      <c r="I164" s="44" t="n"/>
    </row>
    <row r="165" ht="19.5" customHeight="1" s="33">
      <c r="A165" s="41" t="n"/>
      <c r="B165" s="42" t="n"/>
      <c r="C165" s="42" t="n"/>
      <c r="D165" s="42" t="n"/>
      <c r="E165" s="42" t="n"/>
      <c r="F165" s="42" t="n"/>
      <c r="G165" s="42" t="n"/>
      <c r="H165" s="42" t="n"/>
      <c r="I165" s="42" t="n"/>
    </row>
    <row r="166" ht="19.5" customHeight="1" s="33">
      <c r="A166" s="43" t="n"/>
      <c r="B166" s="44" t="n"/>
      <c r="C166" s="44" t="n"/>
      <c r="D166" s="44" t="n"/>
      <c r="E166" s="44" t="n"/>
      <c r="F166" s="44" t="n"/>
      <c r="G166" s="44" t="n"/>
      <c r="H166" s="44" t="n"/>
      <c r="I166" s="44" t="n"/>
    </row>
    <row r="167" ht="19.5" customHeight="1" s="33">
      <c r="A167" s="41" t="n"/>
      <c r="B167" s="42" t="n"/>
      <c r="C167" s="42" t="n"/>
      <c r="D167" s="42" t="n"/>
      <c r="E167" s="42" t="n"/>
      <c r="F167" s="42" t="n"/>
      <c r="G167" s="42" t="n"/>
      <c r="H167" s="42" t="n"/>
      <c r="I167" s="42" t="n"/>
    </row>
    <row r="168" ht="19.5" customHeight="1" s="33">
      <c r="A168" s="43" t="n"/>
      <c r="B168" s="44" t="n"/>
      <c r="C168" s="44" t="n"/>
      <c r="D168" s="44" t="n"/>
      <c r="E168" s="44" t="n"/>
      <c r="F168" s="44" t="n"/>
      <c r="G168" s="44" t="n"/>
      <c r="H168" s="44" t="n"/>
      <c r="I168" s="44" t="n"/>
    </row>
    <row r="169" ht="19.5" customHeight="1" s="33">
      <c r="A169" s="41" t="n"/>
      <c r="B169" s="42" t="n"/>
      <c r="C169" s="42" t="n"/>
      <c r="D169" s="42" t="n"/>
      <c r="E169" s="42" t="n"/>
      <c r="F169" s="42" t="n"/>
      <c r="G169" s="42" t="n"/>
      <c r="H169" s="42" t="n"/>
      <c r="I169" s="42" t="n"/>
    </row>
    <row r="170" ht="19.5" customHeight="1" s="33">
      <c r="A170" s="43" t="n"/>
      <c r="B170" s="44" t="n"/>
      <c r="C170" s="44" t="n"/>
      <c r="D170" s="44" t="n"/>
      <c r="E170" s="44" t="n"/>
      <c r="F170" s="44" t="n"/>
      <c r="G170" s="44" t="n"/>
      <c r="H170" s="44" t="n"/>
      <c r="I170" s="44" t="n"/>
    </row>
    <row r="171" ht="19.5" customHeight="1" s="33">
      <c r="A171" s="41" t="n"/>
      <c r="B171" s="42" t="n"/>
      <c r="C171" s="42" t="n"/>
      <c r="D171" s="42" t="n"/>
      <c r="E171" s="42" t="n"/>
      <c r="F171" s="42" t="n"/>
      <c r="G171" s="42" t="n"/>
      <c r="H171" s="42" t="n"/>
      <c r="I171" s="42" t="n"/>
    </row>
    <row r="172" ht="19.5" customHeight="1" s="33">
      <c r="A172" s="43" t="n"/>
      <c r="B172" s="44" t="n"/>
      <c r="C172" s="44" t="n"/>
      <c r="D172" s="44" t="n"/>
      <c r="E172" s="44" t="n"/>
      <c r="F172" s="44" t="n"/>
      <c r="G172" s="44" t="n"/>
      <c r="H172" s="44" t="n"/>
      <c r="I172" s="44" t="n"/>
    </row>
    <row r="173" ht="19.5" customHeight="1" s="33">
      <c r="A173" s="41" t="n"/>
      <c r="B173" s="42" t="n"/>
      <c r="C173" s="42" t="n"/>
      <c r="D173" s="42" t="n"/>
      <c r="E173" s="42" t="n"/>
      <c r="F173" s="42" t="n"/>
      <c r="G173" s="42" t="n"/>
      <c r="H173" s="42" t="n"/>
      <c r="I173" s="42" t="n"/>
    </row>
    <row r="174" ht="19.5" customHeight="1" s="33">
      <c r="A174" s="43" t="n"/>
      <c r="B174" s="44" t="n"/>
      <c r="C174" s="44" t="n"/>
      <c r="D174" s="44" t="n"/>
      <c r="E174" s="44" t="n"/>
      <c r="F174" s="44" t="n"/>
      <c r="G174" s="44" t="n"/>
      <c r="H174" s="44" t="n"/>
      <c r="I174" s="44" t="n"/>
    </row>
    <row r="175" ht="19.5" customHeight="1" s="33">
      <c r="A175" s="41" t="n"/>
      <c r="B175" s="42" t="n"/>
      <c r="C175" s="42" t="n"/>
      <c r="D175" s="42" t="n"/>
      <c r="E175" s="42" t="n"/>
      <c r="F175" s="42" t="n"/>
      <c r="G175" s="42" t="n"/>
      <c r="H175" s="42" t="n"/>
      <c r="I175" s="42" t="n"/>
    </row>
    <row r="176" ht="19.5" customHeight="1" s="33">
      <c r="A176" s="43" t="n"/>
      <c r="B176" s="44" t="n"/>
      <c r="C176" s="44" t="n"/>
      <c r="D176" s="44" t="n"/>
      <c r="E176" s="44" t="n"/>
      <c r="F176" s="44" t="n"/>
      <c r="G176" s="44" t="n"/>
      <c r="H176" s="44" t="n"/>
      <c r="I176" s="44" t="n"/>
    </row>
    <row r="177" ht="19.5" customHeight="1" s="33">
      <c r="A177" s="41" t="n"/>
      <c r="B177" s="42" t="n"/>
      <c r="C177" s="42" t="n"/>
      <c r="D177" s="42" t="n"/>
      <c r="E177" s="42" t="n"/>
      <c r="F177" s="42" t="n"/>
      <c r="G177" s="42" t="n"/>
      <c r="H177" s="42" t="n"/>
      <c r="I177" s="42" t="n"/>
    </row>
    <row r="178" ht="19.5" customHeight="1" s="33">
      <c r="A178" s="43" t="n"/>
      <c r="B178" s="44" t="n"/>
      <c r="C178" s="44" t="n"/>
      <c r="D178" s="44" t="n"/>
      <c r="E178" s="44" t="n"/>
      <c r="F178" s="44" t="n"/>
      <c r="G178" s="44" t="n"/>
      <c r="H178" s="44" t="n"/>
      <c r="I178" s="44" t="n"/>
    </row>
    <row r="179" ht="19.5" customHeight="1" s="33">
      <c r="A179" s="41" t="n"/>
      <c r="B179" s="42" t="n"/>
      <c r="C179" s="42" t="n"/>
      <c r="D179" s="42" t="n"/>
      <c r="E179" s="42" t="n"/>
      <c r="F179" s="42" t="n"/>
      <c r="G179" s="42" t="n"/>
      <c r="H179" s="42" t="n"/>
      <c r="I179" s="42" t="n"/>
    </row>
    <row r="180" ht="19.5" customHeight="1" s="33">
      <c r="A180" s="43" t="n"/>
      <c r="B180" s="44" t="n"/>
      <c r="C180" s="44" t="n"/>
      <c r="D180" s="44" t="n"/>
      <c r="E180" s="44" t="n"/>
      <c r="F180" s="44" t="n"/>
      <c r="G180" s="44" t="n"/>
      <c r="H180" s="44" t="n"/>
      <c r="I180" s="44" t="n"/>
    </row>
    <row r="181" ht="19.5" customHeight="1" s="33">
      <c r="A181" s="41" t="n"/>
      <c r="B181" s="42" t="n"/>
      <c r="C181" s="42" t="n"/>
      <c r="D181" s="42" t="n"/>
      <c r="E181" s="42" t="n"/>
      <c r="F181" s="42" t="n"/>
      <c r="G181" s="42" t="n"/>
      <c r="H181" s="42" t="n"/>
      <c r="I181" s="42" t="n"/>
    </row>
    <row r="182" ht="19.5" customHeight="1" s="33">
      <c r="A182" s="43" t="n"/>
      <c r="B182" s="44" t="n"/>
      <c r="C182" s="44" t="n"/>
      <c r="D182" s="44" t="n"/>
      <c r="E182" s="44" t="n"/>
      <c r="F182" s="44" t="n"/>
      <c r="G182" s="44" t="n"/>
      <c r="H182" s="44" t="n"/>
      <c r="I182" s="44" t="n"/>
    </row>
    <row r="183" ht="19.5" customHeight="1" s="33">
      <c r="A183" s="41" t="n"/>
      <c r="B183" s="42" t="n"/>
      <c r="C183" s="42" t="n"/>
      <c r="D183" s="42" t="n"/>
      <c r="E183" s="42" t="n"/>
      <c r="F183" s="42" t="n"/>
      <c r="G183" s="42" t="n"/>
      <c r="H183" s="42" t="n"/>
      <c r="I183" s="42" t="n"/>
    </row>
    <row r="184" ht="19.5" customHeight="1" s="33">
      <c r="A184" s="43" t="n"/>
      <c r="B184" s="44" t="n"/>
      <c r="C184" s="44" t="n"/>
      <c r="D184" s="44" t="n"/>
      <c r="E184" s="44" t="n"/>
      <c r="F184" s="44" t="n"/>
      <c r="G184" s="44" t="n"/>
      <c r="H184" s="44" t="n"/>
      <c r="I184" s="44" t="n"/>
    </row>
    <row r="185" ht="19.5" customHeight="1" s="33">
      <c r="A185" s="41" t="n"/>
      <c r="B185" s="42" t="n"/>
      <c r="C185" s="42" t="n"/>
      <c r="D185" s="42" t="n"/>
      <c r="E185" s="42" t="n"/>
      <c r="F185" s="42" t="n"/>
      <c r="G185" s="42" t="n"/>
      <c r="H185" s="42" t="n"/>
      <c r="I185" s="42" t="n"/>
    </row>
    <row r="186" ht="19.5" customHeight="1" s="33">
      <c r="A186" s="43" t="n"/>
      <c r="B186" s="44" t="n"/>
      <c r="C186" s="44" t="n"/>
      <c r="D186" s="44" t="n"/>
      <c r="E186" s="44" t="n"/>
      <c r="F186" s="44" t="n"/>
      <c r="G186" s="44" t="n"/>
      <c r="H186" s="44" t="n"/>
      <c r="I186" s="44" t="n"/>
    </row>
    <row r="187" ht="19.5" customHeight="1" s="33">
      <c r="A187" s="41" t="n"/>
      <c r="B187" s="42" t="n"/>
      <c r="C187" s="42" t="n"/>
      <c r="D187" s="42" t="n"/>
      <c r="E187" s="42" t="n"/>
      <c r="F187" s="42" t="n"/>
      <c r="G187" s="42" t="n"/>
      <c r="H187" s="42" t="n"/>
      <c r="I187" s="42" t="n"/>
    </row>
    <row r="188" ht="19.5" customHeight="1" s="33">
      <c r="A188" s="43" t="n"/>
      <c r="B188" s="44" t="n"/>
      <c r="C188" s="44" t="n"/>
      <c r="D188" s="44" t="n"/>
      <c r="E188" s="44" t="n"/>
      <c r="F188" s="44" t="n"/>
      <c r="G188" s="44" t="n"/>
      <c r="H188" s="44" t="n"/>
      <c r="I188" s="44" t="n"/>
    </row>
    <row r="189" ht="19.5" customHeight="1" s="33">
      <c r="A189" s="41" t="n"/>
      <c r="B189" s="42" t="n"/>
      <c r="C189" s="42" t="n"/>
      <c r="D189" s="42" t="n"/>
      <c r="E189" s="42" t="n"/>
      <c r="F189" s="42" t="n"/>
      <c r="G189" s="42" t="n"/>
      <c r="H189" s="42" t="n"/>
      <c r="I189" s="42" t="n"/>
    </row>
    <row r="190" ht="19.5" customHeight="1" s="33">
      <c r="A190" s="43" t="n"/>
      <c r="B190" s="44" t="n"/>
      <c r="C190" s="44" t="n"/>
      <c r="D190" s="44" t="n"/>
      <c r="E190" s="44" t="n"/>
      <c r="F190" s="44" t="n"/>
      <c r="G190" s="44" t="n"/>
      <c r="H190" s="44" t="n"/>
      <c r="I190" s="44" t="n"/>
    </row>
    <row r="191" ht="19.5" customHeight="1" s="33">
      <c r="A191" s="41" t="n"/>
      <c r="B191" s="42" t="n"/>
      <c r="C191" s="42" t="n"/>
      <c r="D191" s="42" t="n"/>
      <c r="E191" s="42" t="n"/>
      <c r="F191" s="42" t="n"/>
      <c r="G191" s="42" t="n"/>
      <c r="H191" s="42" t="n"/>
      <c r="I191" s="42" t="n"/>
    </row>
    <row r="192" ht="19.5" customHeight="1" s="33">
      <c r="A192" s="43" t="n"/>
      <c r="B192" s="44" t="n"/>
      <c r="C192" s="44" t="n"/>
      <c r="D192" s="44" t="n"/>
      <c r="E192" s="44" t="n"/>
      <c r="F192" s="44" t="n"/>
      <c r="G192" s="44" t="n"/>
      <c r="H192" s="44" t="n"/>
      <c r="I192" s="44" t="n"/>
    </row>
    <row r="193" ht="19.5" customHeight="1" s="33">
      <c r="A193" s="41" t="n"/>
      <c r="B193" s="42" t="n"/>
      <c r="C193" s="42" t="n"/>
      <c r="D193" s="42" t="n"/>
      <c r="E193" s="42" t="n"/>
      <c r="F193" s="42" t="n"/>
      <c r="G193" s="42" t="n"/>
      <c r="H193" s="42" t="n"/>
      <c r="I193" s="42" t="n"/>
    </row>
    <row r="194" ht="19.5" customHeight="1" s="33">
      <c r="A194" s="43" t="n"/>
      <c r="B194" s="44" t="n"/>
      <c r="C194" s="44" t="n"/>
      <c r="D194" s="44" t="n"/>
      <c r="E194" s="44" t="n"/>
      <c r="F194" s="44" t="n"/>
      <c r="G194" s="44" t="n"/>
      <c r="H194" s="44" t="n"/>
      <c r="I194" s="44" t="n"/>
    </row>
    <row r="195" ht="19.5" customHeight="1" s="33">
      <c r="A195" s="41" t="n"/>
      <c r="B195" s="42" t="n"/>
      <c r="C195" s="42" t="n"/>
      <c r="D195" s="42" t="n"/>
      <c r="E195" s="42" t="n"/>
      <c r="F195" s="42" t="n"/>
      <c r="G195" s="42" t="n"/>
      <c r="H195" s="42" t="n"/>
      <c r="I195" s="42" t="n"/>
    </row>
    <row r="196" ht="19.5" customHeight="1" s="33">
      <c r="A196" s="43" t="n"/>
      <c r="B196" s="44" t="n"/>
      <c r="C196" s="44" t="n"/>
      <c r="D196" s="44" t="n"/>
      <c r="E196" s="44" t="n"/>
      <c r="F196" s="44" t="n"/>
      <c r="G196" s="44" t="n"/>
      <c r="H196" s="44" t="n"/>
      <c r="I196" s="44" t="n"/>
    </row>
    <row r="197" ht="19.5" customHeight="1" s="33">
      <c r="A197" s="41" t="n"/>
      <c r="B197" s="42" t="n"/>
      <c r="C197" s="42" t="n"/>
      <c r="D197" s="42" t="n"/>
      <c r="E197" s="42" t="n"/>
      <c r="F197" s="42" t="n"/>
      <c r="G197" s="42" t="n"/>
      <c r="H197" s="42" t="n"/>
      <c r="I197" s="42" t="n"/>
    </row>
    <row r="198" ht="19.5" customHeight="1" s="33">
      <c r="A198" s="43" t="n"/>
      <c r="B198" s="44" t="n"/>
      <c r="C198" s="44" t="n"/>
      <c r="D198" s="44" t="n"/>
      <c r="E198" s="44" t="n"/>
      <c r="F198" s="44" t="n"/>
      <c r="G198" s="44" t="n"/>
      <c r="H198" s="44" t="n"/>
      <c r="I198" s="44" t="n"/>
    </row>
    <row r="199" ht="19.5" customHeight="1" s="33">
      <c r="A199" s="41" t="n"/>
      <c r="B199" s="42" t="n"/>
      <c r="C199" s="42" t="n"/>
      <c r="D199" s="42" t="n"/>
      <c r="E199" s="42" t="n"/>
      <c r="F199" s="42" t="n"/>
      <c r="G199" s="42" t="n"/>
      <c r="H199" s="42" t="n"/>
      <c r="I199" s="42" t="n"/>
    </row>
    <row r="200" ht="19.5" customHeight="1" s="33">
      <c r="A200" s="43" t="n"/>
      <c r="B200" s="44" t="n"/>
      <c r="C200" s="44" t="n"/>
      <c r="D200" s="44" t="n"/>
      <c r="E200" s="44" t="n"/>
      <c r="F200" s="44" t="n"/>
      <c r="G200" s="44" t="n"/>
      <c r="H200" s="44" t="n"/>
      <c r="I200" s="44" t="n"/>
    </row>
    <row r="201" ht="19.5" customHeight="1" s="33">
      <c r="A201" s="41" t="n"/>
      <c r="B201" s="42" t="n"/>
      <c r="C201" s="42" t="n"/>
      <c r="D201" s="42" t="n"/>
      <c r="E201" s="42" t="n"/>
      <c r="F201" s="42" t="n"/>
      <c r="G201" s="42" t="n"/>
      <c r="H201" s="42" t="n"/>
      <c r="I201" s="42" t="n"/>
    </row>
    <row r="202" ht="19.5" customHeight="1" s="33">
      <c r="A202" s="43" t="n"/>
      <c r="B202" s="44" t="n"/>
      <c r="C202" s="44" t="n"/>
      <c r="D202" s="44" t="n"/>
      <c r="E202" s="44" t="n"/>
      <c r="F202" s="44" t="n"/>
      <c r="G202" s="44" t="n"/>
      <c r="H202" s="44" t="n"/>
      <c r="I202" s="44" t="n"/>
    </row>
    <row r="203" ht="15" customHeight="1" s="33">
      <c r="A203" s="45" t="n"/>
      <c r="B203" s="32" t="n"/>
      <c r="C203" s="32" t="n"/>
      <c r="D203" s="32" t="n"/>
      <c r="E203" s="32" t="n"/>
      <c r="F203" s="32" t="n"/>
      <c r="G203" s="46" t="n"/>
      <c r="H203" s="46" t="n"/>
      <c r="I203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41" t="n"/>
      <c r="B83" s="42" t="n"/>
      <c r="C83" s="42" t="n"/>
      <c r="D83" s="42" t="n"/>
      <c r="E83" s="54">
        <f>IF(C81="","",VLOOKUP(C81,$J$3:$K$11,2,0))</f>
        <v/>
      </c>
      <c r="F83" s="42" t="n"/>
    </row>
    <row r="84" ht="15" customHeight="1" s="33">
      <c r="A84" s="43" t="n"/>
      <c r="B84" s="44" t="n"/>
      <c r="C84" s="44" t="n"/>
      <c r="D84" s="44" t="n"/>
      <c r="E84" s="57">
        <f>IF(C82="","",VLOOKUP(C82,$J$3:$K$11,2,0))</f>
        <v/>
      </c>
      <c r="F84" s="44" t="n"/>
    </row>
    <row r="85" ht="15" customHeight="1" s="33">
      <c r="A85" s="41" t="n"/>
      <c r="B85" s="42" t="n"/>
      <c r="C85" s="42" t="n"/>
      <c r="D85" s="42" t="n"/>
      <c r="E85" s="54">
        <f>IF(C81="","",VLOOKUP(C81,$J$3:$K$11,2,0))</f>
        <v/>
      </c>
      <c r="F85" s="42" t="n"/>
    </row>
    <row r="86" ht="15" customHeight="1" s="33">
      <c r="A86" s="43" t="n"/>
      <c r="B86" s="44" t="n"/>
      <c r="C86" s="44" t="n"/>
      <c r="D86" s="44" t="n"/>
      <c r="E86" s="57">
        <f>IF(C82="","",VLOOKUP(C82,$J$3:$K$11,2,0))</f>
        <v/>
      </c>
      <c r="F86" s="44" t="n"/>
    </row>
    <row r="87" ht="15" customHeight="1" s="33">
      <c r="A87" s="41" t="n"/>
      <c r="B87" s="42" t="n"/>
      <c r="C87" s="42" t="n"/>
      <c r="D87" s="42" t="n"/>
      <c r="E87" s="54">
        <f>IF(C81="","",VLOOKUP(C81,$J$3:$K$11,2,0))</f>
        <v/>
      </c>
      <c r="F87" s="42" t="n"/>
    </row>
    <row r="88" ht="15" customHeight="1" s="33">
      <c r="A88" s="43" t="n"/>
      <c r="B88" s="44" t="n"/>
      <c r="C88" s="44" t="n"/>
      <c r="D88" s="44" t="n"/>
      <c r="E88" s="57">
        <f>IF(C82="","",VLOOKUP(C82,$J$3:$K$11,2,0))</f>
        <v/>
      </c>
      <c r="F88" s="44" t="n"/>
    </row>
    <row r="89" ht="15" customHeight="1" s="33">
      <c r="A89" s="41" t="n"/>
      <c r="B89" s="42" t="n"/>
      <c r="C89" s="42" t="n"/>
      <c r="D89" s="42" t="n"/>
      <c r="E89" s="54">
        <f>IF(C81="","",VLOOKUP(C81,$J$3:$K$11,2,0))</f>
        <v/>
      </c>
      <c r="F89" s="42" t="n"/>
    </row>
    <row r="90" ht="15" customHeight="1" s="33">
      <c r="A90" s="43" t="n"/>
      <c r="B90" s="44" t="n"/>
      <c r="C90" s="44" t="n"/>
      <c r="D90" s="44" t="n"/>
      <c r="E90" s="57">
        <f>IF(C82="","",VLOOKUP(C82,$J$3:$K$11,2,0))</f>
        <v/>
      </c>
      <c r="F90" s="44" t="n"/>
    </row>
    <row r="91" ht="15" customHeight="1" s="33">
      <c r="A91" s="41" t="n"/>
      <c r="B91" s="42" t="n"/>
      <c r="C91" s="42" t="n"/>
      <c r="D91" s="42" t="n"/>
      <c r="E91" s="54">
        <f>IF(C81="","",VLOOKUP(C81,$J$3:$K$11,2,0))</f>
        <v/>
      </c>
      <c r="F91" s="42" t="n"/>
    </row>
    <row r="92" ht="15" customHeight="1" s="33">
      <c r="A92" s="43" t="n"/>
      <c r="B92" s="44" t="n"/>
      <c r="C92" s="44" t="n"/>
      <c r="D92" s="44" t="n"/>
      <c r="E92" s="57">
        <f>IF(C82="","",VLOOKUP(C82,$J$3:$K$11,2,0))</f>
        <v/>
      </c>
      <c r="F92" s="44" t="n"/>
    </row>
    <row r="93" ht="15" customHeight="1" s="33">
      <c r="A93" s="41" t="n"/>
      <c r="B93" s="42" t="n"/>
      <c r="C93" s="42" t="n"/>
      <c r="D93" s="42" t="n"/>
      <c r="E93" s="54">
        <f>IF(C81="","",VLOOKUP(C81,$J$3:$K$11,2,0))</f>
        <v/>
      </c>
      <c r="F93" s="42" t="n"/>
    </row>
    <row r="94" ht="15" customHeight="1" s="33">
      <c r="A94" s="43" t="n"/>
      <c r="B94" s="44" t="n"/>
      <c r="C94" s="44" t="n"/>
      <c r="D94" s="44" t="n"/>
      <c r="E94" s="57">
        <f>IF(C82="","",VLOOKUP(C82,$J$3:$K$11,2,0))</f>
        <v/>
      </c>
      <c r="F94" s="44" t="n"/>
    </row>
    <row r="95" ht="15" customHeight="1" s="33">
      <c r="A95" s="41" t="n"/>
      <c r="B95" s="42" t="n"/>
      <c r="C95" s="42" t="n"/>
      <c r="D95" s="42" t="n"/>
      <c r="E95" s="54">
        <f>IF(C81="","",VLOOKUP(C81,$J$3:$K$11,2,0))</f>
        <v/>
      </c>
      <c r="F95" s="42" t="n"/>
    </row>
    <row r="96" ht="15" customHeight="1" s="33">
      <c r="A96" s="43" t="n"/>
      <c r="B96" s="44" t="n"/>
      <c r="C96" s="44" t="n"/>
      <c r="D96" s="44" t="n"/>
      <c r="E96" s="57">
        <f>IF(C82="","",VLOOKUP(C82,$J$3:$K$11,2,0))</f>
        <v/>
      </c>
      <c r="F96" s="44" t="n"/>
    </row>
    <row r="97" ht="15" customHeight="1" s="33">
      <c r="A97" s="41" t="n"/>
      <c r="B97" s="42" t="n"/>
      <c r="C97" s="42" t="n"/>
      <c r="D97" s="42" t="n"/>
      <c r="E97" s="54">
        <f>IF(C81="","",VLOOKUP(C81,$J$3:$K$11,2,0))</f>
        <v/>
      </c>
      <c r="F97" s="42" t="n"/>
    </row>
    <row r="98" ht="15" customHeight="1" s="33">
      <c r="A98" s="43" t="n"/>
      <c r="B98" s="44" t="n"/>
      <c r="C98" s="44" t="n"/>
      <c r="D98" s="44" t="n"/>
      <c r="E98" s="57">
        <f>IF(C82="","",VLOOKUP(C82,$J$3:$K$11,2,0))</f>
        <v/>
      </c>
      <c r="F98" s="44" t="n"/>
    </row>
    <row r="99" ht="15" customHeight="1" s="33">
      <c r="A99" s="41" t="n"/>
      <c r="B99" s="42" t="n"/>
      <c r="C99" s="42" t="n"/>
      <c r="D99" s="42" t="n"/>
      <c r="E99" s="54">
        <f>IF(C81="","",VLOOKUP(C81,$J$3:$K$11,2,0))</f>
        <v/>
      </c>
      <c r="F99" s="42" t="n"/>
    </row>
    <row r="100" ht="15" customHeight="1" s="33">
      <c r="A100" s="43" t="n"/>
      <c r="B100" s="44" t="n"/>
      <c r="C100" s="44" t="n"/>
      <c r="D100" s="44" t="n"/>
      <c r="E100" s="57">
        <f>IF(C82="","",VLOOKUP(C82,$J$3:$K$11,2,0))</f>
        <v/>
      </c>
      <c r="F100" s="44" t="n"/>
    </row>
    <row r="101" ht="15" customHeight="1" s="33">
      <c r="A101" s="41" t="n"/>
      <c r="B101" s="42" t="n"/>
      <c r="C101" s="42" t="n"/>
      <c r="D101" s="42" t="n"/>
      <c r="E101" s="54">
        <f>IF(C81="","",VLOOKUP(C81,$J$3:$K$11,2,0))</f>
        <v/>
      </c>
      <c r="F101" s="42" t="n"/>
    </row>
    <row r="102" ht="15" customHeight="1" s="33">
      <c r="A102" s="43" t="n"/>
      <c r="B102" s="44" t="n"/>
      <c r="C102" s="44" t="n"/>
      <c r="D102" s="44" t="n"/>
      <c r="E102" s="57">
        <f>IF(C82="","",VLOOKUP(C82,$J$3:$K$11,2,0))</f>
        <v/>
      </c>
      <c r="F102" s="44" t="n"/>
    </row>
    <row r="103" ht="15" customHeight="1" s="33">
      <c r="A103" s="41" t="n"/>
      <c r="B103" s="42" t="n"/>
      <c r="C103" s="42" t="n"/>
      <c r="D103" s="42" t="n"/>
      <c r="E103" s="54">
        <f>IF(C81="","",VLOOKUP(C81,$J$3:$K$11,2,0))</f>
        <v/>
      </c>
      <c r="F103" s="42" t="n"/>
    </row>
    <row r="104" ht="15" customHeight="1" s="33">
      <c r="A104" s="43" t="n"/>
      <c r="B104" s="44" t="n"/>
      <c r="C104" s="44" t="n"/>
      <c r="D104" s="44" t="n"/>
      <c r="E104" s="57">
        <f>IF(C82="","",VLOOKUP(C82,$J$3:$K$11,2,0))</f>
        <v/>
      </c>
      <c r="F104" s="44" t="n"/>
    </row>
    <row r="105" ht="15" customHeight="1" s="33">
      <c r="A105" s="41" t="n"/>
      <c r="B105" s="42" t="n"/>
      <c r="C105" s="42" t="n"/>
      <c r="D105" s="42" t="n"/>
      <c r="E105" s="54">
        <f>IF(C81="","",VLOOKUP(C81,$J$3:$K$11,2,0))</f>
        <v/>
      </c>
      <c r="F105" s="42" t="n"/>
    </row>
    <row r="106" ht="15" customHeight="1" s="33">
      <c r="A106" s="43" t="n"/>
      <c r="B106" s="44" t="n"/>
      <c r="C106" s="44" t="n"/>
      <c r="D106" s="44" t="n"/>
      <c r="E106" s="57">
        <f>IF(C82="","",VLOOKUP(C82,$J$3:$K$11,2,0))</f>
        <v/>
      </c>
      <c r="F106" s="44" t="n"/>
    </row>
    <row r="107" ht="15" customHeight="1" s="33">
      <c r="A107" s="41" t="n"/>
      <c r="B107" s="42" t="n"/>
      <c r="C107" s="42" t="n"/>
      <c r="D107" s="42" t="n"/>
      <c r="E107" s="54">
        <f>IF(C81="","",VLOOKUP(C81,$J$3:$K$11,2,0))</f>
        <v/>
      </c>
      <c r="F107" s="42" t="n"/>
    </row>
    <row r="108" ht="15" customHeight="1" s="33">
      <c r="A108" s="43" t="n"/>
      <c r="B108" s="44" t="n"/>
      <c r="C108" s="44" t="n"/>
      <c r="D108" s="44" t="n"/>
      <c r="E108" s="57">
        <f>IF(C82="","",VLOOKUP(C82,$J$3:$K$11,2,0))</f>
        <v/>
      </c>
      <c r="F108" s="44" t="n"/>
    </row>
    <row r="109" ht="15" customHeight="1" s="33">
      <c r="A109" s="41" t="n"/>
      <c r="B109" s="42" t="n"/>
      <c r="C109" s="42" t="n"/>
      <c r="D109" s="42" t="n"/>
      <c r="E109" s="54">
        <f>IF(C81="","",VLOOKUP(C81,$J$3:$K$11,2,0))</f>
        <v/>
      </c>
      <c r="F109" s="42" t="n"/>
    </row>
    <row r="110" ht="15" customHeight="1" s="33">
      <c r="A110" s="43" t="n"/>
      <c r="B110" s="44" t="n"/>
      <c r="C110" s="44" t="n"/>
      <c r="D110" s="44" t="n"/>
      <c r="E110" s="57">
        <f>IF(C82="","",VLOOKUP(C82,$J$3:$K$11,2,0))</f>
        <v/>
      </c>
      <c r="F110" s="44" t="n"/>
    </row>
    <row r="111" ht="15" customHeight="1" s="33">
      <c r="A111" s="41" t="n"/>
      <c r="B111" s="42" t="n"/>
      <c r="C111" s="42" t="n"/>
      <c r="D111" s="42" t="n"/>
      <c r="E111" s="54">
        <f>IF(C81="","",VLOOKUP(C81,$J$3:$K$11,2,0))</f>
        <v/>
      </c>
      <c r="F111" s="42" t="n"/>
    </row>
    <row r="112" ht="15" customHeight="1" s="33">
      <c r="A112" s="43" t="n"/>
      <c r="B112" s="44" t="n"/>
      <c r="C112" s="44" t="n"/>
      <c r="D112" s="44" t="n"/>
      <c r="E112" s="57">
        <f>IF(C82="","",VLOOKUP(C82,$J$3:$K$11,2,0))</f>
        <v/>
      </c>
      <c r="F112" s="44" t="n"/>
    </row>
    <row r="113" ht="15" customHeight="1" s="33">
      <c r="A113" s="41" t="n"/>
      <c r="B113" s="42" t="n"/>
      <c r="C113" s="42" t="n"/>
      <c r="D113" s="42" t="n"/>
      <c r="E113" s="54">
        <f>IF(C81="","",VLOOKUP(C81,$J$3:$K$11,2,0))</f>
        <v/>
      </c>
      <c r="F113" s="42" t="n"/>
    </row>
    <row r="114" ht="15" customHeight="1" s="33">
      <c r="A114" s="43" t="n"/>
      <c r="B114" s="44" t="n"/>
      <c r="C114" s="44" t="n"/>
      <c r="D114" s="44" t="n"/>
      <c r="E114" s="57">
        <f>IF(C82="","",VLOOKUP(C82,$J$3:$K$11,2,0))</f>
        <v/>
      </c>
      <c r="F114" s="44" t="n"/>
    </row>
    <row r="115" ht="15" customHeight="1" s="33">
      <c r="A115" s="41" t="n"/>
      <c r="B115" s="42" t="n"/>
      <c r="C115" s="42" t="n"/>
      <c r="D115" s="42" t="n"/>
      <c r="E115" s="54">
        <f>IF(C81="","",VLOOKUP(C81,$J$3:$K$11,2,0))</f>
        <v/>
      </c>
      <c r="F115" s="42" t="n"/>
    </row>
    <row r="116" ht="15" customHeight="1" s="33">
      <c r="A116" s="43" t="n"/>
      <c r="B116" s="44" t="n"/>
      <c r="C116" s="44" t="n"/>
      <c r="D116" s="44" t="n"/>
      <c r="E116" s="57">
        <f>IF(C82="","",VLOOKUP(C82,$J$3:$K$11,2,0))</f>
        <v/>
      </c>
      <c r="F116" s="44" t="n"/>
    </row>
    <row r="117" ht="15" customHeight="1" s="33">
      <c r="A117" s="41" t="n"/>
      <c r="B117" s="42" t="n"/>
      <c r="C117" s="42" t="n"/>
      <c r="D117" s="42" t="n"/>
      <c r="E117" s="54">
        <f>IF(C81="","",VLOOKUP(C81,$J$3:$K$11,2,0))</f>
        <v/>
      </c>
      <c r="F117" s="42" t="n"/>
    </row>
    <row r="118" ht="15" customHeight="1" s="33">
      <c r="A118" s="43" t="n"/>
      <c r="B118" s="44" t="n"/>
      <c r="C118" s="44" t="n"/>
      <c r="D118" s="44" t="n"/>
      <c r="E118" s="57">
        <f>IF(C82="","",VLOOKUP(C82,$J$3:$K$11,2,0))</f>
        <v/>
      </c>
      <c r="F118" s="44" t="n"/>
    </row>
    <row r="119" ht="15" customHeight="1" s="33">
      <c r="A119" s="41" t="n"/>
      <c r="B119" s="42" t="n"/>
      <c r="C119" s="42" t="n"/>
      <c r="D119" s="42" t="n"/>
      <c r="E119" s="54">
        <f>IF(C81="","",VLOOKUP(C81,$J$3:$K$11,2,0))</f>
        <v/>
      </c>
      <c r="F119" s="42" t="n"/>
    </row>
    <row r="120" ht="15" customHeight="1" s="33">
      <c r="A120" s="43" t="n"/>
      <c r="B120" s="44" t="n"/>
      <c r="C120" s="44" t="n"/>
      <c r="D120" s="44" t="n"/>
      <c r="E120" s="57">
        <f>IF(C82="","",VLOOKUP(C82,$J$3:$K$11,2,0))</f>
        <v/>
      </c>
      <c r="F120" s="44" t="n"/>
    </row>
    <row r="121" ht="15" customHeight="1" s="33">
      <c r="A121" s="41" t="n"/>
      <c r="B121" s="42" t="n"/>
      <c r="C121" s="42" t="n"/>
      <c r="D121" s="42" t="n"/>
      <c r="E121" s="54">
        <f>IF(C81="","",VLOOKUP(C81,$J$3:$K$11,2,0))</f>
        <v/>
      </c>
      <c r="F121" s="42" t="n"/>
    </row>
    <row r="122" ht="15" customHeight="1" s="33">
      <c r="A122" s="43" t="n"/>
      <c r="B122" s="44" t="n"/>
      <c r="C122" s="44" t="n"/>
      <c r="D122" s="44" t="n"/>
      <c r="E122" s="57">
        <f>IF(C82="","",VLOOKUP(C82,$J$3:$K$11,2,0))</f>
        <v/>
      </c>
      <c r="F122" s="44" t="n"/>
    </row>
    <row r="123" ht="15" customHeight="1" s="33">
      <c r="A123" s="41" t="n"/>
      <c r="B123" s="42" t="n"/>
      <c r="C123" s="42" t="n"/>
      <c r="D123" s="42" t="n"/>
      <c r="E123" s="54">
        <f>IF(C81="","",VLOOKUP(C81,$J$3:$K$11,2,0))</f>
        <v/>
      </c>
      <c r="F123" s="42" t="n"/>
    </row>
    <row r="124" ht="15" customHeight="1" s="33">
      <c r="A124" s="43" t="n"/>
      <c r="B124" s="44" t="n"/>
      <c r="C124" s="44" t="n"/>
      <c r="D124" s="44" t="n"/>
      <c r="E124" s="57">
        <f>IF(C82="","",VLOOKUP(C82,$J$3:$K$11,2,0))</f>
        <v/>
      </c>
      <c r="F124" s="44" t="n"/>
    </row>
    <row r="125" ht="15" customHeight="1" s="33">
      <c r="A125" s="41" t="n"/>
      <c r="B125" s="42" t="n"/>
      <c r="C125" s="42" t="n"/>
      <c r="D125" s="42" t="n"/>
      <c r="E125" s="54">
        <f>IF(C81="","",VLOOKUP(C81,$J$3:$K$11,2,0))</f>
        <v/>
      </c>
      <c r="F125" s="42" t="n"/>
    </row>
    <row r="126" ht="15" customHeight="1" s="33">
      <c r="A126" s="43" t="n"/>
      <c r="B126" s="44" t="n"/>
      <c r="C126" s="44" t="n"/>
      <c r="D126" s="44" t="n"/>
      <c r="E126" s="57">
        <f>IF(C82="","",VLOOKUP(C82,$J$3:$K$11,2,0))</f>
        <v/>
      </c>
      <c r="F126" s="44" t="n"/>
    </row>
    <row r="127" ht="15" customHeight="1" s="33">
      <c r="A127" s="41" t="n"/>
      <c r="B127" s="42" t="n"/>
      <c r="C127" s="42" t="n"/>
      <c r="D127" s="42" t="n"/>
      <c r="E127" s="54">
        <f>IF(C81="","",VLOOKUP(C81,$J$3:$K$11,2,0))</f>
        <v/>
      </c>
      <c r="F127" s="42" t="n"/>
    </row>
    <row r="128" ht="15" customHeight="1" s="33">
      <c r="A128" s="43" t="n"/>
      <c r="B128" s="44" t="n"/>
      <c r="C128" s="44" t="n"/>
      <c r="D128" s="44" t="n"/>
      <c r="E128" s="57">
        <f>IF(C82="","",VLOOKUP(C82,$J$3:$K$11,2,0))</f>
        <v/>
      </c>
      <c r="F128" s="44" t="n"/>
    </row>
    <row r="129" ht="15" customHeight="1" s="33">
      <c r="A129" s="41" t="n"/>
      <c r="B129" s="42" t="n"/>
      <c r="C129" s="42" t="n"/>
      <c r="D129" s="42" t="n"/>
      <c r="E129" s="54">
        <f>IF(C81="","",VLOOKUP(C81,$J$3:$K$11,2,0))</f>
        <v/>
      </c>
      <c r="F129" s="42" t="n"/>
    </row>
    <row r="130" ht="15" customHeight="1" s="33">
      <c r="A130" s="43" t="n"/>
      <c r="B130" s="44" t="n"/>
      <c r="C130" s="44" t="n"/>
      <c r="D130" s="44" t="n"/>
      <c r="E130" s="57">
        <f>IF(C82="","",VLOOKUP(C82,$J$3:$K$11,2,0))</f>
        <v/>
      </c>
      <c r="F130" s="44" t="n"/>
    </row>
    <row r="131" ht="15" customHeight="1" s="33">
      <c r="A131" s="41" t="n"/>
      <c r="B131" s="42" t="n"/>
      <c r="C131" s="42" t="n"/>
      <c r="D131" s="42" t="n"/>
      <c r="E131" s="54">
        <f>IF(C81="","",VLOOKUP(C81,$J$3:$K$11,2,0))</f>
        <v/>
      </c>
      <c r="F131" s="42" t="n"/>
    </row>
    <row r="132" ht="15" customHeight="1" s="33">
      <c r="A132" s="43" t="n"/>
      <c r="B132" s="44" t="n"/>
      <c r="C132" s="44" t="n"/>
      <c r="D132" s="44" t="n"/>
      <c r="E132" s="57">
        <f>IF(C82="","",VLOOKUP(C82,$J$3:$K$11,2,0))</f>
        <v/>
      </c>
      <c r="F132" s="44" t="n"/>
    </row>
    <row r="133" ht="15" customHeight="1" s="33">
      <c r="A133" s="41" t="n"/>
      <c r="B133" s="42" t="n"/>
      <c r="C133" s="42" t="n"/>
      <c r="D133" s="42" t="n"/>
      <c r="E133" s="54">
        <f>IF(C81="","",VLOOKUP(C81,$J$3:$K$11,2,0))</f>
        <v/>
      </c>
      <c r="F133" s="42" t="n"/>
    </row>
    <row r="134" ht="15" customHeight="1" s="33">
      <c r="A134" s="43" t="n"/>
      <c r="B134" s="44" t="n"/>
      <c r="C134" s="44" t="n"/>
      <c r="D134" s="44" t="n"/>
      <c r="E134" s="57">
        <f>IF(C82="","",VLOOKUP(C82,$J$3:$K$11,2,0))</f>
        <v/>
      </c>
      <c r="F134" s="44" t="n"/>
    </row>
    <row r="135" ht="15" customHeight="1" s="33">
      <c r="A135" s="41" t="n"/>
      <c r="B135" s="42" t="n"/>
      <c r="C135" s="42" t="n"/>
      <c r="D135" s="42" t="n"/>
      <c r="E135" s="54">
        <f>IF(C81="","",VLOOKUP(C81,$J$3:$K$11,2,0))</f>
        <v/>
      </c>
      <c r="F135" s="42" t="n"/>
    </row>
    <row r="136" ht="15" customHeight="1" s="33">
      <c r="A136" s="43" t="n"/>
      <c r="B136" s="44" t="n"/>
      <c r="C136" s="44" t="n"/>
      <c r="D136" s="44" t="n"/>
      <c r="E136" s="57">
        <f>IF(C82="","",VLOOKUP(C82,$J$3:$K$11,2,0))</f>
        <v/>
      </c>
      <c r="F136" s="44" t="n"/>
    </row>
    <row r="137" ht="15" customHeight="1" s="33">
      <c r="A137" s="41" t="n"/>
      <c r="B137" s="42" t="n"/>
      <c r="C137" s="42" t="n"/>
      <c r="D137" s="42" t="n"/>
      <c r="E137" s="54">
        <f>IF(C81="","",VLOOKUP(C81,$J$3:$K$11,2,0))</f>
        <v/>
      </c>
      <c r="F137" s="42" t="n"/>
    </row>
    <row r="138" ht="15" customHeight="1" s="33">
      <c r="A138" s="43" t="n"/>
      <c r="B138" s="44" t="n"/>
      <c r="C138" s="44" t="n"/>
      <c r="D138" s="44" t="n"/>
      <c r="E138" s="57">
        <f>IF(C82="","",VLOOKUP(C82,$J$3:$K$11,2,0))</f>
        <v/>
      </c>
      <c r="F138" s="44" t="n"/>
    </row>
    <row r="139" ht="15" customHeight="1" s="33">
      <c r="A139" s="41" t="n"/>
      <c r="B139" s="42" t="n"/>
      <c r="C139" s="42" t="n"/>
      <c r="D139" s="42" t="n"/>
      <c r="E139" s="54">
        <f>IF(C81="","",VLOOKUP(C81,$J$3:$K$11,2,0))</f>
        <v/>
      </c>
      <c r="F139" s="42" t="n"/>
    </row>
    <row r="140" ht="15" customHeight="1" s="33">
      <c r="A140" s="43" t="n"/>
      <c r="B140" s="44" t="n"/>
      <c r="C140" s="44" t="n"/>
      <c r="D140" s="44" t="n"/>
      <c r="E140" s="57">
        <f>IF(C82="","",VLOOKUP(C82,$J$3:$K$11,2,0))</f>
        <v/>
      </c>
      <c r="F140" s="44" t="n"/>
    </row>
    <row r="141" ht="15" customHeight="1" s="33">
      <c r="A141" s="41" t="n"/>
      <c r="B141" s="42" t="n"/>
      <c r="C141" s="42" t="n"/>
      <c r="D141" s="42" t="n"/>
      <c r="E141" s="54">
        <f>IF(C81="","",VLOOKUP(C81,$J$3:$K$11,2,0))</f>
        <v/>
      </c>
      <c r="F141" s="42" t="n"/>
    </row>
    <row r="142" ht="15" customHeight="1" s="33">
      <c r="A142" s="43" t="n"/>
      <c r="B142" s="44" t="n"/>
      <c r="C142" s="44" t="n"/>
      <c r="D142" s="44" t="n"/>
      <c r="E142" s="57">
        <f>IF(C82="","",VLOOKUP(C82,$J$3:$K$11,2,0))</f>
        <v/>
      </c>
      <c r="F142" s="44" t="n"/>
    </row>
    <row r="143" ht="15" customHeight="1" s="33">
      <c r="A143" s="41" t="n"/>
      <c r="B143" s="42" t="n"/>
      <c r="C143" s="42" t="n"/>
      <c r="D143" s="42" t="n"/>
      <c r="E143" s="54">
        <f>IF(C81="","",VLOOKUP(C81,$J$3:$K$11,2,0))</f>
        <v/>
      </c>
      <c r="F143" s="42" t="n"/>
    </row>
    <row r="144" ht="15" customHeight="1" s="33">
      <c r="A144" s="43" t="n"/>
      <c r="B144" s="44" t="n"/>
      <c r="C144" s="44" t="n"/>
      <c r="D144" s="44" t="n"/>
      <c r="E144" s="57">
        <f>IF(C82="","",VLOOKUP(C82,$J$3:$K$11,2,0))</f>
        <v/>
      </c>
      <c r="F144" s="44" t="n"/>
    </row>
    <row r="145" ht="15" customHeight="1" s="33">
      <c r="A145" s="41" t="n"/>
      <c r="B145" s="42" t="n"/>
      <c r="C145" s="42" t="n"/>
      <c r="D145" s="42" t="n"/>
      <c r="E145" s="54">
        <f>IF(C81="","",VLOOKUP(C81,$J$3:$K$11,2,0))</f>
        <v/>
      </c>
      <c r="F145" s="42" t="n"/>
    </row>
    <row r="146" ht="15" customHeight="1" s="33">
      <c r="A146" s="43" t="n"/>
      <c r="B146" s="44" t="n"/>
      <c r="C146" s="44" t="n"/>
      <c r="D146" s="44" t="n"/>
      <c r="E146" s="57">
        <f>IF(C82="","",VLOOKUP(C82,$J$3:$K$11,2,0))</f>
        <v/>
      </c>
      <c r="F146" s="44" t="n"/>
    </row>
    <row r="147" ht="15" customHeight="1" s="33">
      <c r="A147" s="41" t="n"/>
      <c r="B147" s="42" t="n"/>
      <c r="C147" s="42" t="n"/>
      <c r="D147" s="42" t="n"/>
      <c r="E147" s="54">
        <f>IF(C81="","",VLOOKUP(C81,$J$3:$K$11,2,0))</f>
        <v/>
      </c>
      <c r="F147" s="42" t="n"/>
    </row>
    <row r="148" ht="15" customHeight="1" s="33">
      <c r="A148" s="43" t="n"/>
      <c r="B148" s="44" t="n"/>
      <c r="C148" s="44" t="n"/>
      <c r="D148" s="44" t="n"/>
      <c r="E148" s="57">
        <f>IF(C82="","",VLOOKUP(C82,$J$3:$K$11,2,0))</f>
        <v/>
      </c>
      <c r="F148" s="44" t="n"/>
    </row>
    <row r="149" ht="15" customHeight="1" s="33">
      <c r="A149" s="41" t="n"/>
      <c r="B149" s="42" t="n"/>
      <c r="C149" s="42" t="n"/>
      <c r="D149" s="42" t="n"/>
      <c r="E149" s="54">
        <f>IF(C81="","",VLOOKUP(C81,$J$3:$K$11,2,0))</f>
        <v/>
      </c>
      <c r="F149" s="42" t="n"/>
    </row>
    <row r="150" ht="15" customHeight="1" s="33">
      <c r="A150" s="43" t="n"/>
      <c r="B150" s="44" t="n"/>
      <c r="C150" s="44" t="n"/>
      <c r="D150" s="44" t="n"/>
      <c r="E150" s="57">
        <f>IF(C82="","",VLOOKUP(C82,$J$3:$K$11,2,0))</f>
        <v/>
      </c>
      <c r="F150" s="44" t="n"/>
    </row>
    <row r="151" ht="15" customHeight="1" s="33">
      <c r="A151" s="41" t="n"/>
      <c r="B151" s="42" t="n"/>
      <c r="C151" s="42" t="n"/>
      <c r="D151" s="42" t="n"/>
      <c r="E151" s="54">
        <f>IF(C81="","",VLOOKUP(C81,$J$3:$K$11,2,0))</f>
        <v/>
      </c>
      <c r="F151" s="42" t="n"/>
    </row>
    <row r="152" ht="15" customHeight="1" s="33">
      <c r="A152" s="43" t="n"/>
      <c r="B152" s="44" t="n"/>
      <c r="C152" s="44" t="n"/>
      <c r="D152" s="44" t="n"/>
      <c r="E152" s="57">
        <f>IF(C82="","",VLOOKUP(C82,$J$3:$K$11,2,0))</f>
        <v/>
      </c>
      <c r="F152" s="44" t="n"/>
    </row>
    <row r="153" ht="15" customHeight="1" s="33">
      <c r="A153" s="58" t="inlineStr">
        <is>
          <t>합  계</t>
        </is>
      </c>
      <c r="B153" s="35" t="n"/>
      <c r="C153" s="35" t="n"/>
      <c r="D153" s="35" t="n"/>
      <c r="E153" s="59">
        <f>IF(SUM(E3:E152)=0,"",SUM(E3:E152))</f>
        <v/>
      </c>
      <c r="F153" s="60" t="n"/>
    </row>
  </sheetData>
  <mergeCells count="3">
    <mergeCell ref="A153:D15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5.5" customWidth="1" style="32" min="2" max="2"/>
    <col width="5.5" customWidth="1" style="32" min="3" max="13"/>
    <col width="5.5" customWidth="1" style="33" min="4" max="4"/>
    <col width="5.5" customWidth="1" style="33" min="5" max="5"/>
    <col width="5.5" customWidth="1" style="33" min="6" max="6"/>
    <col width="5.5" customWidth="1" style="33" min="7" max="7"/>
    <col width="5.5" customWidth="1" style="33" min="8" max="8"/>
    <col width="5.5" customWidth="1" style="33" min="9" max="9"/>
    <col width="5.5" customWidth="1" style="33" min="10" max="10"/>
    <col width="5.5" customWidth="1" style="33" min="11" max="11"/>
    <col width="5.5" customWidth="1" style="33" min="12" max="12"/>
    <col width="8.43" customWidth="1" style="33" min="13" max="13"/>
    <col width="8.43" customWidth="1" style="33" min="14" max="14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81" t="n"/>
      <c r="N1" s="81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inlineStr">
        <is>
          <t>계</t>
        </is>
      </c>
      <c r="M2" s="81" t="n"/>
      <c r="N2" s="81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40" t="inlineStr">
        <is>
          <t>상행</t>
        </is>
      </c>
      <c r="E3" s="40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70" t="n"/>
      <c r="M3" s="82" t="n"/>
      <c r="N3" s="81" t="n"/>
    </row>
    <row r="4" ht="21.75" customHeight="1" s="33">
      <c r="A4" s="42" t="inlineStr">
        <is>
          <t>구역1</t>
        </is>
      </c>
      <c r="B4" s="42">
        <f>IF(COUNTIFS(구역1!F4:F73,"1호차",구역1!E4:E73,"*"&amp;$B31&amp;"*")+COUNTIFS(구역1!F4:F73,"2호차",구역1!E4:E73,"*"&amp;$B31&amp;"*")+COUNTIFS(구역1!F4:F73,"3호차",구역1!E4:E73,"*"&amp;$B31&amp;"*")+COUNTIFS(구역1!F4:F73,"4호차",구역1!E4:E73,"*"&amp;$B31&amp;"*")+COUNTIFS(구역1!F4:F73,"5호차",구역1!E4:E73,"*"&amp;$B31&amp;"*")+COUNTIFS(구역1!F4:F73,"6호차",구역1!E4:E73,"*"&amp;$B31&amp;"*")+COUNTIFS(구역1!F4:F73,"7호차",구역1!E4:E73,"*"&amp;$B31&amp;"*")+COUNTIFS(구역1!F4:F73,"8호차",구역1!E4:E73,"*"&amp;$B31&amp;"*")+COUNTIFS(구역1!F4:F73,"9호차",구역1!E4:E73,"*"&amp;$B31&amp;"*")+COUNTIFS(구역1!F4:F73,"10호차",구역1!E4:E73,"*"&amp;$B31&amp;"*")=0,"",COUNTIFS(구역1!F4:F73,"1호차",구역1!E4:E73,"*"&amp;$B31&amp;"*")+COUNTIFS(구역1!F4:F73,"2호차",구역1!E4:E73,"*"&amp;$B31&amp;"*")+COUNTIFS(구역1!F4:F73,"3호차",구역1!E4:E73,"*"&amp;$B31&amp;"*")+COUNTIFS(구역1!F4:F73,"4호차",구역1!E4:E73,"*"&amp;$B31&amp;"*")+COUNTIFS(구역1!F4:F73,"5호차",구역1!E4:E73,"*"&amp;$B31&amp;"*")+COUNTIFS(구역1!F4:F73,"6호차",구역1!E4:E73,"*"&amp;$B31&amp;"*")+COUNTIFS(구역1!F4:F73,"7호차",구역1!E4:E73,"*"&amp;$B31&amp;"*")+COUNTIFS(구역1!F4:F73,"8호차",구역1!E4:E73,"*"&amp;$B31&amp;"*")+COUNTIFS(구역1!F4:F73,"9호차",구역1!E4:E73,"*"&amp;$B31&amp;"*")+COUNTIFS(구역1!F4:F73,"10호차",구역1!E4:E73,"*"&amp;$B31&amp;"*"))</f>
        <v/>
      </c>
      <c r="C4" s="42">
        <f>IF(COUNTIFS(구역1!G4:G73,"1호차",구역1!E4:E73,"*"&amp;$B31&amp;"*")+COUNTIFS(구역1!G4:G73,"2호차",구역1!E4:E73,"*"&amp;$B31&amp;"*")+COUNTIFS(구역1!G4:G73,"3호차",구역1!E4:E73,"*"&amp;$B31&amp;"*")+COUNTIFS(구역1!G4:G73,"4호차",구역1!E4:E73,"*"&amp;$B31&amp;"*")+COUNTIFS(구역1!G4:G73,"5호차",구역1!E4:E73,"*"&amp;$B31&amp;"*")+COUNTIFS(구역1!G4:G73,"6호차",구역1!E4:E73,"*"&amp;$B31&amp;"*")+COUNTIFS(구역1!G4:G73,"7호차",구역1!E4:E73,"*"&amp;$B31&amp;"*")+COUNTIFS(구역1!G4:G73,"8호차",구역1!E4:E73,"*"&amp;$B31&amp;"*")+COUNTIFS(구역1!G4:G73,"9호차",구역1!E4:E73,"*"&amp;$B31&amp;"*")+COUNTIFS(구역1!G4:G73,"10호차",구역1!E4:E73,"*"&amp;$B31&amp;"*")=0,"",COUNTIFS(구역1!G4:G73,"1호차",구역1!E4:E73,"*"&amp;$B31&amp;"*")+COUNTIFS(구역1!G4:G73,"2호차",구역1!E4:E73,"*"&amp;$B31&amp;"*")+COUNTIFS(구역1!G4:G73,"3호차",구역1!E4:E73,"*"&amp;$B31&amp;"*")+COUNTIFS(구역1!G4:G73,"4호차",구역1!E4:E73,"*"&amp;$B31&amp;"*")+COUNTIFS(구역1!G4:G73,"5호차",구역1!E4:E73,"*"&amp;$B31&amp;"*")+COUNTIFS(구역1!G4:G73,"6호차",구역1!E4:E73,"*"&amp;$B31&amp;"*")+COUNTIFS(구역1!G4:G73,"7호차",구역1!E4:E73,"*"&amp;$B31&amp;"*")+COUNTIFS(구역1!G4:G73,"8호차",구역1!E4:E73,"*"&amp;$B31&amp;"*")+COUNTIFS(구역1!G4:G73,"9호차",구역1!E4:E73,"*"&amp;$B31&amp;"*")+COUNTIFS(구역1!G4:G73,"10호차",구역1!E4:E73,"*"&amp;$B31&amp;"*"))</f>
        <v/>
      </c>
      <c r="D4" s="42">
        <f>IF(COUNTIFS(구역1!F4:F73,"교회차1",구역1!E4:E73,"*"&amp;$B31&amp;"*")+COUNTIFS(구역1!F4:F73,"교회차2",구역1!E4:E73,"*"&amp;$B31&amp;"*")+COUNTIFS(구역1!F4:F73,"교회차3",구역1!E4:E73,"*"&amp;$B31&amp;"*")+COUNTIFS(구역1!F4:F73,"교회차4",구역1!E4:E73,"*"&amp;$B31&amp;"*")+COUNTIFS(구역1!F4:F73,"교회차5",구역1!E4:E73,"*"&amp;$B31&amp;"*")+COUNTIFS(구역1!H4:H73,"*교회차*",구역1!E4:E73,"*"&amp;$B31&amp;"*")=0,"",COUNTIFS(구역1!F4:F73,"교회차1",구역1!E4:E73,"*"&amp;$B31&amp;"*")+COUNTIFS(구역1!F4:F73,"교회차2",구역1!E4:E73,"*"&amp;$B31&amp;"*")+COUNTIFS(구역1!F4:F73,"교회차3",구역1!E4:E73,"*"&amp;$B31&amp;"*")+COUNTIFS(구역1!F4:F73,"교회차4",구역1!E4:E73,"*"&amp;$B31&amp;"*")+COUNTIFS(구역1!F4:F73,"교회차5",구역1!E4:E73,"*"&amp;$B31&amp;"*")+COUNTIFS(구역1!H4:H73,"*교회차*",구역1!E4:E73,"*"&amp;$B31&amp;"*"))</f>
        <v/>
      </c>
      <c r="E4" s="42">
        <f>IF(COUNTIFS(구역1!G4:G73,"교회차1",구역1!E4:E73,"*"&amp;$B31&amp;"*")+COUNTIFS(구역1!G4:G73,"교회차2",구역1!E4:E73,"*"&amp;$B31&amp;"*")+COUNTIFS(구역1!G4:G73,"교회차3",구역1!E4:E73,"*"&amp;$B31&amp;"*")+COUNTIFS(구역1!G4:G73,"교회차4",구역1!E4:E73,"*"&amp;$B31&amp;"*")+COUNTIFS(구역1!G4:G73,"교회차5",구역1!E4:E73,"*"&amp;$B31&amp;"*")+COUNTIFS(구역1!J4:J73,"*교회차*",구역1!E4:E73,"*"&amp;$B31&amp;"*")=0,"",COUNTIFS(구역1!G4:G73,"교회차1",구역1!E4:E73,"*"&amp;$B31&amp;"*")+COUNTIFS(구역1!G4:G73,"교회차2",구역1!E4:E73,"*"&amp;$B31&amp;"*")+COUNTIFS(구역1!G4:G73,"교회차3",구역1!E4:E73,"*"&amp;$B31&amp;"*")+COUNTIFS(구역1!G4:G73,"교회차4",구역1!E4:E73,"*"&amp;$B31&amp;"*")+COUNTIFS(구역1!G4:G73,"교회차5",구역1!E4:E73,"*"&amp;$B31&amp;"*")+COUNTIFS(구역1!J4:J73,"*교회차*",구역1!E4:E73,"*"&amp;$B31&amp;"*"))</f>
        <v/>
      </c>
      <c r="F4" s="42">
        <f>IF(COUNTIFS(구역1!F4:F73,"타교회",구역1!E4:E73,"*"&amp;$B31&amp;"*")+COUNTIFS(구역1!H4:H73,"*타교회*",구역1!E4:E73,"*"&amp;$B31&amp;"*")=0,"",COUNTIFS(구역1!F4:F73,"타교회",구역1!E4:E73,"*"&amp;$B31&amp;"*")+COUNTIFS(구역1!H4:H73,"*타교회*",구역1!E4:E73,"*"&amp;$B31&amp;"*"))</f>
        <v/>
      </c>
      <c r="G4" s="42">
        <f>IF(COUNTIFS(구역1!G4:G73,"타교회",구역1!E4:E73,"*"&amp;$B31&amp;"*")+COUNTIFS(구역1!J4:J73,"*타교회*",구역1!E4:E73,"*"&amp;$B31&amp;"*")=0,"",COUNTIFS(구역1!G4:G73,"타교회",구역1!E4:E73,"*"&amp;$B31&amp;"*")+COUNTIFS(구역1!J4:J73,"*타교회*",구역1!E4:E73,"*"&amp;$B31&amp;"*"))</f>
        <v/>
      </c>
      <c r="H4" s="42">
        <f>IF(COUNTIFS(구역1!F4:F73,"개인차",구역1!E4:E73,"*"&amp;$B31&amp;"*")+(COUNTIFS(구역1!H4:H73,"?*",구역1!E4:E73,"*"&amp;$B31&amp;"*")-COUNTIFS(구역1!H4:H73,"*교회차*",구역1!E4:E73,"*"&amp;$B31&amp;"*")-COUNTIFS(구역1!H4:H73,"*타교회*",구역1!E4:E73,"*"&amp;$B31&amp;"*")-COUNTIFS(구역1!H4:H73,"*대중교통*",구역1!E4:E73,"*"&amp;$B31&amp;"*"))=0,"",COUNTIFS(구역1!F4:F73,"개인차",구역1!E4:E73,"*"&amp;$B31&amp;"*")+(COUNTIFS(구역1!H4:H73,"?*",구역1!E4:E73,"*"&amp;$B31&amp;"*")-COUNTIFS(구역1!H4:H73,"*교회차*",구역1!E4:E73,"*"&amp;$B31&amp;"*")-COUNTIFS(구역1!H4:H73,"*타교회*",구역1!E4:E73,"*"&amp;$B31&amp;"*")-COUNTIFS(구역1!H4:H73,"*대중교통*",구역1!E4:E73,"*"&amp;$B31&amp;"*")))</f>
        <v/>
      </c>
      <c r="I4" s="42">
        <f>IF(COUNTIFS(구역1!G4:G73,"개인차",구역1!E4:E73,"*"&amp;$B31&amp;"*")+(COUNTIFS(구역1!J4:J73,"?*",구역1!E4:E73,"*"&amp;$B31&amp;"*")-COUNTIFS(구역1!J4:J73,"*교회차*",구역1!E4:E73,"*"&amp;$B31&amp;"*")-COUNTIFS(구역1!J4:J73,"*타교회*",구역1!E4:E73,"*"&amp;$B31&amp;"*")-COUNTIFS(구역1!J4:J73,"*대중교통*",구역1!E4:E73,"*"&amp;$B31&amp;"*"))=0,"",COUNTIFS(구역1!G4:G73,"개인차",구역1!E4:E73,"*"&amp;$B31&amp;"*")+(COUNTIFS(구역1!J4:J73,"?*",구역1!E4:E73,"*"&amp;$B31&amp;"*")-COUNTIFS(구역1!J4:J73,"*교회차*",구역1!E4:E73,"*"&amp;$B31&amp;"*")-COUNTIFS(구역1!J4:J73,"*타교회*",구역1!E4:E73,"*"&amp;$B31&amp;"*")-COUNTIFS(구역1!J4:J73,"*대중교통*",구역1!E4:E73,"*"&amp;$B31&amp;"*")))</f>
        <v/>
      </c>
      <c r="J4" s="42">
        <f>IF(COUNTIFS(구역1!F4:F73,"대중교통",구역1!E4:E73,"*"&amp;$B31&amp;"*")+COUNTIFS(구역1!H4:H73,"*대중교통*",구역1!E4:E73,"*"&amp;$B31&amp;"*")=0,"",COUNTIFS(구역1!F4:F73,"대중교통",구역1!E4:E73,"*"&amp;$B31&amp;"*")+COUNTIFS(구역1!H4:H73,"*대중교통*",구역1!E4:E73,"*"&amp;$B31&amp;"*"))</f>
        <v/>
      </c>
      <c r="K4" s="42">
        <f>IF(COUNTIFS(구역1!G4:G73,"대중교통",구역1!E4:E73,"*"&amp;$B31&amp;"*")+COUNTIFS(구역1!J4:J73,"*대중교통*",구역1!E4:E73,"*"&amp;$B31&amp;"*")=0,"",COUNTIFS(구역1!G4:G73,"대중교통",구역1!E4:E73,"*"&amp;$B31&amp;"*")+COUNTIFS(구역1!J4:J73,"*대중교통*",구역1!E4:E73,"*"&amp;$B31&amp;"*"))</f>
        <v/>
      </c>
      <c r="L4" s="42">
        <f>IF(SUM(B4,D4,F4,H4,J4)=0,"",SUM(B4,D4,F4,H4,J4))</f>
        <v/>
      </c>
      <c r="M4" s="83" t="n"/>
      <c r="N4" s="81" t="n"/>
    </row>
    <row r="5" ht="21.75" customHeight="1" s="33">
      <c r="A5" s="44" t="inlineStr">
        <is>
          <t>구역2</t>
        </is>
      </c>
      <c r="B5" s="44">
        <f>IF(COUNTIFS(구역2!F4:F73,"1호차",구역2!E4:E73,"*"&amp;$B31&amp;"*")+COUNTIFS(구역2!F4:F73,"2호차",구역2!E4:E73,"*"&amp;$B31&amp;"*")+COUNTIFS(구역2!F4:F73,"3호차",구역2!E4:E73,"*"&amp;$B31&amp;"*")+COUNTIFS(구역2!F4:F73,"4호차",구역2!E4:E73,"*"&amp;$B31&amp;"*")+COUNTIFS(구역2!F4:F73,"5호차",구역2!E4:E73,"*"&amp;$B31&amp;"*")+COUNTIFS(구역2!F4:F73,"6호차",구역2!E4:E73,"*"&amp;$B31&amp;"*")+COUNTIFS(구역2!F4:F73,"7호차",구역2!E4:E73,"*"&amp;$B31&amp;"*")+COUNTIFS(구역2!F4:F73,"8호차",구역2!E4:E73,"*"&amp;$B31&amp;"*")+COUNTIFS(구역2!F4:F73,"9호차",구역2!E4:E73,"*"&amp;$B31&amp;"*")+COUNTIFS(구역2!F4:F73,"10호차",구역2!E4:E73,"*"&amp;$B31&amp;"*")=0,"",COUNTIFS(구역2!F4:F73,"1호차",구역2!E4:E73,"*"&amp;$B31&amp;"*")+COUNTIFS(구역2!F4:F73,"2호차",구역2!E4:E73,"*"&amp;$B31&amp;"*")+COUNTIFS(구역2!F4:F73,"3호차",구역2!E4:E73,"*"&amp;$B31&amp;"*")+COUNTIFS(구역2!F4:F73,"4호차",구역2!E4:E73,"*"&amp;$B31&amp;"*")+COUNTIFS(구역2!F4:F73,"5호차",구역2!E4:E73,"*"&amp;$B31&amp;"*")+COUNTIFS(구역2!F4:F73,"6호차",구역2!E4:E73,"*"&amp;$B31&amp;"*")+COUNTIFS(구역2!F4:F73,"7호차",구역2!E4:E73,"*"&amp;$B31&amp;"*")+COUNTIFS(구역2!F4:F73,"8호차",구역2!E4:E73,"*"&amp;$B31&amp;"*")+COUNTIFS(구역2!F4:F73,"9호차",구역2!E4:E73,"*"&amp;$B31&amp;"*")+COUNTIFS(구역2!F4:F73,"10호차",구역2!E4:E73,"*"&amp;$B31&amp;"*"))</f>
        <v/>
      </c>
      <c r="C5" s="44">
        <f>IF(COUNTIFS(구역2!G4:G73,"1호차",구역2!E4:E73,"*"&amp;$B31&amp;"*")+COUNTIFS(구역2!G4:G73,"2호차",구역2!E4:E73,"*"&amp;$B31&amp;"*")+COUNTIFS(구역2!G4:G73,"3호차",구역2!E4:E73,"*"&amp;$B31&amp;"*")+COUNTIFS(구역2!G4:G73,"4호차",구역2!E4:E73,"*"&amp;$B31&amp;"*")+COUNTIFS(구역2!G4:G73,"5호차",구역2!E4:E73,"*"&amp;$B31&amp;"*")+COUNTIFS(구역2!G4:G73,"6호차",구역2!E4:E73,"*"&amp;$B31&amp;"*")+COUNTIFS(구역2!G4:G73,"7호차",구역2!E4:E73,"*"&amp;$B31&amp;"*")+COUNTIFS(구역2!G4:G73,"8호차",구역2!E4:E73,"*"&amp;$B31&amp;"*")+COUNTIFS(구역2!G4:G73,"9호차",구역2!E4:E73,"*"&amp;$B31&amp;"*")+COUNTIFS(구역2!G4:G73,"10호차",구역2!E4:E73,"*"&amp;$B31&amp;"*")=0,"",COUNTIFS(구역2!G4:G73,"1호차",구역2!E4:E73,"*"&amp;$B31&amp;"*")+COUNTIFS(구역2!G4:G73,"2호차",구역2!E4:E73,"*"&amp;$B31&amp;"*")+COUNTIFS(구역2!G4:G73,"3호차",구역2!E4:E73,"*"&amp;$B31&amp;"*")+COUNTIFS(구역2!G4:G73,"4호차",구역2!E4:E73,"*"&amp;$B31&amp;"*")+COUNTIFS(구역2!G4:G73,"5호차",구역2!E4:E73,"*"&amp;$B31&amp;"*")+COUNTIFS(구역2!G4:G73,"6호차",구역2!E4:E73,"*"&amp;$B31&amp;"*")+COUNTIFS(구역2!G4:G73,"7호차",구역2!E4:E73,"*"&amp;$B31&amp;"*")+COUNTIFS(구역2!G4:G73,"8호차",구역2!E4:E73,"*"&amp;$B31&amp;"*")+COUNTIFS(구역2!G4:G73,"9호차",구역2!E4:E73,"*"&amp;$B31&amp;"*")+COUNTIFS(구역2!G4:G73,"10호차",구역2!E4:E73,"*"&amp;$B31&amp;"*"))</f>
        <v/>
      </c>
      <c r="D5" s="44">
        <f>IF(COUNTIFS(구역2!F4:F73,"교회차1",구역2!E4:E73,"*"&amp;$B31&amp;"*")+COUNTIFS(구역2!F4:F73,"교회차2",구역2!E4:E73,"*"&amp;$B31&amp;"*")+COUNTIFS(구역2!F4:F73,"교회차3",구역2!E4:E73,"*"&amp;$B31&amp;"*")+COUNTIFS(구역2!F4:F73,"교회차4",구역2!E4:E73,"*"&amp;$B31&amp;"*")+COUNTIFS(구역2!F4:F73,"교회차5",구역2!E4:E73,"*"&amp;$B31&amp;"*")+COUNTIFS(구역2!H4:H73,"*교회차*",구역2!E4:E73,"*"&amp;$B31&amp;"*")=0,"",COUNTIFS(구역2!F4:F73,"교회차1",구역2!E4:E73,"*"&amp;$B31&amp;"*")+COUNTIFS(구역2!F4:F73,"교회차2",구역2!E4:E73,"*"&amp;$B31&amp;"*")+COUNTIFS(구역2!F4:F73,"교회차3",구역2!E4:E73,"*"&amp;$B31&amp;"*")+COUNTIFS(구역2!F4:F73,"교회차4",구역2!E4:E73,"*"&amp;$B31&amp;"*")+COUNTIFS(구역2!F4:F73,"교회차5",구역2!E4:E73,"*"&amp;$B31&amp;"*")+COUNTIFS(구역2!H4:H73,"*교회차*",구역2!E4:E73,"*"&amp;$B31&amp;"*"))</f>
        <v/>
      </c>
      <c r="E5" s="44">
        <f>IF(COUNTIFS(구역2!G4:G73,"교회차1",구역2!E4:E73,"*"&amp;$B31&amp;"*")+COUNTIFS(구역2!G4:G73,"교회차2",구역2!E4:E73,"*"&amp;$B31&amp;"*")+COUNTIFS(구역2!G4:G73,"교회차3",구역2!E4:E73,"*"&amp;$B31&amp;"*")+COUNTIFS(구역2!G4:G73,"교회차4",구역2!E4:E73,"*"&amp;$B31&amp;"*")+COUNTIFS(구역2!G4:G73,"교회차5",구역2!E4:E73,"*"&amp;$B31&amp;"*")+COUNTIFS(구역2!J4:J73,"*교회차*",구역2!E4:E73,"*"&amp;$B31&amp;"*")=0,"",COUNTIFS(구역2!G4:G73,"교회차1",구역2!E4:E73,"*"&amp;$B31&amp;"*")+COUNTIFS(구역2!G4:G73,"교회차2",구역2!E4:E73,"*"&amp;$B31&amp;"*")+COUNTIFS(구역2!G4:G73,"교회차3",구역2!E4:E73,"*"&amp;$B31&amp;"*")+COUNTIFS(구역2!G4:G73,"교회차4",구역2!E4:E73,"*"&amp;$B31&amp;"*")+COUNTIFS(구역2!G4:G73,"교회차5",구역2!E4:E73,"*"&amp;$B31&amp;"*")+COUNTIFS(구역2!J4:J73,"*교회차*",구역2!E4:E73,"*"&amp;$B31&amp;"*"))</f>
        <v/>
      </c>
      <c r="F5" s="44">
        <f>IF(COUNTIFS(구역2!F4:F73,"타교회",구역2!E4:E73,"*"&amp;$B31&amp;"*")+COUNTIFS(구역2!H4:H73,"*타교회*",구역2!E4:E73,"*"&amp;$B31&amp;"*")=0,"",COUNTIFS(구역2!F4:F73,"타교회",구역2!E4:E73,"*"&amp;$B31&amp;"*")+COUNTIFS(구역2!H4:H73,"*타교회*",구역2!E4:E73,"*"&amp;$B31&amp;"*"))</f>
        <v/>
      </c>
      <c r="G5" s="44">
        <f>IF(COUNTIFS(구역2!G4:G73,"타교회",구역2!E4:E73,"*"&amp;$B31&amp;"*")+COUNTIFS(구역2!J4:J73,"*타교회*",구역2!E4:E73,"*"&amp;$B31&amp;"*")=0,"",COUNTIFS(구역2!G4:G73,"타교회",구역2!E4:E73,"*"&amp;$B31&amp;"*")+COUNTIFS(구역2!J4:J73,"*타교회*",구역2!E4:E73,"*"&amp;$B31&amp;"*"))</f>
        <v/>
      </c>
      <c r="H5" s="44">
        <f>IF(COUNTIFS(구역2!F4:F73,"개인차",구역2!E4:E73,"*"&amp;$B31&amp;"*")+(COUNTIFS(구역2!H4:H73,"?*",구역2!E4:E73,"*"&amp;$B31&amp;"*")-COUNTIFS(구역2!H4:H73,"*교회차*",구역2!E4:E73,"*"&amp;$B31&amp;"*")-COUNTIFS(구역2!H4:H73,"*타교회*",구역2!E4:E73,"*"&amp;$B31&amp;"*")-COUNTIFS(구역2!H4:H73,"*대중교통*",구역2!E4:E73,"*"&amp;$B31&amp;"*"))=0,"",COUNTIFS(구역2!F4:F73,"개인차",구역2!E4:E73,"*"&amp;$B31&amp;"*")+(COUNTIFS(구역2!H4:H73,"?*",구역2!E4:E73,"*"&amp;$B31&amp;"*")-COUNTIFS(구역2!H4:H73,"*교회차*",구역2!E4:E73,"*"&amp;$B31&amp;"*")-COUNTIFS(구역2!H4:H73,"*타교회*",구역2!E4:E73,"*"&amp;$B31&amp;"*")-COUNTIFS(구역2!H4:H73,"*대중교통*",구역2!E4:E73,"*"&amp;$B31&amp;"*")))</f>
        <v/>
      </c>
      <c r="I5" s="44">
        <f>IF(COUNTIFS(구역2!G4:G73,"개인차",구역2!E4:E73,"*"&amp;$B31&amp;"*")+(COUNTIFS(구역2!J4:J73,"?*",구역2!E4:E73,"*"&amp;$B31&amp;"*")-COUNTIFS(구역2!J4:J73,"*교회차*",구역2!E4:E73,"*"&amp;$B31&amp;"*")-COUNTIFS(구역2!J4:J73,"*타교회*",구역2!E4:E73,"*"&amp;$B31&amp;"*")-COUNTIFS(구역2!J4:J73,"*대중교통*",구역2!E4:E73,"*"&amp;$B31&amp;"*"))=0,"",COUNTIFS(구역2!G4:G73,"개인차",구역2!E4:E73,"*"&amp;$B31&amp;"*")+(COUNTIFS(구역2!J4:J73,"?*",구역2!E4:E73,"*"&amp;$B31&amp;"*")-COUNTIFS(구역2!J4:J73,"*교회차*",구역2!E4:E73,"*"&amp;$B31&amp;"*")-COUNTIFS(구역2!J4:J73,"*타교회*",구역2!E4:E73,"*"&amp;$B31&amp;"*")-COUNTIFS(구역2!J4:J73,"*대중교통*",구역2!E4:E73,"*"&amp;$B31&amp;"*")))</f>
        <v/>
      </c>
      <c r="J5" s="44">
        <f>IF(COUNTIFS(구역2!F4:F73,"대중교통",구역2!E4:E73,"*"&amp;$B31&amp;"*")+COUNTIFS(구역2!H4:H73,"*대중교통*",구역2!E4:E73,"*"&amp;$B31&amp;"*")=0,"",COUNTIFS(구역2!F4:F73,"대중교통",구역2!E4:E73,"*"&amp;$B31&amp;"*")+COUNTIFS(구역2!H4:H73,"*대중교통*",구역2!E4:E73,"*"&amp;$B31&amp;"*"))</f>
        <v/>
      </c>
      <c r="K5" s="44">
        <f>IF(COUNTIFS(구역2!G4:G73,"대중교통",구역2!E4:E73,"*"&amp;$B31&amp;"*")+COUNTIFS(구역2!J4:J73,"*대중교통*",구역2!E4:E73,"*"&amp;$B31&amp;"*")=0,"",COUNTIFS(구역2!G4:G73,"대중교통",구역2!E4:E73,"*"&amp;$B31&amp;"*")+COUNTIFS(구역2!J4:J73,"*대중교통*",구역2!E4:E73,"*"&amp;$B31&amp;"*"))</f>
        <v/>
      </c>
      <c r="L5" s="42">
        <f>IF(SUM(B5,D5,F5,H5,J5)=0,"",SUM(B5,D5,F5,H5,J5))</f>
        <v/>
      </c>
      <c r="M5" s="83" t="n"/>
      <c r="N5" s="81" t="n"/>
    </row>
    <row r="6" ht="21.75" customHeight="1" s="33">
      <c r="A6" s="42" t="inlineStr">
        <is>
          <t>구역3</t>
        </is>
      </c>
      <c r="B6" s="42">
        <f>IF(COUNTIFS(구역3!F4:F73,"1호차",구역3!E4:E73,"*"&amp;$B31&amp;"*")+COUNTIFS(구역3!F4:F73,"2호차",구역3!E4:E73,"*"&amp;$B31&amp;"*")+COUNTIFS(구역3!F4:F73,"3호차",구역3!E4:E73,"*"&amp;$B31&amp;"*")+COUNTIFS(구역3!F4:F73,"4호차",구역3!E4:E73,"*"&amp;$B31&amp;"*")+COUNTIFS(구역3!F4:F73,"5호차",구역3!E4:E73,"*"&amp;$B31&amp;"*")+COUNTIFS(구역3!F4:F73,"6호차",구역3!E4:E73,"*"&amp;$B31&amp;"*")+COUNTIFS(구역3!F4:F73,"7호차",구역3!E4:E73,"*"&amp;$B31&amp;"*")+COUNTIFS(구역3!F4:F73,"8호차",구역3!E4:E73,"*"&amp;$B31&amp;"*")+COUNTIFS(구역3!F4:F73,"9호차",구역3!E4:E73,"*"&amp;$B31&amp;"*")+COUNTIFS(구역3!F4:F73,"10호차",구역3!E4:E73,"*"&amp;$B31&amp;"*")=0,"",COUNTIFS(구역3!F4:F73,"1호차",구역3!E4:E73,"*"&amp;$B31&amp;"*")+COUNTIFS(구역3!F4:F73,"2호차",구역3!E4:E73,"*"&amp;$B31&amp;"*")+COUNTIFS(구역3!F4:F73,"3호차",구역3!E4:E73,"*"&amp;$B31&amp;"*")+COUNTIFS(구역3!F4:F73,"4호차",구역3!E4:E73,"*"&amp;$B31&amp;"*")+COUNTIFS(구역3!F4:F73,"5호차",구역3!E4:E73,"*"&amp;$B31&amp;"*")+COUNTIFS(구역3!F4:F73,"6호차",구역3!E4:E73,"*"&amp;$B31&amp;"*")+COUNTIFS(구역3!F4:F73,"7호차",구역3!E4:E73,"*"&amp;$B31&amp;"*")+COUNTIFS(구역3!F4:F73,"8호차",구역3!E4:E73,"*"&amp;$B31&amp;"*")+COUNTIFS(구역3!F4:F73,"9호차",구역3!E4:E73,"*"&amp;$B31&amp;"*")+COUNTIFS(구역3!F4:F73,"10호차",구역3!E4:E73,"*"&amp;$B31&amp;"*"))</f>
        <v/>
      </c>
      <c r="C6" s="42">
        <f>IF(COUNTIFS(구역3!G4:G73,"1호차",구역3!E4:E73,"*"&amp;$B31&amp;"*")+COUNTIFS(구역3!G4:G73,"2호차",구역3!E4:E73,"*"&amp;$B31&amp;"*")+COUNTIFS(구역3!G4:G73,"3호차",구역3!E4:E73,"*"&amp;$B31&amp;"*")+COUNTIFS(구역3!G4:G73,"4호차",구역3!E4:E73,"*"&amp;$B31&amp;"*")+COUNTIFS(구역3!G4:G73,"5호차",구역3!E4:E73,"*"&amp;$B31&amp;"*")+COUNTIFS(구역3!G4:G73,"6호차",구역3!E4:E73,"*"&amp;$B31&amp;"*")+COUNTIFS(구역3!G4:G73,"7호차",구역3!E4:E73,"*"&amp;$B31&amp;"*")+COUNTIFS(구역3!G4:G73,"8호차",구역3!E4:E73,"*"&amp;$B31&amp;"*")+COUNTIFS(구역3!G4:G73,"9호차",구역3!E4:E73,"*"&amp;$B31&amp;"*")+COUNTIFS(구역3!G4:G73,"10호차",구역3!E4:E73,"*"&amp;$B31&amp;"*")=0,"",COUNTIFS(구역3!G4:G73,"1호차",구역3!E4:E73,"*"&amp;$B31&amp;"*")+COUNTIFS(구역3!G4:G73,"2호차",구역3!E4:E73,"*"&amp;$B31&amp;"*")+COUNTIFS(구역3!G4:G73,"3호차",구역3!E4:E73,"*"&amp;$B31&amp;"*")+COUNTIFS(구역3!G4:G73,"4호차",구역3!E4:E73,"*"&amp;$B31&amp;"*")+COUNTIFS(구역3!G4:G73,"5호차",구역3!E4:E73,"*"&amp;$B31&amp;"*")+COUNTIFS(구역3!G4:G73,"6호차",구역3!E4:E73,"*"&amp;$B31&amp;"*")+COUNTIFS(구역3!G4:G73,"7호차",구역3!E4:E73,"*"&amp;$B31&amp;"*")+COUNTIFS(구역3!G4:G73,"8호차",구역3!E4:E73,"*"&amp;$B31&amp;"*")+COUNTIFS(구역3!G4:G73,"9호차",구역3!E4:E73,"*"&amp;$B31&amp;"*")+COUNTIFS(구역3!G4:G73,"10호차",구역3!E4:E73,"*"&amp;$B31&amp;"*"))</f>
        <v/>
      </c>
      <c r="D6" s="42">
        <f>IF(COUNTIFS(구역3!F4:F73,"교회차1",구역3!E4:E73,"*"&amp;$B31&amp;"*")+COUNTIFS(구역3!F4:F73,"교회차2",구역3!E4:E73,"*"&amp;$B31&amp;"*")+COUNTIFS(구역3!F4:F73,"교회차3",구역3!E4:E73,"*"&amp;$B31&amp;"*")+COUNTIFS(구역3!F4:F73,"교회차4",구역3!E4:E73,"*"&amp;$B31&amp;"*")+COUNTIFS(구역3!F4:F73,"교회차5",구역3!E4:E73,"*"&amp;$B31&amp;"*")+COUNTIFS(구역3!H4:H73,"*교회차*",구역3!E4:E73,"*"&amp;$B31&amp;"*")=0,"",COUNTIFS(구역3!F4:F73,"교회차1",구역3!E4:E73,"*"&amp;$B31&amp;"*")+COUNTIFS(구역3!F4:F73,"교회차2",구역3!E4:E73,"*"&amp;$B31&amp;"*")+COUNTIFS(구역3!F4:F73,"교회차3",구역3!E4:E73,"*"&amp;$B31&amp;"*")+COUNTIFS(구역3!F4:F73,"교회차4",구역3!E4:E73,"*"&amp;$B31&amp;"*")+COUNTIFS(구역3!F4:F73,"교회차5",구역3!E4:E73,"*"&amp;$B31&amp;"*")+COUNTIFS(구역3!H4:H73,"*교회차*",구역3!E4:E73,"*"&amp;$B31&amp;"*"))</f>
        <v/>
      </c>
      <c r="E6" s="42">
        <f>IF(COUNTIFS(구역3!G4:G73,"교회차1",구역3!E4:E73,"*"&amp;$B31&amp;"*")+COUNTIFS(구역3!G4:G73,"교회차2",구역3!E4:E73,"*"&amp;$B31&amp;"*")+COUNTIFS(구역3!G4:G73,"교회차3",구역3!E4:E73,"*"&amp;$B31&amp;"*")+COUNTIFS(구역3!G4:G73,"교회차4",구역3!E4:E73,"*"&amp;$B31&amp;"*")+COUNTIFS(구역3!G4:G73,"교회차5",구역3!E4:E73,"*"&amp;$B31&amp;"*")+COUNTIFS(구역3!J4:J73,"*교회차*",구역3!E4:E73,"*"&amp;$B31&amp;"*")=0,"",COUNTIFS(구역3!G4:G73,"교회차1",구역3!E4:E73,"*"&amp;$B31&amp;"*")+COUNTIFS(구역3!G4:G73,"교회차2",구역3!E4:E73,"*"&amp;$B31&amp;"*")+COUNTIFS(구역3!G4:G73,"교회차3",구역3!E4:E73,"*"&amp;$B31&amp;"*")+COUNTIFS(구역3!G4:G73,"교회차4",구역3!E4:E73,"*"&amp;$B31&amp;"*")+COUNTIFS(구역3!G4:G73,"교회차5",구역3!E4:E73,"*"&amp;$B31&amp;"*")+COUNTIFS(구역3!J4:J73,"*교회차*",구역3!E4:E73,"*"&amp;$B31&amp;"*"))</f>
        <v/>
      </c>
      <c r="F6" s="42">
        <f>IF(COUNTIFS(구역3!F4:F73,"타교회",구역3!E4:E73,"*"&amp;$B31&amp;"*")+COUNTIFS(구역3!H4:H73,"*타교회*",구역3!E4:E73,"*"&amp;$B31&amp;"*")=0,"",COUNTIFS(구역3!F4:F73,"타교회",구역3!E4:E73,"*"&amp;$B31&amp;"*")+COUNTIFS(구역3!H4:H73,"*타교회*",구역3!E4:E73,"*"&amp;$B31&amp;"*"))</f>
        <v/>
      </c>
      <c r="G6" s="42">
        <f>IF(COUNTIFS(구역3!G4:G73,"타교회",구역3!E4:E73,"*"&amp;$B31&amp;"*")+COUNTIFS(구역3!J4:J73,"*타교회*",구역3!E4:E73,"*"&amp;$B31&amp;"*")=0,"",COUNTIFS(구역3!G4:G73,"타교회",구역3!E4:E73,"*"&amp;$B31&amp;"*")+COUNTIFS(구역3!J4:J73,"*타교회*",구역3!E4:E73,"*"&amp;$B31&amp;"*"))</f>
        <v/>
      </c>
      <c r="H6" s="42">
        <f>IF(COUNTIFS(구역3!F4:F73,"개인차",구역3!E4:E73,"*"&amp;$B31&amp;"*")+(COUNTIFS(구역3!H4:H73,"?*",구역3!E4:E73,"*"&amp;$B31&amp;"*")-COUNTIFS(구역3!H4:H73,"*교회차*",구역3!E4:E73,"*"&amp;$B31&amp;"*")-COUNTIFS(구역3!H4:H73,"*타교회*",구역3!E4:E73,"*"&amp;$B31&amp;"*")-COUNTIFS(구역3!H4:H73,"*대중교통*",구역3!E4:E73,"*"&amp;$B31&amp;"*"))=0,"",COUNTIFS(구역3!F4:F73,"개인차",구역3!E4:E73,"*"&amp;$B31&amp;"*")+(COUNTIFS(구역3!H4:H73,"?*",구역3!E4:E73,"*"&amp;$B31&amp;"*")-COUNTIFS(구역3!H4:H73,"*교회차*",구역3!E4:E73,"*"&amp;$B31&amp;"*")-COUNTIFS(구역3!H4:H73,"*타교회*",구역3!E4:E73,"*"&amp;$B31&amp;"*")-COUNTIFS(구역3!H4:H73,"*대중교통*",구역3!E4:E73,"*"&amp;$B31&amp;"*")))</f>
        <v/>
      </c>
      <c r="I6" s="42">
        <f>IF(COUNTIFS(구역3!G4:G73,"개인차",구역3!E4:E73,"*"&amp;$B31&amp;"*")+(COUNTIFS(구역3!J4:J73,"?*",구역3!E4:E73,"*"&amp;$B31&amp;"*")-COUNTIFS(구역3!J4:J73,"*교회차*",구역3!E4:E73,"*"&amp;$B31&amp;"*")-COUNTIFS(구역3!J4:J73,"*타교회*",구역3!E4:E73,"*"&amp;$B31&amp;"*")-COUNTIFS(구역3!J4:J73,"*대중교통*",구역3!E4:E73,"*"&amp;$B31&amp;"*"))=0,"",COUNTIFS(구역3!G4:G73,"개인차",구역3!E4:E73,"*"&amp;$B31&amp;"*")+(COUNTIFS(구역3!J4:J73,"?*",구역3!E4:E73,"*"&amp;$B31&amp;"*")-COUNTIFS(구역3!J4:J73,"*교회차*",구역3!E4:E73,"*"&amp;$B31&amp;"*")-COUNTIFS(구역3!J4:J73,"*타교회*",구역3!E4:E73,"*"&amp;$B31&amp;"*")-COUNTIFS(구역3!J4:J73,"*대중교통*",구역3!E4:E73,"*"&amp;$B31&amp;"*")))</f>
        <v/>
      </c>
      <c r="J6" s="42">
        <f>IF(COUNTIFS(구역3!F4:F73,"대중교통",구역3!E4:E73,"*"&amp;$B31&amp;"*")+COUNTIFS(구역3!H4:H73,"*대중교통*",구역3!E4:E73,"*"&amp;$B31&amp;"*")=0,"",COUNTIFS(구역3!F4:F73,"대중교통",구역3!E4:E73,"*"&amp;$B31&amp;"*")+COUNTIFS(구역3!H4:H73,"*대중교통*",구역3!E4:E73,"*"&amp;$B31&amp;"*"))</f>
        <v/>
      </c>
      <c r="K6" s="42">
        <f>IF(COUNTIFS(구역3!G4:G73,"대중교통",구역3!E4:E73,"*"&amp;$B31&amp;"*")+COUNTIFS(구역3!J4:J73,"*대중교통*",구역3!E4:E73,"*"&amp;$B31&amp;"*")=0,"",COUNTIFS(구역3!G4:G73,"대중교통",구역3!E4:E73,"*"&amp;$B31&amp;"*")+COUNTIFS(구역3!J4:J73,"*대중교통*",구역3!E4:E73,"*"&amp;$B31&amp;"*"))</f>
        <v/>
      </c>
      <c r="L6" s="42">
        <f>IF(SUM(B6,D6,F6,H6,J6)=0,"",SUM(B6,D6,F6,H6,J6))</f>
        <v/>
      </c>
      <c r="M6" s="83" t="n"/>
      <c r="N6" s="81" t="n"/>
    </row>
    <row r="7" ht="21.75" customHeight="1" s="33">
      <c r="A7" s="44" t="inlineStr">
        <is>
          <t>구역4</t>
        </is>
      </c>
      <c r="B7" s="44">
        <f>IF(COUNTIFS(구역4!F4:F73,"1호차",구역4!E4:E73,"*"&amp;$B31&amp;"*")+COUNTIFS(구역4!F4:F73,"2호차",구역4!E4:E73,"*"&amp;$B31&amp;"*")+COUNTIFS(구역4!F4:F73,"3호차",구역4!E4:E73,"*"&amp;$B31&amp;"*")+COUNTIFS(구역4!F4:F73,"4호차",구역4!E4:E73,"*"&amp;$B31&amp;"*")+COUNTIFS(구역4!F4:F73,"5호차",구역4!E4:E73,"*"&amp;$B31&amp;"*")+COUNTIFS(구역4!F4:F73,"6호차",구역4!E4:E73,"*"&amp;$B31&amp;"*")+COUNTIFS(구역4!F4:F73,"7호차",구역4!E4:E73,"*"&amp;$B31&amp;"*")+COUNTIFS(구역4!F4:F73,"8호차",구역4!E4:E73,"*"&amp;$B31&amp;"*")+COUNTIFS(구역4!F4:F73,"9호차",구역4!E4:E73,"*"&amp;$B31&amp;"*")+COUNTIFS(구역4!F4:F73,"10호차",구역4!E4:E73,"*"&amp;$B31&amp;"*")=0,"",COUNTIFS(구역4!F4:F73,"1호차",구역4!E4:E73,"*"&amp;$B31&amp;"*")+COUNTIFS(구역4!F4:F73,"2호차",구역4!E4:E73,"*"&amp;$B31&amp;"*")+COUNTIFS(구역4!F4:F73,"3호차",구역4!E4:E73,"*"&amp;$B31&amp;"*")+COUNTIFS(구역4!F4:F73,"4호차",구역4!E4:E73,"*"&amp;$B31&amp;"*")+COUNTIFS(구역4!F4:F73,"5호차",구역4!E4:E73,"*"&amp;$B31&amp;"*")+COUNTIFS(구역4!F4:F73,"6호차",구역4!E4:E73,"*"&amp;$B31&amp;"*")+COUNTIFS(구역4!F4:F73,"7호차",구역4!E4:E73,"*"&amp;$B31&amp;"*")+COUNTIFS(구역4!F4:F73,"8호차",구역4!E4:E73,"*"&amp;$B31&amp;"*")+COUNTIFS(구역4!F4:F73,"9호차",구역4!E4:E73,"*"&amp;$B31&amp;"*")+COUNTIFS(구역4!F4:F73,"10호차",구역4!E4:E73,"*"&amp;$B31&amp;"*"))</f>
        <v/>
      </c>
      <c r="C7" s="44">
        <f>IF(COUNTIFS(구역4!G4:G73,"1호차",구역4!E4:E73,"*"&amp;$B31&amp;"*")+COUNTIFS(구역4!G4:G73,"2호차",구역4!E4:E73,"*"&amp;$B31&amp;"*")+COUNTIFS(구역4!G4:G73,"3호차",구역4!E4:E73,"*"&amp;$B31&amp;"*")+COUNTIFS(구역4!G4:G73,"4호차",구역4!E4:E73,"*"&amp;$B31&amp;"*")+COUNTIFS(구역4!G4:G73,"5호차",구역4!E4:E73,"*"&amp;$B31&amp;"*")+COUNTIFS(구역4!G4:G73,"6호차",구역4!E4:E73,"*"&amp;$B31&amp;"*")+COUNTIFS(구역4!G4:G73,"7호차",구역4!E4:E73,"*"&amp;$B31&amp;"*")+COUNTIFS(구역4!G4:G73,"8호차",구역4!E4:E73,"*"&amp;$B31&amp;"*")+COUNTIFS(구역4!G4:G73,"9호차",구역4!E4:E73,"*"&amp;$B31&amp;"*")+COUNTIFS(구역4!G4:G73,"10호차",구역4!E4:E73,"*"&amp;$B31&amp;"*")=0,"",COUNTIFS(구역4!G4:G73,"1호차",구역4!E4:E73,"*"&amp;$B31&amp;"*")+COUNTIFS(구역4!G4:G73,"2호차",구역4!E4:E73,"*"&amp;$B31&amp;"*")+COUNTIFS(구역4!G4:G73,"3호차",구역4!E4:E73,"*"&amp;$B31&amp;"*")+COUNTIFS(구역4!G4:G73,"4호차",구역4!E4:E73,"*"&amp;$B31&amp;"*")+COUNTIFS(구역4!G4:G73,"5호차",구역4!E4:E73,"*"&amp;$B31&amp;"*")+COUNTIFS(구역4!G4:G73,"6호차",구역4!E4:E73,"*"&amp;$B31&amp;"*")+COUNTIFS(구역4!G4:G73,"7호차",구역4!E4:E73,"*"&amp;$B31&amp;"*")+COUNTIFS(구역4!G4:G73,"8호차",구역4!E4:E73,"*"&amp;$B31&amp;"*")+COUNTIFS(구역4!G4:G73,"9호차",구역4!E4:E73,"*"&amp;$B31&amp;"*")+COUNTIFS(구역4!G4:G73,"10호차",구역4!E4:E73,"*"&amp;$B31&amp;"*"))</f>
        <v/>
      </c>
      <c r="D7" s="44">
        <f>IF(COUNTIFS(구역4!F4:F73,"교회차1",구역4!E4:E73,"*"&amp;$B31&amp;"*")+COUNTIFS(구역4!F4:F73,"교회차2",구역4!E4:E73,"*"&amp;$B31&amp;"*")+COUNTIFS(구역4!F4:F73,"교회차3",구역4!E4:E73,"*"&amp;$B31&amp;"*")+COUNTIFS(구역4!F4:F73,"교회차4",구역4!E4:E73,"*"&amp;$B31&amp;"*")+COUNTIFS(구역4!F4:F73,"교회차5",구역4!E4:E73,"*"&amp;$B31&amp;"*")+COUNTIFS(구역4!H4:H73,"*교회차*",구역4!E4:E73,"*"&amp;$B31&amp;"*")=0,"",COUNTIFS(구역4!F4:F73,"교회차1",구역4!E4:E73,"*"&amp;$B31&amp;"*")+COUNTIFS(구역4!F4:F73,"교회차2",구역4!E4:E73,"*"&amp;$B31&amp;"*")+COUNTIFS(구역4!F4:F73,"교회차3",구역4!E4:E73,"*"&amp;$B31&amp;"*")+COUNTIFS(구역4!F4:F73,"교회차4",구역4!E4:E73,"*"&amp;$B31&amp;"*")+COUNTIFS(구역4!F4:F73,"교회차5",구역4!E4:E73,"*"&amp;$B31&amp;"*")+COUNTIFS(구역4!H4:H73,"*교회차*",구역4!E4:E73,"*"&amp;$B31&amp;"*"))</f>
        <v/>
      </c>
      <c r="E7" s="44">
        <f>IF(COUNTIFS(구역4!G4:G73,"교회차1",구역4!E4:E73,"*"&amp;$B31&amp;"*")+COUNTIFS(구역4!G4:G73,"교회차2",구역4!E4:E73,"*"&amp;$B31&amp;"*")+COUNTIFS(구역4!G4:G73,"교회차3",구역4!E4:E73,"*"&amp;$B31&amp;"*")+COUNTIFS(구역4!G4:G73,"교회차4",구역4!E4:E73,"*"&amp;$B31&amp;"*")+COUNTIFS(구역4!G4:G73,"교회차5",구역4!E4:E73,"*"&amp;$B31&amp;"*")+COUNTIFS(구역4!J4:J73,"*교회차*",구역4!E4:E73,"*"&amp;$B31&amp;"*")=0,"",COUNTIFS(구역4!G4:G73,"교회차1",구역4!E4:E73,"*"&amp;$B31&amp;"*")+COUNTIFS(구역4!G4:G73,"교회차2",구역4!E4:E73,"*"&amp;$B31&amp;"*")+COUNTIFS(구역4!G4:G73,"교회차3",구역4!E4:E73,"*"&amp;$B31&amp;"*")+COUNTIFS(구역4!G4:G73,"교회차4",구역4!E4:E73,"*"&amp;$B31&amp;"*")+COUNTIFS(구역4!G4:G73,"교회차5",구역4!E4:E73,"*"&amp;$B31&amp;"*")+COUNTIFS(구역4!J4:J73,"*교회차*",구역4!E4:E73,"*"&amp;$B31&amp;"*"))</f>
        <v/>
      </c>
      <c r="F7" s="44">
        <f>IF(COUNTIFS(구역4!F4:F73,"타교회",구역4!E4:E73,"*"&amp;$B31&amp;"*")+COUNTIFS(구역4!H4:H73,"*타교회*",구역4!E4:E73,"*"&amp;$B31&amp;"*")=0,"",COUNTIFS(구역4!F4:F73,"타교회",구역4!E4:E73,"*"&amp;$B31&amp;"*")+COUNTIFS(구역4!H4:H73,"*타교회*",구역4!E4:E73,"*"&amp;$B31&amp;"*"))</f>
        <v/>
      </c>
      <c r="G7" s="44">
        <f>IF(COUNTIFS(구역4!G4:G73,"타교회",구역4!E4:E73,"*"&amp;$B31&amp;"*")+COUNTIFS(구역4!J4:J73,"*타교회*",구역4!E4:E73,"*"&amp;$B31&amp;"*")=0,"",COUNTIFS(구역4!G4:G73,"타교회",구역4!E4:E73,"*"&amp;$B31&amp;"*")+COUNTIFS(구역4!J4:J73,"*타교회*",구역4!E4:E73,"*"&amp;$B31&amp;"*"))</f>
        <v/>
      </c>
      <c r="H7" s="44">
        <f>IF(COUNTIFS(구역4!F4:F73,"개인차",구역4!E4:E73,"*"&amp;$B31&amp;"*")+(COUNTIFS(구역4!H4:H73,"?*",구역4!E4:E73,"*"&amp;$B31&amp;"*")-COUNTIFS(구역4!H4:H73,"*교회차*",구역4!E4:E73,"*"&amp;$B31&amp;"*")-COUNTIFS(구역4!H4:H73,"*타교회*",구역4!E4:E73,"*"&amp;$B31&amp;"*")-COUNTIFS(구역4!H4:H73,"*대중교통*",구역4!E4:E73,"*"&amp;$B31&amp;"*"))=0,"",COUNTIFS(구역4!F4:F73,"개인차",구역4!E4:E73,"*"&amp;$B31&amp;"*")+(COUNTIFS(구역4!H4:H73,"?*",구역4!E4:E73,"*"&amp;$B31&amp;"*")-COUNTIFS(구역4!H4:H73,"*교회차*",구역4!E4:E73,"*"&amp;$B31&amp;"*")-COUNTIFS(구역4!H4:H73,"*타교회*",구역4!E4:E73,"*"&amp;$B31&amp;"*")-COUNTIFS(구역4!H4:H73,"*대중교통*",구역4!E4:E73,"*"&amp;$B31&amp;"*")))</f>
        <v/>
      </c>
      <c r="I7" s="44">
        <f>IF(COUNTIFS(구역4!G4:G73,"개인차",구역4!E4:E73,"*"&amp;$B31&amp;"*")+(COUNTIFS(구역4!J4:J73,"?*",구역4!E4:E73,"*"&amp;$B31&amp;"*")-COUNTIFS(구역4!J4:J73,"*교회차*",구역4!E4:E73,"*"&amp;$B31&amp;"*")-COUNTIFS(구역4!J4:J73,"*타교회*",구역4!E4:E73,"*"&amp;$B31&amp;"*")-COUNTIFS(구역4!J4:J73,"*대중교통*",구역4!E4:E73,"*"&amp;$B31&amp;"*"))=0,"",COUNTIFS(구역4!G4:G73,"개인차",구역4!E4:E73,"*"&amp;$B31&amp;"*")+(COUNTIFS(구역4!J4:J73,"?*",구역4!E4:E73,"*"&amp;$B31&amp;"*")-COUNTIFS(구역4!J4:J73,"*교회차*",구역4!E4:E73,"*"&amp;$B31&amp;"*")-COUNTIFS(구역4!J4:J73,"*타교회*",구역4!E4:E73,"*"&amp;$B31&amp;"*")-COUNTIFS(구역4!J4:J73,"*대중교통*",구역4!E4:E73,"*"&amp;$B31&amp;"*")))</f>
        <v/>
      </c>
      <c r="J7" s="44">
        <f>IF(COUNTIFS(구역4!F4:F73,"대중교통",구역4!E4:E73,"*"&amp;$B31&amp;"*")+COUNTIFS(구역4!H4:H73,"*대중교통*",구역4!E4:E73,"*"&amp;$B31&amp;"*")=0,"",COUNTIFS(구역4!F4:F73,"대중교통",구역4!E4:E73,"*"&amp;$B31&amp;"*")+COUNTIFS(구역4!H4:H73,"*대중교통*",구역4!E4:E73,"*"&amp;$B31&amp;"*"))</f>
        <v/>
      </c>
      <c r="K7" s="44">
        <f>IF(COUNTIFS(구역4!G4:G73,"대중교통",구역4!E4:E73,"*"&amp;$B31&amp;"*")+COUNTIFS(구역4!J4:J73,"*대중교통*",구역4!E4:E73,"*"&amp;$B31&amp;"*")=0,"",COUNTIFS(구역4!G4:G73,"대중교통",구역4!E4:E73,"*"&amp;$B31&amp;"*")+COUNTIFS(구역4!J4:J73,"*대중교통*",구역4!E4:E73,"*"&amp;$B31&amp;"*"))</f>
        <v/>
      </c>
      <c r="L7" s="42">
        <f>IF(SUM(B7,D7,F7,H7,J7)=0,"",SUM(B7,D7,F7,H7,J7))</f>
        <v/>
      </c>
      <c r="M7" s="83" t="n"/>
      <c r="N7" s="81" t="n"/>
    </row>
    <row r="8" ht="21.75" customHeight="1" s="33">
      <c r="A8" s="42" t="inlineStr">
        <is>
          <t>구역5</t>
        </is>
      </c>
      <c r="B8" s="42">
        <f>IF(COUNTIFS(구역5!F4:F73,"1호차",구역5!E4:E73,"*"&amp;$B31&amp;"*")+COUNTIFS(구역5!F4:F73,"2호차",구역5!E4:E73,"*"&amp;$B31&amp;"*")+COUNTIFS(구역5!F4:F73,"3호차",구역5!E4:E73,"*"&amp;$B31&amp;"*")+COUNTIFS(구역5!F4:F73,"4호차",구역5!E4:E73,"*"&amp;$B31&amp;"*")+COUNTIFS(구역5!F4:F73,"5호차",구역5!E4:E73,"*"&amp;$B31&amp;"*")+COUNTIFS(구역5!F4:F73,"6호차",구역5!E4:E73,"*"&amp;$B31&amp;"*")+COUNTIFS(구역5!F4:F73,"7호차",구역5!E4:E73,"*"&amp;$B31&amp;"*")+COUNTIFS(구역5!F4:F73,"8호차",구역5!E4:E73,"*"&amp;$B31&amp;"*")+COUNTIFS(구역5!F4:F73,"9호차",구역5!E4:E73,"*"&amp;$B31&amp;"*")+COUNTIFS(구역5!F4:F73,"10호차",구역5!E4:E73,"*"&amp;$B31&amp;"*")=0,"",COUNTIFS(구역5!F4:F73,"1호차",구역5!E4:E73,"*"&amp;$B31&amp;"*")+COUNTIFS(구역5!F4:F73,"2호차",구역5!E4:E73,"*"&amp;$B31&amp;"*")+COUNTIFS(구역5!F4:F73,"3호차",구역5!E4:E73,"*"&amp;$B31&amp;"*")+COUNTIFS(구역5!F4:F73,"4호차",구역5!E4:E73,"*"&amp;$B31&amp;"*")+COUNTIFS(구역5!F4:F73,"5호차",구역5!E4:E73,"*"&amp;$B31&amp;"*")+COUNTIFS(구역5!F4:F73,"6호차",구역5!E4:E73,"*"&amp;$B31&amp;"*")+COUNTIFS(구역5!F4:F73,"7호차",구역5!E4:E73,"*"&amp;$B31&amp;"*")+COUNTIFS(구역5!F4:F73,"8호차",구역5!E4:E73,"*"&amp;$B31&amp;"*")+COUNTIFS(구역5!F4:F73,"9호차",구역5!E4:E73,"*"&amp;$B31&amp;"*")+COUNTIFS(구역5!F4:F73,"10호차",구역5!E4:E73,"*"&amp;$B31&amp;"*"))</f>
        <v/>
      </c>
      <c r="C8" s="42">
        <f>IF(COUNTIFS(구역5!G4:G73,"1호차",구역5!E4:E73,"*"&amp;$B31&amp;"*")+COUNTIFS(구역5!G4:G73,"2호차",구역5!E4:E73,"*"&amp;$B31&amp;"*")+COUNTIFS(구역5!G4:G73,"3호차",구역5!E4:E73,"*"&amp;$B31&amp;"*")+COUNTIFS(구역5!G4:G73,"4호차",구역5!E4:E73,"*"&amp;$B31&amp;"*")+COUNTIFS(구역5!G4:G73,"5호차",구역5!E4:E73,"*"&amp;$B31&amp;"*")+COUNTIFS(구역5!G4:G73,"6호차",구역5!E4:E73,"*"&amp;$B31&amp;"*")+COUNTIFS(구역5!G4:G73,"7호차",구역5!E4:E73,"*"&amp;$B31&amp;"*")+COUNTIFS(구역5!G4:G73,"8호차",구역5!E4:E73,"*"&amp;$B31&amp;"*")+COUNTIFS(구역5!G4:G73,"9호차",구역5!E4:E73,"*"&amp;$B31&amp;"*")+COUNTIFS(구역5!G4:G73,"10호차",구역5!E4:E73,"*"&amp;$B31&amp;"*")=0,"",COUNTIFS(구역5!G4:G73,"1호차",구역5!E4:E73,"*"&amp;$B31&amp;"*")+COUNTIFS(구역5!G4:G73,"2호차",구역5!E4:E73,"*"&amp;$B31&amp;"*")+COUNTIFS(구역5!G4:G73,"3호차",구역5!E4:E73,"*"&amp;$B31&amp;"*")+COUNTIFS(구역5!G4:G73,"4호차",구역5!E4:E73,"*"&amp;$B31&amp;"*")+COUNTIFS(구역5!G4:G73,"5호차",구역5!E4:E73,"*"&amp;$B31&amp;"*")+COUNTIFS(구역5!G4:G73,"6호차",구역5!E4:E73,"*"&amp;$B31&amp;"*")+COUNTIFS(구역5!G4:G73,"7호차",구역5!E4:E73,"*"&amp;$B31&amp;"*")+COUNTIFS(구역5!G4:G73,"8호차",구역5!E4:E73,"*"&amp;$B31&amp;"*")+COUNTIFS(구역5!G4:G73,"9호차",구역5!E4:E73,"*"&amp;$B31&amp;"*")+COUNTIFS(구역5!G4:G73,"10호차",구역5!E4:E73,"*"&amp;$B31&amp;"*"))</f>
        <v/>
      </c>
      <c r="D8" s="42">
        <f>IF(COUNTIFS(구역5!F4:F73,"교회차1",구역5!E4:E73,"*"&amp;$B31&amp;"*")+COUNTIFS(구역5!F4:F73,"교회차2",구역5!E4:E73,"*"&amp;$B31&amp;"*")+COUNTIFS(구역5!F4:F73,"교회차3",구역5!E4:E73,"*"&amp;$B31&amp;"*")+COUNTIFS(구역5!F4:F73,"교회차4",구역5!E4:E73,"*"&amp;$B31&amp;"*")+COUNTIFS(구역5!F4:F73,"교회차5",구역5!E4:E73,"*"&amp;$B31&amp;"*")+COUNTIFS(구역5!H4:H73,"*교회차*",구역5!E4:E73,"*"&amp;$B31&amp;"*")=0,"",COUNTIFS(구역5!F4:F73,"교회차1",구역5!E4:E73,"*"&amp;$B31&amp;"*")+COUNTIFS(구역5!F4:F73,"교회차2",구역5!E4:E73,"*"&amp;$B31&amp;"*")+COUNTIFS(구역5!F4:F73,"교회차3",구역5!E4:E73,"*"&amp;$B31&amp;"*")+COUNTIFS(구역5!F4:F73,"교회차4",구역5!E4:E73,"*"&amp;$B31&amp;"*")+COUNTIFS(구역5!F4:F73,"교회차5",구역5!E4:E73,"*"&amp;$B31&amp;"*")+COUNTIFS(구역5!H4:H73,"*교회차*",구역5!E4:E73,"*"&amp;$B31&amp;"*"))</f>
        <v/>
      </c>
      <c r="E8" s="42">
        <f>IF(COUNTIFS(구역5!G4:G73,"교회차1",구역5!E4:E73,"*"&amp;$B31&amp;"*")+COUNTIFS(구역5!G4:G73,"교회차2",구역5!E4:E73,"*"&amp;$B31&amp;"*")+COUNTIFS(구역5!G4:G73,"교회차3",구역5!E4:E73,"*"&amp;$B31&amp;"*")+COUNTIFS(구역5!G4:G73,"교회차4",구역5!E4:E73,"*"&amp;$B31&amp;"*")+COUNTIFS(구역5!G4:G73,"교회차5",구역5!E4:E73,"*"&amp;$B31&amp;"*")+COUNTIFS(구역5!J4:J73,"*교회차*",구역5!E4:E73,"*"&amp;$B31&amp;"*")=0,"",COUNTIFS(구역5!G4:G73,"교회차1",구역5!E4:E73,"*"&amp;$B31&amp;"*")+COUNTIFS(구역5!G4:G73,"교회차2",구역5!E4:E73,"*"&amp;$B31&amp;"*")+COUNTIFS(구역5!G4:G73,"교회차3",구역5!E4:E73,"*"&amp;$B31&amp;"*")+COUNTIFS(구역5!G4:G73,"교회차4",구역5!E4:E73,"*"&amp;$B31&amp;"*")+COUNTIFS(구역5!G4:G73,"교회차5",구역5!E4:E73,"*"&amp;$B31&amp;"*")+COUNTIFS(구역5!J4:J73,"*교회차*",구역5!E4:E73,"*"&amp;$B31&amp;"*"))</f>
        <v/>
      </c>
      <c r="F8" s="42">
        <f>IF(COUNTIFS(구역5!F4:F73,"타교회",구역5!E4:E73,"*"&amp;$B31&amp;"*")+COUNTIFS(구역5!H4:H73,"*타교회*",구역5!E4:E73,"*"&amp;$B31&amp;"*")=0,"",COUNTIFS(구역5!F4:F73,"타교회",구역5!E4:E73,"*"&amp;$B31&amp;"*")+COUNTIFS(구역5!H4:H73,"*타교회*",구역5!E4:E73,"*"&amp;$B31&amp;"*"))</f>
        <v/>
      </c>
      <c r="G8" s="42">
        <f>IF(COUNTIFS(구역5!G4:G73,"타교회",구역5!E4:E73,"*"&amp;$B31&amp;"*")+COUNTIFS(구역5!J4:J73,"*타교회*",구역5!E4:E73,"*"&amp;$B31&amp;"*")=0,"",COUNTIFS(구역5!G4:G73,"타교회",구역5!E4:E73,"*"&amp;$B31&amp;"*")+COUNTIFS(구역5!J4:J73,"*타교회*",구역5!E4:E73,"*"&amp;$B31&amp;"*"))</f>
        <v/>
      </c>
      <c r="H8" s="42">
        <f>IF(COUNTIFS(구역5!F4:F73,"개인차",구역5!E4:E73,"*"&amp;$B31&amp;"*")+(COUNTIFS(구역5!H4:H73,"?*",구역5!E4:E73,"*"&amp;$B31&amp;"*")-COUNTIFS(구역5!H4:H73,"*교회차*",구역5!E4:E73,"*"&amp;$B31&amp;"*")-COUNTIFS(구역5!H4:H73,"*타교회*",구역5!E4:E73,"*"&amp;$B31&amp;"*")-COUNTIFS(구역5!H4:H73,"*대중교통*",구역5!E4:E73,"*"&amp;$B31&amp;"*"))=0,"",COUNTIFS(구역5!F4:F73,"개인차",구역5!E4:E73,"*"&amp;$B31&amp;"*")+(COUNTIFS(구역5!H4:H73,"?*",구역5!E4:E73,"*"&amp;$B31&amp;"*")-COUNTIFS(구역5!H4:H73,"*교회차*",구역5!E4:E73,"*"&amp;$B31&amp;"*")-COUNTIFS(구역5!H4:H73,"*타교회*",구역5!E4:E73,"*"&amp;$B31&amp;"*")-COUNTIFS(구역5!H4:H73,"*대중교통*",구역5!E4:E73,"*"&amp;$B31&amp;"*")))</f>
        <v/>
      </c>
      <c r="I8" s="42">
        <f>IF(COUNTIFS(구역5!G4:G73,"개인차",구역5!E4:E73,"*"&amp;$B31&amp;"*")+(COUNTIFS(구역5!J4:J73,"?*",구역5!E4:E73,"*"&amp;$B31&amp;"*")-COUNTIFS(구역5!J4:J73,"*교회차*",구역5!E4:E73,"*"&amp;$B31&amp;"*")-COUNTIFS(구역5!J4:J73,"*타교회*",구역5!E4:E73,"*"&amp;$B31&amp;"*")-COUNTIFS(구역5!J4:J73,"*대중교통*",구역5!E4:E73,"*"&amp;$B31&amp;"*"))=0,"",COUNTIFS(구역5!G4:G73,"개인차",구역5!E4:E73,"*"&amp;$B31&amp;"*")+(COUNTIFS(구역5!J4:J73,"?*",구역5!E4:E73,"*"&amp;$B31&amp;"*")-COUNTIFS(구역5!J4:J73,"*교회차*",구역5!E4:E73,"*"&amp;$B31&amp;"*")-COUNTIFS(구역5!J4:J73,"*타교회*",구역5!E4:E73,"*"&amp;$B31&amp;"*")-COUNTIFS(구역5!J4:J73,"*대중교통*",구역5!E4:E73,"*"&amp;$B31&amp;"*")))</f>
        <v/>
      </c>
      <c r="J8" s="42">
        <f>IF(COUNTIFS(구역5!F4:F73,"대중교통",구역5!E4:E73,"*"&amp;$B31&amp;"*")+COUNTIFS(구역5!H4:H73,"*대중교통*",구역5!E4:E73,"*"&amp;$B31&amp;"*")=0,"",COUNTIFS(구역5!F4:F73,"대중교통",구역5!E4:E73,"*"&amp;$B31&amp;"*")+COUNTIFS(구역5!H4:H73,"*대중교통*",구역5!E4:E73,"*"&amp;$B31&amp;"*"))</f>
        <v/>
      </c>
      <c r="K8" s="42">
        <f>IF(COUNTIFS(구역5!G4:G73,"대중교통",구역5!E4:E73,"*"&amp;$B31&amp;"*")+COUNTIFS(구역5!J4:J73,"*대중교통*",구역5!E4:E73,"*"&amp;$B31&amp;"*")=0,"",COUNTIFS(구역5!G4:G73,"대중교통",구역5!E4:E73,"*"&amp;$B31&amp;"*")+COUNTIFS(구역5!J4:J73,"*대중교통*",구역5!E4:E73,"*"&amp;$B31&amp;"*"))</f>
        <v/>
      </c>
      <c r="L8" s="42">
        <f>IF(SUM(B8,D8,F8,H8,J8)=0,"",SUM(B8,D8,F8,H8,J8))</f>
        <v/>
      </c>
      <c r="M8" s="83" t="n"/>
      <c r="N8" s="81" t="n"/>
    </row>
    <row r="9" ht="21.75" customHeight="1" s="33">
      <c r="A9" s="44" t="inlineStr">
        <is>
          <t>구역6</t>
        </is>
      </c>
      <c r="B9" s="44">
        <f>IF(COUNTIFS(구역6!F4:F73,"1호차",구역6!E4:E73,"*"&amp;$B31&amp;"*")+COUNTIFS(구역6!F4:F73,"2호차",구역6!E4:E73,"*"&amp;$B31&amp;"*")+COUNTIFS(구역6!F4:F73,"3호차",구역6!E4:E73,"*"&amp;$B31&amp;"*")+COUNTIFS(구역6!F4:F73,"4호차",구역6!E4:E73,"*"&amp;$B31&amp;"*")+COUNTIFS(구역6!F4:F73,"5호차",구역6!E4:E73,"*"&amp;$B31&amp;"*")+COUNTIFS(구역6!F4:F73,"6호차",구역6!E4:E73,"*"&amp;$B31&amp;"*")+COUNTIFS(구역6!F4:F73,"7호차",구역6!E4:E73,"*"&amp;$B31&amp;"*")+COUNTIFS(구역6!F4:F73,"8호차",구역6!E4:E73,"*"&amp;$B31&amp;"*")+COUNTIFS(구역6!F4:F73,"9호차",구역6!E4:E73,"*"&amp;$B31&amp;"*")+COUNTIFS(구역6!F4:F73,"10호차",구역6!E4:E73,"*"&amp;$B31&amp;"*")=0,"",COUNTIFS(구역6!F4:F73,"1호차",구역6!E4:E73,"*"&amp;$B31&amp;"*")+COUNTIFS(구역6!F4:F73,"2호차",구역6!E4:E73,"*"&amp;$B31&amp;"*")+COUNTIFS(구역6!F4:F73,"3호차",구역6!E4:E73,"*"&amp;$B31&amp;"*")+COUNTIFS(구역6!F4:F73,"4호차",구역6!E4:E73,"*"&amp;$B31&amp;"*")+COUNTIFS(구역6!F4:F73,"5호차",구역6!E4:E73,"*"&amp;$B31&amp;"*")+COUNTIFS(구역6!F4:F73,"6호차",구역6!E4:E73,"*"&amp;$B31&amp;"*")+COUNTIFS(구역6!F4:F73,"7호차",구역6!E4:E73,"*"&amp;$B31&amp;"*")+COUNTIFS(구역6!F4:F73,"8호차",구역6!E4:E73,"*"&amp;$B31&amp;"*")+COUNTIFS(구역6!F4:F73,"9호차",구역6!E4:E73,"*"&amp;$B31&amp;"*")+COUNTIFS(구역6!F4:F73,"10호차",구역6!E4:E73,"*"&amp;$B31&amp;"*"))</f>
        <v/>
      </c>
      <c r="C9" s="44">
        <f>IF(COUNTIFS(구역6!G4:G73,"1호차",구역6!E4:E73,"*"&amp;$B31&amp;"*")+COUNTIFS(구역6!G4:G73,"2호차",구역6!E4:E73,"*"&amp;$B31&amp;"*")+COUNTIFS(구역6!G4:G73,"3호차",구역6!E4:E73,"*"&amp;$B31&amp;"*")+COUNTIFS(구역6!G4:G73,"4호차",구역6!E4:E73,"*"&amp;$B31&amp;"*")+COUNTIFS(구역6!G4:G73,"5호차",구역6!E4:E73,"*"&amp;$B31&amp;"*")+COUNTIFS(구역6!G4:G73,"6호차",구역6!E4:E73,"*"&amp;$B31&amp;"*")+COUNTIFS(구역6!G4:G73,"7호차",구역6!E4:E73,"*"&amp;$B31&amp;"*")+COUNTIFS(구역6!G4:G73,"8호차",구역6!E4:E73,"*"&amp;$B31&amp;"*")+COUNTIFS(구역6!G4:G73,"9호차",구역6!E4:E73,"*"&amp;$B31&amp;"*")+COUNTIFS(구역6!G4:G73,"10호차",구역6!E4:E73,"*"&amp;$B31&amp;"*")=0,"",COUNTIFS(구역6!G4:G73,"1호차",구역6!E4:E73,"*"&amp;$B31&amp;"*")+COUNTIFS(구역6!G4:G73,"2호차",구역6!E4:E73,"*"&amp;$B31&amp;"*")+COUNTIFS(구역6!G4:G73,"3호차",구역6!E4:E73,"*"&amp;$B31&amp;"*")+COUNTIFS(구역6!G4:G73,"4호차",구역6!E4:E73,"*"&amp;$B31&amp;"*")+COUNTIFS(구역6!G4:G73,"5호차",구역6!E4:E73,"*"&amp;$B31&amp;"*")+COUNTIFS(구역6!G4:G73,"6호차",구역6!E4:E73,"*"&amp;$B31&amp;"*")+COUNTIFS(구역6!G4:G73,"7호차",구역6!E4:E73,"*"&amp;$B31&amp;"*")+COUNTIFS(구역6!G4:G73,"8호차",구역6!E4:E73,"*"&amp;$B31&amp;"*")+COUNTIFS(구역6!G4:G73,"9호차",구역6!E4:E73,"*"&amp;$B31&amp;"*")+COUNTIFS(구역6!G4:G73,"10호차",구역6!E4:E73,"*"&amp;$B31&amp;"*"))</f>
        <v/>
      </c>
      <c r="D9" s="44">
        <f>IF(COUNTIFS(구역6!F4:F73,"교회차1",구역6!E4:E73,"*"&amp;$B31&amp;"*")+COUNTIFS(구역6!F4:F73,"교회차2",구역6!E4:E73,"*"&amp;$B31&amp;"*")+COUNTIFS(구역6!F4:F73,"교회차3",구역6!E4:E73,"*"&amp;$B31&amp;"*")+COUNTIFS(구역6!F4:F73,"교회차4",구역6!E4:E73,"*"&amp;$B31&amp;"*")+COUNTIFS(구역6!F4:F73,"교회차5",구역6!E4:E73,"*"&amp;$B31&amp;"*")+COUNTIFS(구역6!H4:H73,"*교회차*",구역6!E4:E73,"*"&amp;$B31&amp;"*")=0,"",COUNTIFS(구역6!F4:F73,"교회차1",구역6!E4:E73,"*"&amp;$B31&amp;"*")+COUNTIFS(구역6!F4:F73,"교회차2",구역6!E4:E73,"*"&amp;$B31&amp;"*")+COUNTIFS(구역6!F4:F73,"교회차3",구역6!E4:E73,"*"&amp;$B31&amp;"*")+COUNTIFS(구역6!F4:F73,"교회차4",구역6!E4:E73,"*"&amp;$B31&amp;"*")+COUNTIFS(구역6!F4:F73,"교회차5",구역6!E4:E73,"*"&amp;$B31&amp;"*")+COUNTIFS(구역6!H4:H73,"*교회차*",구역6!E4:E73,"*"&amp;$B31&amp;"*"))</f>
        <v/>
      </c>
      <c r="E9" s="44">
        <f>IF(COUNTIFS(구역6!G4:G73,"교회차1",구역6!E4:E73,"*"&amp;$B31&amp;"*")+COUNTIFS(구역6!G4:G73,"교회차2",구역6!E4:E73,"*"&amp;$B31&amp;"*")+COUNTIFS(구역6!G4:G73,"교회차3",구역6!E4:E73,"*"&amp;$B31&amp;"*")+COUNTIFS(구역6!G4:G73,"교회차4",구역6!E4:E73,"*"&amp;$B31&amp;"*")+COUNTIFS(구역6!G4:G73,"교회차5",구역6!E4:E73,"*"&amp;$B31&amp;"*")+COUNTIFS(구역6!J4:J73,"*교회차*",구역6!E4:E73,"*"&amp;$B31&amp;"*")=0,"",COUNTIFS(구역6!G4:G73,"교회차1",구역6!E4:E73,"*"&amp;$B31&amp;"*")+COUNTIFS(구역6!G4:G73,"교회차2",구역6!E4:E73,"*"&amp;$B31&amp;"*")+COUNTIFS(구역6!G4:G73,"교회차3",구역6!E4:E73,"*"&amp;$B31&amp;"*")+COUNTIFS(구역6!G4:G73,"교회차4",구역6!E4:E73,"*"&amp;$B31&amp;"*")+COUNTIFS(구역6!G4:G73,"교회차5",구역6!E4:E73,"*"&amp;$B31&amp;"*")+COUNTIFS(구역6!J4:J73,"*교회차*",구역6!E4:E73,"*"&amp;$B31&amp;"*"))</f>
        <v/>
      </c>
      <c r="F9" s="44">
        <f>IF(COUNTIFS(구역6!F4:F73,"타교회",구역6!E4:E73,"*"&amp;$B31&amp;"*")+COUNTIFS(구역6!H4:H73,"*타교회*",구역6!E4:E73,"*"&amp;$B31&amp;"*")=0,"",COUNTIFS(구역6!F4:F73,"타교회",구역6!E4:E73,"*"&amp;$B31&amp;"*")+COUNTIFS(구역6!H4:H73,"*타교회*",구역6!E4:E73,"*"&amp;$B31&amp;"*"))</f>
        <v/>
      </c>
      <c r="G9" s="44">
        <f>IF(COUNTIFS(구역6!G4:G73,"타교회",구역6!E4:E73,"*"&amp;$B31&amp;"*")+COUNTIFS(구역6!J4:J73,"*타교회*",구역6!E4:E73,"*"&amp;$B31&amp;"*")=0,"",COUNTIFS(구역6!G4:G73,"타교회",구역6!E4:E73,"*"&amp;$B31&amp;"*")+COUNTIFS(구역6!J4:J73,"*타교회*",구역6!E4:E73,"*"&amp;$B31&amp;"*"))</f>
        <v/>
      </c>
      <c r="H9" s="44">
        <f>IF(COUNTIFS(구역6!F4:F73,"개인차",구역6!E4:E73,"*"&amp;$B31&amp;"*")+(COUNTIFS(구역6!H4:H73,"?*",구역6!E4:E73,"*"&amp;$B31&amp;"*")-COUNTIFS(구역6!H4:H73,"*교회차*",구역6!E4:E73,"*"&amp;$B31&amp;"*")-COUNTIFS(구역6!H4:H73,"*타교회*",구역6!E4:E73,"*"&amp;$B31&amp;"*")-COUNTIFS(구역6!H4:H73,"*대중교통*",구역6!E4:E73,"*"&amp;$B31&amp;"*"))=0,"",COUNTIFS(구역6!F4:F73,"개인차",구역6!E4:E73,"*"&amp;$B31&amp;"*")+(COUNTIFS(구역6!H4:H73,"?*",구역6!E4:E73,"*"&amp;$B31&amp;"*")-COUNTIFS(구역6!H4:H73,"*교회차*",구역6!E4:E73,"*"&amp;$B31&amp;"*")-COUNTIFS(구역6!H4:H73,"*타교회*",구역6!E4:E73,"*"&amp;$B31&amp;"*")-COUNTIFS(구역6!H4:H73,"*대중교통*",구역6!E4:E73,"*"&amp;$B31&amp;"*")))</f>
        <v/>
      </c>
      <c r="I9" s="44">
        <f>IF(COUNTIFS(구역6!G4:G73,"개인차",구역6!E4:E73,"*"&amp;$B31&amp;"*")+(COUNTIFS(구역6!J4:J73,"?*",구역6!E4:E73,"*"&amp;$B31&amp;"*")-COUNTIFS(구역6!J4:J73,"*교회차*",구역6!E4:E73,"*"&amp;$B31&amp;"*")-COUNTIFS(구역6!J4:J73,"*타교회*",구역6!E4:E73,"*"&amp;$B31&amp;"*")-COUNTIFS(구역6!J4:J73,"*대중교통*",구역6!E4:E73,"*"&amp;$B31&amp;"*"))=0,"",COUNTIFS(구역6!G4:G73,"개인차",구역6!E4:E73,"*"&amp;$B31&amp;"*")+(COUNTIFS(구역6!J4:J73,"?*",구역6!E4:E73,"*"&amp;$B31&amp;"*")-COUNTIFS(구역6!J4:J73,"*교회차*",구역6!E4:E73,"*"&amp;$B31&amp;"*")-COUNTIFS(구역6!J4:J73,"*타교회*",구역6!E4:E73,"*"&amp;$B31&amp;"*")-COUNTIFS(구역6!J4:J73,"*대중교통*",구역6!E4:E73,"*"&amp;$B31&amp;"*")))</f>
        <v/>
      </c>
      <c r="J9" s="44">
        <f>IF(COUNTIFS(구역6!F4:F73,"대중교통",구역6!E4:E73,"*"&amp;$B31&amp;"*")+COUNTIFS(구역6!H4:H73,"*대중교통*",구역6!E4:E73,"*"&amp;$B31&amp;"*")=0,"",COUNTIFS(구역6!F4:F73,"대중교통",구역6!E4:E73,"*"&amp;$B31&amp;"*")+COUNTIFS(구역6!H4:H73,"*대중교통*",구역6!E4:E73,"*"&amp;$B31&amp;"*"))</f>
        <v/>
      </c>
      <c r="K9" s="44">
        <f>IF(COUNTIFS(구역6!G4:G73,"대중교통",구역6!E4:E73,"*"&amp;$B31&amp;"*")+COUNTIFS(구역6!J4:J73,"*대중교통*",구역6!E4:E73,"*"&amp;$B31&amp;"*")=0,"",COUNTIFS(구역6!G4:G73,"대중교통",구역6!E4:E73,"*"&amp;$B31&amp;"*")+COUNTIFS(구역6!J4:J73,"*대중교통*",구역6!E4:E73,"*"&amp;$B31&amp;"*"))</f>
        <v/>
      </c>
      <c r="L9" s="42">
        <f>IF(SUM(B9,D9,F9,H9,J9)=0,"",SUM(B9,D9,F9,H9,J9))</f>
        <v/>
      </c>
      <c r="M9" s="83" t="n"/>
      <c r="N9" s="81" t="n"/>
    </row>
    <row r="10" ht="21.75" customHeight="1" s="33">
      <c r="A10" s="42" t="inlineStr">
        <is>
          <t>구역7</t>
        </is>
      </c>
      <c r="B10" s="42">
        <f>IF(COUNTIFS(구역7!F4:F73,"1호차",구역7!E4:E73,"*"&amp;$B31&amp;"*")+COUNTIFS(구역7!F4:F73,"2호차",구역7!E4:E73,"*"&amp;$B31&amp;"*")+COUNTIFS(구역7!F4:F73,"3호차",구역7!E4:E73,"*"&amp;$B31&amp;"*")+COUNTIFS(구역7!F4:F73,"4호차",구역7!E4:E73,"*"&amp;$B31&amp;"*")+COUNTIFS(구역7!F4:F73,"5호차",구역7!E4:E73,"*"&amp;$B31&amp;"*")+COUNTIFS(구역7!F4:F73,"6호차",구역7!E4:E73,"*"&amp;$B31&amp;"*")+COUNTIFS(구역7!F4:F73,"7호차",구역7!E4:E73,"*"&amp;$B31&amp;"*")+COUNTIFS(구역7!F4:F73,"8호차",구역7!E4:E73,"*"&amp;$B31&amp;"*")+COUNTIFS(구역7!F4:F73,"9호차",구역7!E4:E73,"*"&amp;$B31&amp;"*")+COUNTIFS(구역7!F4:F73,"10호차",구역7!E4:E73,"*"&amp;$B31&amp;"*")=0,"",COUNTIFS(구역7!F4:F73,"1호차",구역7!E4:E73,"*"&amp;$B31&amp;"*")+COUNTIFS(구역7!F4:F73,"2호차",구역7!E4:E73,"*"&amp;$B31&amp;"*")+COUNTIFS(구역7!F4:F73,"3호차",구역7!E4:E73,"*"&amp;$B31&amp;"*")+COUNTIFS(구역7!F4:F73,"4호차",구역7!E4:E73,"*"&amp;$B31&amp;"*")+COUNTIFS(구역7!F4:F73,"5호차",구역7!E4:E73,"*"&amp;$B31&amp;"*")+COUNTIFS(구역7!F4:F73,"6호차",구역7!E4:E73,"*"&amp;$B31&amp;"*")+COUNTIFS(구역7!F4:F73,"7호차",구역7!E4:E73,"*"&amp;$B31&amp;"*")+COUNTIFS(구역7!F4:F73,"8호차",구역7!E4:E73,"*"&amp;$B31&amp;"*")+COUNTIFS(구역7!F4:F73,"9호차",구역7!E4:E73,"*"&amp;$B31&amp;"*")+COUNTIFS(구역7!F4:F73,"10호차",구역7!E4:E73,"*"&amp;$B31&amp;"*"))</f>
        <v/>
      </c>
      <c r="C10" s="42">
        <f>IF(COUNTIFS(구역7!G4:G73,"1호차",구역7!E4:E73,"*"&amp;$B31&amp;"*")+COUNTIFS(구역7!G4:G73,"2호차",구역7!E4:E73,"*"&amp;$B31&amp;"*")+COUNTIFS(구역7!G4:G73,"3호차",구역7!E4:E73,"*"&amp;$B31&amp;"*")+COUNTIFS(구역7!G4:G73,"4호차",구역7!E4:E73,"*"&amp;$B31&amp;"*")+COUNTIFS(구역7!G4:G73,"5호차",구역7!E4:E73,"*"&amp;$B31&amp;"*")+COUNTIFS(구역7!G4:G73,"6호차",구역7!E4:E73,"*"&amp;$B31&amp;"*")+COUNTIFS(구역7!G4:G73,"7호차",구역7!E4:E73,"*"&amp;$B31&amp;"*")+COUNTIFS(구역7!G4:G73,"8호차",구역7!E4:E73,"*"&amp;$B31&amp;"*")+COUNTIFS(구역7!G4:G73,"9호차",구역7!E4:E73,"*"&amp;$B31&amp;"*")+COUNTIFS(구역7!G4:G73,"10호차",구역7!E4:E73,"*"&amp;$B31&amp;"*")=0,"",COUNTIFS(구역7!G4:G73,"1호차",구역7!E4:E73,"*"&amp;$B31&amp;"*")+COUNTIFS(구역7!G4:G73,"2호차",구역7!E4:E73,"*"&amp;$B31&amp;"*")+COUNTIFS(구역7!G4:G73,"3호차",구역7!E4:E73,"*"&amp;$B31&amp;"*")+COUNTIFS(구역7!G4:G73,"4호차",구역7!E4:E73,"*"&amp;$B31&amp;"*")+COUNTIFS(구역7!G4:G73,"5호차",구역7!E4:E73,"*"&amp;$B31&amp;"*")+COUNTIFS(구역7!G4:G73,"6호차",구역7!E4:E73,"*"&amp;$B31&amp;"*")+COUNTIFS(구역7!G4:G73,"7호차",구역7!E4:E73,"*"&amp;$B31&amp;"*")+COUNTIFS(구역7!G4:G73,"8호차",구역7!E4:E73,"*"&amp;$B31&amp;"*")+COUNTIFS(구역7!G4:G73,"9호차",구역7!E4:E73,"*"&amp;$B31&amp;"*")+COUNTIFS(구역7!G4:G73,"10호차",구역7!E4:E73,"*"&amp;$B31&amp;"*"))</f>
        <v/>
      </c>
      <c r="D10" s="42">
        <f>IF(COUNTIFS(구역7!F4:F73,"교회차1",구역7!E4:E73,"*"&amp;$B31&amp;"*")+COUNTIFS(구역7!F4:F73,"교회차2",구역7!E4:E73,"*"&amp;$B31&amp;"*")+COUNTIFS(구역7!F4:F73,"교회차3",구역7!E4:E73,"*"&amp;$B31&amp;"*")+COUNTIFS(구역7!F4:F73,"교회차4",구역7!E4:E73,"*"&amp;$B31&amp;"*")+COUNTIFS(구역7!F4:F73,"교회차5",구역7!E4:E73,"*"&amp;$B31&amp;"*")+COUNTIFS(구역7!H4:H73,"*교회차*",구역7!E4:E73,"*"&amp;$B31&amp;"*")=0,"",COUNTIFS(구역7!F4:F73,"교회차1",구역7!E4:E73,"*"&amp;$B31&amp;"*")+COUNTIFS(구역7!F4:F73,"교회차2",구역7!E4:E73,"*"&amp;$B31&amp;"*")+COUNTIFS(구역7!F4:F73,"교회차3",구역7!E4:E73,"*"&amp;$B31&amp;"*")+COUNTIFS(구역7!F4:F73,"교회차4",구역7!E4:E73,"*"&amp;$B31&amp;"*")+COUNTIFS(구역7!F4:F73,"교회차5",구역7!E4:E73,"*"&amp;$B31&amp;"*")+COUNTIFS(구역7!H4:H73,"*교회차*",구역7!E4:E73,"*"&amp;$B31&amp;"*"))</f>
        <v/>
      </c>
      <c r="E10" s="42">
        <f>IF(COUNTIFS(구역7!G4:G73,"교회차1",구역7!E4:E73,"*"&amp;$B31&amp;"*")+COUNTIFS(구역7!G4:G73,"교회차2",구역7!E4:E73,"*"&amp;$B31&amp;"*")+COUNTIFS(구역7!G4:G73,"교회차3",구역7!E4:E73,"*"&amp;$B31&amp;"*")+COUNTIFS(구역7!G4:G73,"교회차4",구역7!E4:E73,"*"&amp;$B31&amp;"*")+COUNTIFS(구역7!G4:G73,"교회차5",구역7!E4:E73,"*"&amp;$B31&amp;"*")+COUNTIFS(구역7!J4:J73,"*교회차*",구역7!E4:E73,"*"&amp;$B31&amp;"*")=0,"",COUNTIFS(구역7!G4:G73,"교회차1",구역7!E4:E73,"*"&amp;$B31&amp;"*")+COUNTIFS(구역7!G4:G73,"교회차2",구역7!E4:E73,"*"&amp;$B31&amp;"*")+COUNTIFS(구역7!G4:G73,"교회차3",구역7!E4:E73,"*"&amp;$B31&amp;"*")+COUNTIFS(구역7!G4:G73,"교회차4",구역7!E4:E73,"*"&amp;$B31&amp;"*")+COUNTIFS(구역7!G4:G73,"교회차5",구역7!E4:E73,"*"&amp;$B31&amp;"*")+COUNTIFS(구역7!J4:J73,"*교회차*",구역7!E4:E73,"*"&amp;$B31&amp;"*"))</f>
        <v/>
      </c>
      <c r="F10" s="42">
        <f>IF(COUNTIFS(구역7!F4:F73,"타교회",구역7!E4:E73,"*"&amp;$B31&amp;"*")+COUNTIFS(구역7!H4:H73,"*타교회*",구역7!E4:E73,"*"&amp;$B31&amp;"*")=0,"",COUNTIFS(구역7!F4:F73,"타교회",구역7!E4:E73,"*"&amp;$B31&amp;"*")+COUNTIFS(구역7!H4:H73,"*타교회*",구역7!E4:E73,"*"&amp;$B31&amp;"*"))</f>
        <v/>
      </c>
      <c r="G10" s="42">
        <f>IF(COUNTIFS(구역7!G4:G73,"타교회",구역7!E4:E73,"*"&amp;$B31&amp;"*")+COUNTIFS(구역7!J4:J73,"*타교회*",구역7!E4:E73,"*"&amp;$B31&amp;"*")=0,"",COUNTIFS(구역7!G4:G73,"타교회",구역7!E4:E73,"*"&amp;$B31&amp;"*")+COUNTIFS(구역7!J4:J73,"*타교회*",구역7!E4:E73,"*"&amp;$B31&amp;"*"))</f>
        <v/>
      </c>
      <c r="H10" s="42">
        <f>IF(COUNTIFS(구역7!F4:F73,"개인차",구역7!E4:E73,"*"&amp;$B31&amp;"*")+(COUNTIFS(구역7!H4:H73,"?*",구역7!E4:E73,"*"&amp;$B31&amp;"*")-COUNTIFS(구역7!H4:H73,"*교회차*",구역7!E4:E73,"*"&amp;$B31&amp;"*")-COUNTIFS(구역7!H4:H73,"*타교회*",구역7!E4:E73,"*"&amp;$B31&amp;"*")-COUNTIFS(구역7!H4:H73,"*대중교통*",구역7!E4:E73,"*"&amp;$B31&amp;"*"))=0,"",COUNTIFS(구역7!F4:F73,"개인차",구역7!E4:E73,"*"&amp;$B31&amp;"*")+(COUNTIFS(구역7!H4:H73,"?*",구역7!E4:E73,"*"&amp;$B31&amp;"*")-COUNTIFS(구역7!H4:H73,"*교회차*",구역7!E4:E73,"*"&amp;$B31&amp;"*")-COUNTIFS(구역7!H4:H73,"*타교회*",구역7!E4:E73,"*"&amp;$B31&amp;"*")-COUNTIFS(구역7!H4:H73,"*대중교통*",구역7!E4:E73,"*"&amp;$B31&amp;"*")))</f>
        <v/>
      </c>
      <c r="I10" s="42">
        <f>IF(COUNTIFS(구역7!G4:G73,"개인차",구역7!E4:E73,"*"&amp;$B31&amp;"*")+(COUNTIFS(구역7!J4:J73,"?*",구역7!E4:E73,"*"&amp;$B31&amp;"*")-COUNTIFS(구역7!J4:J73,"*교회차*",구역7!E4:E73,"*"&amp;$B31&amp;"*")-COUNTIFS(구역7!J4:J73,"*타교회*",구역7!E4:E73,"*"&amp;$B31&amp;"*")-COUNTIFS(구역7!J4:J73,"*대중교통*",구역7!E4:E73,"*"&amp;$B31&amp;"*"))=0,"",COUNTIFS(구역7!G4:G73,"개인차",구역7!E4:E73,"*"&amp;$B31&amp;"*")+(COUNTIFS(구역7!J4:J73,"?*",구역7!E4:E73,"*"&amp;$B31&amp;"*")-COUNTIFS(구역7!J4:J73,"*교회차*",구역7!E4:E73,"*"&amp;$B31&amp;"*")-COUNTIFS(구역7!J4:J73,"*타교회*",구역7!E4:E73,"*"&amp;$B31&amp;"*")-COUNTIFS(구역7!J4:J73,"*대중교통*",구역7!E4:E73,"*"&amp;$B31&amp;"*")))</f>
        <v/>
      </c>
      <c r="J10" s="42">
        <f>IF(COUNTIFS(구역7!F4:F73,"대중교통",구역7!E4:E73,"*"&amp;$B31&amp;"*")+COUNTIFS(구역7!H4:H73,"*대중교통*",구역7!E4:E73,"*"&amp;$B31&amp;"*")=0,"",COUNTIFS(구역7!F4:F73,"대중교통",구역7!E4:E73,"*"&amp;$B31&amp;"*")+COUNTIFS(구역7!H4:H73,"*대중교통*",구역7!E4:E73,"*"&amp;$B31&amp;"*"))</f>
        <v/>
      </c>
      <c r="K10" s="42">
        <f>IF(COUNTIFS(구역7!G4:G73,"대중교통",구역7!E4:E73,"*"&amp;$B31&amp;"*")+COUNTIFS(구역7!J4:J73,"*대중교통*",구역7!E4:E73,"*"&amp;$B31&amp;"*")=0,"",COUNTIFS(구역7!G4:G73,"대중교통",구역7!E4:E73,"*"&amp;$B31&amp;"*")+COUNTIFS(구역7!J4:J73,"*대중교통*",구역7!E4:E73,"*"&amp;$B31&amp;"*"))</f>
        <v/>
      </c>
      <c r="L10" s="42">
        <f>IF(SUM(B10,D10,F10,H10,J10)=0,"",SUM(B10,D10,F10,H10,J10))</f>
        <v/>
      </c>
      <c r="M10" s="83" t="n"/>
      <c r="N10" s="81" t="n"/>
    </row>
    <row r="11" ht="21.75" customHeight="1" s="33">
      <c r="A11" s="44" t="inlineStr">
        <is>
          <t>구역8</t>
        </is>
      </c>
      <c r="B11" s="44">
        <f>IF(COUNTIFS(구역8!F4:F73,"1호차",구역8!E4:E73,"*"&amp;$B31&amp;"*")+COUNTIFS(구역8!F4:F73,"2호차",구역8!E4:E73,"*"&amp;$B31&amp;"*")+COUNTIFS(구역8!F4:F73,"3호차",구역8!E4:E73,"*"&amp;$B31&amp;"*")+COUNTIFS(구역8!F4:F73,"4호차",구역8!E4:E73,"*"&amp;$B31&amp;"*")+COUNTIFS(구역8!F4:F73,"5호차",구역8!E4:E73,"*"&amp;$B31&amp;"*")+COUNTIFS(구역8!F4:F73,"6호차",구역8!E4:E73,"*"&amp;$B31&amp;"*")+COUNTIFS(구역8!F4:F73,"7호차",구역8!E4:E73,"*"&amp;$B31&amp;"*")+COUNTIFS(구역8!F4:F73,"8호차",구역8!E4:E73,"*"&amp;$B31&amp;"*")+COUNTIFS(구역8!F4:F73,"9호차",구역8!E4:E73,"*"&amp;$B31&amp;"*")+COUNTIFS(구역8!F4:F73,"10호차",구역8!E4:E73,"*"&amp;$B31&amp;"*")=0,"",COUNTIFS(구역8!F4:F73,"1호차",구역8!E4:E73,"*"&amp;$B31&amp;"*")+COUNTIFS(구역8!F4:F73,"2호차",구역8!E4:E73,"*"&amp;$B31&amp;"*")+COUNTIFS(구역8!F4:F73,"3호차",구역8!E4:E73,"*"&amp;$B31&amp;"*")+COUNTIFS(구역8!F4:F73,"4호차",구역8!E4:E73,"*"&amp;$B31&amp;"*")+COUNTIFS(구역8!F4:F73,"5호차",구역8!E4:E73,"*"&amp;$B31&amp;"*")+COUNTIFS(구역8!F4:F73,"6호차",구역8!E4:E73,"*"&amp;$B31&amp;"*")+COUNTIFS(구역8!F4:F73,"7호차",구역8!E4:E73,"*"&amp;$B31&amp;"*")+COUNTIFS(구역8!F4:F73,"8호차",구역8!E4:E73,"*"&amp;$B31&amp;"*")+COUNTIFS(구역8!F4:F73,"9호차",구역8!E4:E73,"*"&amp;$B31&amp;"*")+COUNTIFS(구역8!F4:F73,"10호차",구역8!E4:E73,"*"&amp;$B31&amp;"*"))</f>
        <v/>
      </c>
      <c r="C11" s="44">
        <f>IF(COUNTIFS(구역8!G4:G73,"1호차",구역8!E4:E73,"*"&amp;$B31&amp;"*")+COUNTIFS(구역8!G4:G73,"2호차",구역8!E4:E73,"*"&amp;$B31&amp;"*")+COUNTIFS(구역8!G4:G73,"3호차",구역8!E4:E73,"*"&amp;$B31&amp;"*")+COUNTIFS(구역8!G4:G73,"4호차",구역8!E4:E73,"*"&amp;$B31&amp;"*")+COUNTIFS(구역8!G4:G73,"5호차",구역8!E4:E73,"*"&amp;$B31&amp;"*")+COUNTIFS(구역8!G4:G73,"6호차",구역8!E4:E73,"*"&amp;$B31&amp;"*")+COUNTIFS(구역8!G4:G73,"7호차",구역8!E4:E73,"*"&amp;$B31&amp;"*")+COUNTIFS(구역8!G4:G73,"8호차",구역8!E4:E73,"*"&amp;$B31&amp;"*")+COUNTIFS(구역8!G4:G73,"9호차",구역8!E4:E73,"*"&amp;$B31&amp;"*")+COUNTIFS(구역8!G4:G73,"10호차",구역8!E4:E73,"*"&amp;$B31&amp;"*")=0,"",COUNTIFS(구역8!G4:G73,"1호차",구역8!E4:E73,"*"&amp;$B31&amp;"*")+COUNTIFS(구역8!G4:G73,"2호차",구역8!E4:E73,"*"&amp;$B31&amp;"*")+COUNTIFS(구역8!G4:G73,"3호차",구역8!E4:E73,"*"&amp;$B31&amp;"*")+COUNTIFS(구역8!G4:G73,"4호차",구역8!E4:E73,"*"&amp;$B31&amp;"*")+COUNTIFS(구역8!G4:G73,"5호차",구역8!E4:E73,"*"&amp;$B31&amp;"*")+COUNTIFS(구역8!G4:G73,"6호차",구역8!E4:E73,"*"&amp;$B31&amp;"*")+COUNTIFS(구역8!G4:G73,"7호차",구역8!E4:E73,"*"&amp;$B31&amp;"*")+COUNTIFS(구역8!G4:G73,"8호차",구역8!E4:E73,"*"&amp;$B31&amp;"*")+COUNTIFS(구역8!G4:G73,"9호차",구역8!E4:E73,"*"&amp;$B31&amp;"*")+COUNTIFS(구역8!G4:G73,"10호차",구역8!E4:E73,"*"&amp;$B31&amp;"*"))</f>
        <v/>
      </c>
      <c r="D11" s="44">
        <f>IF(COUNTIFS(구역8!F4:F73,"교회차1",구역8!E4:E73,"*"&amp;$B31&amp;"*")+COUNTIFS(구역8!F4:F73,"교회차2",구역8!E4:E73,"*"&amp;$B31&amp;"*")+COUNTIFS(구역8!F4:F73,"교회차3",구역8!E4:E73,"*"&amp;$B31&amp;"*")+COUNTIFS(구역8!F4:F73,"교회차4",구역8!E4:E73,"*"&amp;$B31&amp;"*")+COUNTIFS(구역8!F4:F73,"교회차5",구역8!E4:E73,"*"&amp;$B31&amp;"*")+COUNTIFS(구역8!H4:H73,"*교회차*",구역8!E4:E73,"*"&amp;$B31&amp;"*")=0,"",COUNTIFS(구역8!F4:F73,"교회차1",구역8!E4:E73,"*"&amp;$B31&amp;"*")+COUNTIFS(구역8!F4:F73,"교회차2",구역8!E4:E73,"*"&amp;$B31&amp;"*")+COUNTIFS(구역8!F4:F73,"교회차3",구역8!E4:E73,"*"&amp;$B31&amp;"*")+COUNTIFS(구역8!F4:F73,"교회차4",구역8!E4:E73,"*"&amp;$B31&amp;"*")+COUNTIFS(구역8!F4:F73,"교회차5",구역8!E4:E73,"*"&amp;$B31&amp;"*")+COUNTIFS(구역8!H4:H73,"*교회차*",구역8!E4:E73,"*"&amp;$B31&amp;"*"))</f>
        <v/>
      </c>
      <c r="E11" s="44">
        <f>IF(COUNTIFS(구역8!G4:G73,"교회차1",구역8!E4:E73,"*"&amp;$B31&amp;"*")+COUNTIFS(구역8!G4:G73,"교회차2",구역8!E4:E73,"*"&amp;$B31&amp;"*")+COUNTIFS(구역8!G4:G73,"교회차3",구역8!E4:E73,"*"&amp;$B31&amp;"*")+COUNTIFS(구역8!G4:G73,"교회차4",구역8!E4:E73,"*"&amp;$B31&amp;"*")+COUNTIFS(구역8!G4:G73,"교회차5",구역8!E4:E73,"*"&amp;$B31&amp;"*")+COUNTIFS(구역8!J4:J73,"*교회차*",구역8!E4:E73,"*"&amp;$B31&amp;"*")=0,"",COUNTIFS(구역8!G4:G73,"교회차1",구역8!E4:E73,"*"&amp;$B31&amp;"*")+COUNTIFS(구역8!G4:G73,"교회차2",구역8!E4:E73,"*"&amp;$B31&amp;"*")+COUNTIFS(구역8!G4:G73,"교회차3",구역8!E4:E73,"*"&amp;$B31&amp;"*")+COUNTIFS(구역8!G4:G73,"교회차4",구역8!E4:E73,"*"&amp;$B31&amp;"*")+COUNTIFS(구역8!G4:G73,"교회차5",구역8!E4:E73,"*"&amp;$B31&amp;"*")+COUNTIFS(구역8!J4:J73,"*교회차*",구역8!E4:E73,"*"&amp;$B31&amp;"*"))</f>
        <v/>
      </c>
      <c r="F11" s="44">
        <f>IF(COUNTIFS(구역8!F4:F73,"타교회",구역8!E4:E73,"*"&amp;$B31&amp;"*")+COUNTIFS(구역8!H4:H73,"*타교회*",구역8!E4:E73,"*"&amp;$B31&amp;"*")=0,"",COUNTIFS(구역8!F4:F73,"타교회",구역8!E4:E73,"*"&amp;$B31&amp;"*")+COUNTIFS(구역8!H4:H73,"*타교회*",구역8!E4:E73,"*"&amp;$B31&amp;"*"))</f>
        <v/>
      </c>
      <c r="G11" s="44">
        <f>IF(COUNTIFS(구역8!G4:G73,"타교회",구역8!E4:E73,"*"&amp;$B31&amp;"*")+COUNTIFS(구역8!J4:J73,"*타교회*",구역8!E4:E73,"*"&amp;$B31&amp;"*")=0,"",COUNTIFS(구역8!G4:G73,"타교회",구역8!E4:E73,"*"&amp;$B31&amp;"*")+COUNTIFS(구역8!J4:J73,"*타교회*",구역8!E4:E73,"*"&amp;$B31&amp;"*"))</f>
        <v/>
      </c>
      <c r="H11" s="44">
        <f>IF(COUNTIFS(구역8!F4:F73,"개인차",구역8!E4:E73,"*"&amp;$B31&amp;"*")+(COUNTIFS(구역8!H4:H73,"?*",구역8!E4:E73,"*"&amp;$B31&amp;"*")-COUNTIFS(구역8!H4:H73,"*교회차*",구역8!E4:E73,"*"&amp;$B31&amp;"*")-COUNTIFS(구역8!H4:H73,"*타교회*",구역8!E4:E73,"*"&amp;$B31&amp;"*")-COUNTIFS(구역8!H4:H73,"*대중교통*",구역8!E4:E73,"*"&amp;$B31&amp;"*"))=0,"",COUNTIFS(구역8!F4:F73,"개인차",구역8!E4:E73,"*"&amp;$B31&amp;"*")+(COUNTIFS(구역8!H4:H73,"?*",구역8!E4:E73,"*"&amp;$B31&amp;"*")-COUNTIFS(구역8!H4:H73,"*교회차*",구역8!E4:E73,"*"&amp;$B31&amp;"*")-COUNTIFS(구역8!H4:H73,"*타교회*",구역8!E4:E73,"*"&amp;$B31&amp;"*")-COUNTIFS(구역8!H4:H73,"*대중교통*",구역8!E4:E73,"*"&amp;$B31&amp;"*")))</f>
        <v/>
      </c>
      <c r="I11" s="44">
        <f>IF(COUNTIFS(구역8!G4:G73,"개인차",구역8!E4:E73,"*"&amp;$B31&amp;"*")+(COUNTIFS(구역8!J4:J73,"?*",구역8!E4:E73,"*"&amp;$B31&amp;"*")-COUNTIFS(구역8!J4:J73,"*교회차*",구역8!E4:E73,"*"&amp;$B31&amp;"*")-COUNTIFS(구역8!J4:J73,"*타교회*",구역8!E4:E73,"*"&amp;$B31&amp;"*")-COUNTIFS(구역8!J4:J73,"*대중교통*",구역8!E4:E73,"*"&amp;$B31&amp;"*"))=0,"",COUNTIFS(구역8!G4:G73,"개인차",구역8!E4:E73,"*"&amp;$B31&amp;"*")+(COUNTIFS(구역8!J4:J73,"?*",구역8!E4:E73,"*"&amp;$B31&amp;"*")-COUNTIFS(구역8!J4:J73,"*교회차*",구역8!E4:E73,"*"&amp;$B31&amp;"*")-COUNTIFS(구역8!J4:J73,"*타교회*",구역8!E4:E73,"*"&amp;$B31&amp;"*")-COUNTIFS(구역8!J4:J73,"*대중교통*",구역8!E4:E73,"*"&amp;$B31&amp;"*")))</f>
        <v/>
      </c>
      <c r="J11" s="44">
        <f>IF(COUNTIFS(구역8!F4:F73,"대중교통",구역8!E4:E73,"*"&amp;$B31&amp;"*")+COUNTIFS(구역8!H4:H73,"*대중교통*",구역8!E4:E73,"*"&amp;$B31&amp;"*")=0,"",COUNTIFS(구역8!F4:F73,"대중교통",구역8!E4:E73,"*"&amp;$B31&amp;"*")+COUNTIFS(구역8!H4:H73,"*대중교통*",구역8!E4:E73,"*"&amp;$B31&amp;"*"))</f>
        <v/>
      </c>
      <c r="K11" s="44">
        <f>IF(COUNTIFS(구역8!G4:G73,"대중교통",구역8!E4:E73,"*"&amp;$B31&amp;"*")+COUNTIFS(구역8!J4:J73,"*대중교통*",구역8!E4:E73,"*"&amp;$B31&amp;"*")=0,"",COUNTIFS(구역8!G4:G73,"대중교통",구역8!E4:E73,"*"&amp;$B31&amp;"*")+COUNTIFS(구역8!J4:J73,"*대중교통*",구역8!E4:E73,"*"&amp;$B31&amp;"*"))</f>
        <v/>
      </c>
      <c r="L11" s="42">
        <f>IF(SUM(B11,D11,F11,H11,J11)=0,"",SUM(B11,D11,F11,H11,J11))</f>
        <v/>
      </c>
      <c r="M11" s="83" t="n"/>
      <c r="N11" s="81" t="n"/>
    </row>
    <row r="12" ht="21.75" customHeight="1" s="33">
      <c r="A12" s="42" t="inlineStr">
        <is>
          <t>구역9</t>
        </is>
      </c>
      <c r="B12" s="42">
        <f>IF(COUNTIFS(구역9!F4:F73,"1호차",구역9!E4:E73,"*"&amp;$B31&amp;"*")+COUNTIFS(구역9!F4:F73,"2호차",구역9!E4:E73,"*"&amp;$B31&amp;"*")+COUNTIFS(구역9!F4:F73,"3호차",구역9!E4:E73,"*"&amp;$B31&amp;"*")+COUNTIFS(구역9!F4:F73,"4호차",구역9!E4:E73,"*"&amp;$B31&amp;"*")+COUNTIFS(구역9!F4:F73,"5호차",구역9!E4:E73,"*"&amp;$B31&amp;"*")+COUNTIFS(구역9!F4:F73,"6호차",구역9!E4:E73,"*"&amp;$B31&amp;"*")+COUNTIFS(구역9!F4:F73,"7호차",구역9!E4:E73,"*"&amp;$B31&amp;"*")+COUNTIFS(구역9!F4:F73,"8호차",구역9!E4:E73,"*"&amp;$B31&amp;"*")+COUNTIFS(구역9!F4:F73,"9호차",구역9!E4:E73,"*"&amp;$B31&amp;"*")+COUNTIFS(구역9!F4:F73,"10호차",구역9!E4:E73,"*"&amp;$B31&amp;"*")=0,"",COUNTIFS(구역9!F4:F73,"1호차",구역9!E4:E73,"*"&amp;$B31&amp;"*")+COUNTIFS(구역9!F4:F73,"2호차",구역9!E4:E73,"*"&amp;$B31&amp;"*")+COUNTIFS(구역9!F4:F73,"3호차",구역9!E4:E73,"*"&amp;$B31&amp;"*")+COUNTIFS(구역9!F4:F73,"4호차",구역9!E4:E73,"*"&amp;$B31&amp;"*")+COUNTIFS(구역9!F4:F73,"5호차",구역9!E4:E73,"*"&amp;$B31&amp;"*")+COUNTIFS(구역9!F4:F73,"6호차",구역9!E4:E73,"*"&amp;$B31&amp;"*")+COUNTIFS(구역9!F4:F73,"7호차",구역9!E4:E73,"*"&amp;$B31&amp;"*")+COUNTIFS(구역9!F4:F73,"8호차",구역9!E4:E73,"*"&amp;$B31&amp;"*")+COUNTIFS(구역9!F4:F73,"9호차",구역9!E4:E73,"*"&amp;$B31&amp;"*")+COUNTIFS(구역9!F4:F73,"10호차",구역9!E4:E73,"*"&amp;$B31&amp;"*"))</f>
        <v/>
      </c>
      <c r="C12" s="42">
        <f>IF(COUNTIFS(구역9!G4:G73,"1호차",구역9!E4:E73,"*"&amp;$B31&amp;"*")+COUNTIFS(구역9!G4:G73,"2호차",구역9!E4:E73,"*"&amp;$B31&amp;"*")+COUNTIFS(구역9!G4:G73,"3호차",구역9!E4:E73,"*"&amp;$B31&amp;"*")+COUNTIFS(구역9!G4:G73,"4호차",구역9!E4:E73,"*"&amp;$B31&amp;"*")+COUNTIFS(구역9!G4:G73,"5호차",구역9!E4:E73,"*"&amp;$B31&amp;"*")+COUNTIFS(구역9!G4:G73,"6호차",구역9!E4:E73,"*"&amp;$B31&amp;"*")+COUNTIFS(구역9!G4:G73,"7호차",구역9!E4:E73,"*"&amp;$B31&amp;"*")+COUNTIFS(구역9!G4:G73,"8호차",구역9!E4:E73,"*"&amp;$B31&amp;"*")+COUNTIFS(구역9!G4:G73,"9호차",구역9!E4:E73,"*"&amp;$B31&amp;"*")+COUNTIFS(구역9!G4:G73,"10호차",구역9!E4:E73,"*"&amp;$B31&amp;"*")=0,"",COUNTIFS(구역9!G4:G73,"1호차",구역9!E4:E73,"*"&amp;$B31&amp;"*")+COUNTIFS(구역9!G4:G73,"2호차",구역9!E4:E73,"*"&amp;$B31&amp;"*")+COUNTIFS(구역9!G4:G73,"3호차",구역9!E4:E73,"*"&amp;$B31&amp;"*")+COUNTIFS(구역9!G4:G73,"4호차",구역9!E4:E73,"*"&amp;$B31&amp;"*")+COUNTIFS(구역9!G4:G73,"5호차",구역9!E4:E73,"*"&amp;$B31&amp;"*")+COUNTIFS(구역9!G4:G73,"6호차",구역9!E4:E73,"*"&amp;$B31&amp;"*")+COUNTIFS(구역9!G4:G73,"7호차",구역9!E4:E73,"*"&amp;$B31&amp;"*")+COUNTIFS(구역9!G4:G73,"8호차",구역9!E4:E73,"*"&amp;$B31&amp;"*")+COUNTIFS(구역9!G4:G73,"9호차",구역9!E4:E73,"*"&amp;$B31&amp;"*")+COUNTIFS(구역9!G4:G73,"10호차",구역9!E4:E73,"*"&amp;$B31&amp;"*"))</f>
        <v/>
      </c>
      <c r="D12" s="42">
        <f>IF(COUNTIFS(구역9!F4:F73,"교회차1",구역9!E4:E73,"*"&amp;$B31&amp;"*")+COUNTIFS(구역9!F4:F73,"교회차2",구역9!E4:E73,"*"&amp;$B31&amp;"*")+COUNTIFS(구역9!F4:F73,"교회차3",구역9!E4:E73,"*"&amp;$B31&amp;"*")+COUNTIFS(구역9!F4:F73,"교회차4",구역9!E4:E73,"*"&amp;$B31&amp;"*")+COUNTIFS(구역9!F4:F73,"교회차5",구역9!E4:E73,"*"&amp;$B31&amp;"*")+COUNTIFS(구역9!H4:H73,"*교회차*",구역9!E4:E73,"*"&amp;$B31&amp;"*")=0,"",COUNTIFS(구역9!F4:F73,"교회차1",구역9!E4:E73,"*"&amp;$B31&amp;"*")+COUNTIFS(구역9!F4:F73,"교회차2",구역9!E4:E73,"*"&amp;$B31&amp;"*")+COUNTIFS(구역9!F4:F73,"교회차3",구역9!E4:E73,"*"&amp;$B31&amp;"*")+COUNTIFS(구역9!F4:F73,"교회차4",구역9!E4:E73,"*"&amp;$B31&amp;"*")+COUNTIFS(구역9!F4:F73,"교회차5",구역9!E4:E73,"*"&amp;$B31&amp;"*")+COUNTIFS(구역9!H4:H73,"*교회차*",구역9!E4:E73,"*"&amp;$B31&amp;"*"))</f>
        <v/>
      </c>
      <c r="E12" s="42">
        <f>IF(COUNTIFS(구역9!G4:G73,"교회차1",구역9!E4:E73,"*"&amp;$B31&amp;"*")+COUNTIFS(구역9!G4:G73,"교회차2",구역9!E4:E73,"*"&amp;$B31&amp;"*")+COUNTIFS(구역9!G4:G73,"교회차3",구역9!E4:E73,"*"&amp;$B31&amp;"*")+COUNTIFS(구역9!G4:G73,"교회차4",구역9!E4:E73,"*"&amp;$B31&amp;"*")+COUNTIFS(구역9!G4:G73,"교회차5",구역9!E4:E73,"*"&amp;$B31&amp;"*")+COUNTIFS(구역9!J4:J73,"*교회차*",구역9!E4:E73,"*"&amp;$B31&amp;"*")=0,"",COUNTIFS(구역9!G4:G73,"교회차1",구역9!E4:E73,"*"&amp;$B31&amp;"*")+COUNTIFS(구역9!G4:G73,"교회차2",구역9!E4:E73,"*"&amp;$B31&amp;"*")+COUNTIFS(구역9!G4:G73,"교회차3",구역9!E4:E73,"*"&amp;$B31&amp;"*")+COUNTIFS(구역9!G4:G73,"교회차4",구역9!E4:E73,"*"&amp;$B31&amp;"*")+COUNTIFS(구역9!G4:G73,"교회차5",구역9!E4:E73,"*"&amp;$B31&amp;"*")+COUNTIFS(구역9!J4:J73,"*교회차*",구역9!E4:E73,"*"&amp;$B31&amp;"*"))</f>
        <v/>
      </c>
      <c r="F12" s="42">
        <f>IF(COUNTIFS(구역9!F4:F73,"타교회",구역9!E4:E73,"*"&amp;$B31&amp;"*")+COUNTIFS(구역9!H4:H73,"*타교회*",구역9!E4:E73,"*"&amp;$B31&amp;"*")=0,"",COUNTIFS(구역9!F4:F73,"타교회",구역9!E4:E73,"*"&amp;$B31&amp;"*")+COUNTIFS(구역9!H4:H73,"*타교회*",구역9!E4:E73,"*"&amp;$B31&amp;"*"))</f>
        <v/>
      </c>
      <c r="G12" s="42">
        <f>IF(COUNTIFS(구역9!G4:G73,"타교회",구역9!E4:E73,"*"&amp;$B31&amp;"*")+COUNTIFS(구역9!J4:J73,"*타교회*",구역9!E4:E73,"*"&amp;$B31&amp;"*")=0,"",COUNTIFS(구역9!G4:G73,"타교회",구역9!E4:E73,"*"&amp;$B31&amp;"*")+COUNTIFS(구역9!J4:J73,"*타교회*",구역9!E4:E73,"*"&amp;$B31&amp;"*"))</f>
        <v/>
      </c>
      <c r="H12" s="42">
        <f>IF(COUNTIFS(구역9!F4:F73,"개인차",구역9!E4:E73,"*"&amp;$B31&amp;"*")+(COUNTIFS(구역9!H4:H73,"?*",구역9!E4:E73,"*"&amp;$B31&amp;"*")-COUNTIFS(구역9!H4:H73,"*교회차*",구역9!E4:E73,"*"&amp;$B31&amp;"*")-COUNTIFS(구역9!H4:H73,"*타교회*",구역9!E4:E73,"*"&amp;$B31&amp;"*")-COUNTIFS(구역9!H4:H73,"*대중교통*",구역9!E4:E73,"*"&amp;$B31&amp;"*"))=0,"",COUNTIFS(구역9!F4:F73,"개인차",구역9!E4:E73,"*"&amp;$B31&amp;"*")+(COUNTIFS(구역9!H4:H73,"?*",구역9!E4:E73,"*"&amp;$B31&amp;"*")-COUNTIFS(구역9!H4:H73,"*교회차*",구역9!E4:E73,"*"&amp;$B31&amp;"*")-COUNTIFS(구역9!H4:H73,"*타교회*",구역9!E4:E73,"*"&amp;$B31&amp;"*")-COUNTIFS(구역9!H4:H73,"*대중교통*",구역9!E4:E73,"*"&amp;$B31&amp;"*")))</f>
        <v/>
      </c>
      <c r="I12" s="42">
        <f>IF(COUNTIFS(구역9!G4:G73,"개인차",구역9!E4:E73,"*"&amp;$B31&amp;"*")+(COUNTIFS(구역9!J4:J73,"?*",구역9!E4:E73,"*"&amp;$B31&amp;"*")-COUNTIFS(구역9!J4:J73,"*교회차*",구역9!E4:E73,"*"&amp;$B31&amp;"*")-COUNTIFS(구역9!J4:J73,"*타교회*",구역9!E4:E73,"*"&amp;$B31&amp;"*")-COUNTIFS(구역9!J4:J73,"*대중교통*",구역9!E4:E73,"*"&amp;$B31&amp;"*"))=0,"",COUNTIFS(구역9!G4:G73,"개인차",구역9!E4:E73,"*"&amp;$B31&amp;"*")+(COUNTIFS(구역9!J4:J73,"?*",구역9!E4:E73,"*"&amp;$B31&amp;"*")-COUNTIFS(구역9!J4:J73,"*교회차*",구역9!E4:E73,"*"&amp;$B31&amp;"*")-COUNTIFS(구역9!J4:J73,"*타교회*",구역9!E4:E73,"*"&amp;$B31&amp;"*")-COUNTIFS(구역9!J4:J73,"*대중교통*",구역9!E4:E73,"*"&amp;$B31&amp;"*")))</f>
        <v/>
      </c>
      <c r="J12" s="42">
        <f>IF(COUNTIFS(구역9!F4:F73,"대중교통",구역9!E4:E73,"*"&amp;$B31&amp;"*")+COUNTIFS(구역9!H4:H73,"*대중교통*",구역9!E4:E73,"*"&amp;$B31&amp;"*")=0,"",COUNTIFS(구역9!F4:F73,"대중교통",구역9!E4:E73,"*"&amp;$B31&amp;"*")+COUNTIFS(구역9!H4:H73,"*대중교통*",구역9!E4:E73,"*"&amp;$B31&amp;"*"))</f>
        <v/>
      </c>
      <c r="K12" s="42">
        <f>IF(COUNTIFS(구역9!G4:G73,"대중교통",구역9!E4:E73,"*"&amp;$B31&amp;"*")+COUNTIFS(구역9!J4:J73,"*대중교통*",구역9!E4:E73,"*"&amp;$B31&amp;"*")=0,"",COUNTIFS(구역9!G4:G73,"대중교통",구역9!E4:E73,"*"&amp;$B31&amp;"*")+COUNTIFS(구역9!J4:J73,"*대중교통*",구역9!E4:E73,"*"&amp;$B31&amp;"*"))</f>
        <v/>
      </c>
      <c r="L12" s="42">
        <f>IF(SUM(B12,D12,F12,H12,J12)=0,"",SUM(B12,D12,F12,H12,J12))</f>
        <v/>
      </c>
      <c r="M12" s="83" t="n"/>
      <c r="N12" s="81" t="n"/>
    </row>
    <row r="13" ht="21.75" customHeight="1" s="33">
      <c r="A13" s="44" t="inlineStr">
        <is>
          <t>구역10</t>
        </is>
      </c>
      <c r="B13" s="44">
        <f>IF(COUNTIFS(구역10!F4:F73,"1호차",구역10!E4:E73,"*"&amp;$B31&amp;"*")+COUNTIFS(구역10!F4:F73,"2호차",구역10!E4:E73,"*"&amp;$B31&amp;"*")+COUNTIFS(구역10!F4:F73,"3호차",구역10!E4:E73,"*"&amp;$B31&amp;"*")+COUNTIFS(구역10!F4:F73,"4호차",구역10!E4:E73,"*"&amp;$B31&amp;"*")+COUNTIFS(구역10!F4:F73,"5호차",구역10!E4:E73,"*"&amp;$B31&amp;"*")+COUNTIFS(구역10!F4:F73,"6호차",구역10!E4:E73,"*"&amp;$B31&amp;"*")+COUNTIFS(구역10!F4:F73,"7호차",구역10!E4:E73,"*"&amp;$B31&amp;"*")+COUNTIFS(구역10!F4:F73,"8호차",구역10!E4:E73,"*"&amp;$B31&amp;"*")+COUNTIFS(구역10!F4:F73,"9호차",구역10!E4:E73,"*"&amp;$B31&amp;"*")+COUNTIFS(구역10!F4:F73,"10호차",구역10!E4:E73,"*"&amp;$B31&amp;"*")=0,"",COUNTIFS(구역10!F4:F73,"1호차",구역10!E4:E73,"*"&amp;$B31&amp;"*")+COUNTIFS(구역10!F4:F73,"2호차",구역10!E4:E73,"*"&amp;$B31&amp;"*")+COUNTIFS(구역10!F4:F73,"3호차",구역10!E4:E73,"*"&amp;$B31&amp;"*")+COUNTIFS(구역10!F4:F73,"4호차",구역10!E4:E73,"*"&amp;$B31&amp;"*")+COUNTIFS(구역10!F4:F73,"5호차",구역10!E4:E73,"*"&amp;$B31&amp;"*")+COUNTIFS(구역10!F4:F73,"6호차",구역10!E4:E73,"*"&amp;$B31&amp;"*")+COUNTIFS(구역10!F4:F73,"7호차",구역10!E4:E73,"*"&amp;$B31&amp;"*")+COUNTIFS(구역10!F4:F73,"8호차",구역10!E4:E73,"*"&amp;$B31&amp;"*")+COUNTIFS(구역10!F4:F73,"9호차",구역10!E4:E73,"*"&amp;$B31&amp;"*")+COUNTIFS(구역10!F4:F73,"10호차",구역10!E4:E73,"*"&amp;$B31&amp;"*"))</f>
        <v/>
      </c>
      <c r="C13" s="44">
        <f>IF(COUNTIFS(구역10!G4:G73,"1호차",구역10!E4:E73,"*"&amp;$B31&amp;"*")+COUNTIFS(구역10!G4:G73,"2호차",구역10!E4:E73,"*"&amp;$B31&amp;"*")+COUNTIFS(구역10!G4:G73,"3호차",구역10!E4:E73,"*"&amp;$B31&amp;"*")+COUNTIFS(구역10!G4:G73,"4호차",구역10!E4:E73,"*"&amp;$B31&amp;"*")+COUNTIFS(구역10!G4:G73,"5호차",구역10!E4:E73,"*"&amp;$B31&amp;"*")+COUNTIFS(구역10!G4:G73,"6호차",구역10!E4:E73,"*"&amp;$B31&amp;"*")+COUNTIFS(구역10!G4:G73,"7호차",구역10!E4:E73,"*"&amp;$B31&amp;"*")+COUNTIFS(구역10!G4:G73,"8호차",구역10!E4:E73,"*"&amp;$B31&amp;"*")+COUNTIFS(구역10!G4:G73,"9호차",구역10!E4:E73,"*"&amp;$B31&amp;"*")+COUNTIFS(구역10!G4:G73,"10호차",구역10!E4:E73,"*"&amp;$B31&amp;"*")=0,"",COUNTIFS(구역10!G4:G73,"1호차",구역10!E4:E73,"*"&amp;$B31&amp;"*")+COUNTIFS(구역10!G4:G73,"2호차",구역10!E4:E73,"*"&amp;$B31&amp;"*")+COUNTIFS(구역10!G4:G73,"3호차",구역10!E4:E73,"*"&amp;$B31&amp;"*")+COUNTIFS(구역10!G4:G73,"4호차",구역10!E4:E73,"*"&amp;$B31&amp;"*")+COUNTIFS(구역10!G4:G73,"5호차",구역10!E4:E73,"*"&amp;$B31&amp;"*")+COUNTIFS(구역10!G4:G73,"6호차",구역10!E4:E73,"*"&amp;$B31&amp;"*")+COUNTIFS(구역10!G4:G73,"7호차",구역10!E4:E73,"*"&amp;$B31&amp;"*")+COUNTIFS(구역10!G4:G73,"8호차",구역10!E4:E73,"*"&amp;$B31&amp;"*")+COUNTIFS(구역10!G4:G73,"9호차",구역10!E4:E73,"*"&amp;$B31&amp;"*")+COUNTIFS(구역10!G4:G73,"10호차",구역10!E4:E73,"*"&amp;$B31&amp;"*"))</f>
        <v/>
      </c>
      <c r="D13" s="44">
        <f>IF(COUNTIFS(구역10!F4:F73,"교회차1",구역10!E4:E73,"*"&amp;$B31&amp;"*")+COUNTIFS(구역10!F4:F73,"교회차2",구역10!E4:E73,"*"&amp;$B31&amp;"*")+COUNTIFS(구역10!F4:F73,"교회차3",구역10!E4:E73,"*"&amp;$B31&amp;"*")+COUNTIFS(구역10!F4:F73,"교회차4",구역10!E4:E73,"*"&amp;$B31&amp;"*")+COUNTIFS(구역10!F4:F73,"교회차5",구역10!E4:E73,"*"&amp;$B31&amp;"*")+COUNTIFS(구역10!H4:H73,"*교회차*",구역10!E4:E73,"*"&amp;$B31&amp;"*")=0,"",COUNTIFS(구역10!F4:F73,"교회차1",구역10!E4:E73,"*"&amp;$B31&amp;"*")+COUNTIFS(구역10!F4:F73,"교회차2",구역10!E4:E73,"*"&amp;$B31&amp;"*")+COUNTIFS(구역10!F4:F73,"교회차3",구역10!E4:E73,"*"&amp;$B31&amp;"*")+COUNTIFS(구역10!F4:F73,"교회차4",구역10!E4:E73,"*"&amp;$B31&amp;"*")+COUNTIFS(구역10!F4:F73,"교회차5",구역10!E4:E73,"*"&amp;$B31&amp;"*")+COUNTIFS(구역10!H4:H73,"*교회차*",구역10!E4:E73,"*"&amp;$B31&amp;"*"))</f>
        <v/>
      </c>
      <c r="E13" s="44">
        <f>IF(COUNTIFS(구역10!G4:G73,"교회차1",구역10!E4:E73,"*"&amp;$B31&amp;"*")+COUNTIFS(구역10!G4:G73,"교회차2",구역10!E4:E73,"*"&amp;$B31&amp;"*")+COUNTIFS(구역10!G4:G73,"교회차3",구역10!E4:E73,"*"&amp;$B31&amp;"*")+COUNTIFS(구역10!G4:G73,"교회차4",구역10!E4:E73,"*"&amp;$B31&amp;"*")+COUNTIFS(구역10!G4:G73,"교회차5",구역10!E4:E73,"*"&amp;$B31&amp;"*")+COUNTIFS(구역10!J4:J73,"*교회차*",구역10!E4:E73,"*"&amp;$B31&amp;"*")=0,"",COUNTIFS(구역10!G4:G73,"교회차1",구역10!E4:E73,"*"&amp;$B31&amp;"*")+COUNTIFS(구역10!G4:G73,"교회차2",구역10!E4:E73,"*"&amp;$B31&amp;"*")+COUNTIFS(구역10!G4:G73,"교회차3",구역10!E4:E73,"*"&amp;$B31&amp;"*")+COUNTIFS(구역10!G4:G73,"교회차4",구역10!E4:E73,"*"&amp;$B31&amp;"*")+COUNTIFS(구역10!G4:G73,"교회차5",구역10!E4:E73,"*"&amp;$B31&amp;"*")+COUNTIFS(구역10!J4:J73,"*교회차*",구역10!E4:E73,"*"&amp;$B31&amp;"*"))</f>
        <v/>
      </c>
      <c r="F13" s="44">
        <f>IF(COUNTIFS(구역10!F4:F73,"타교회",구역10!E4:E73,"*"&amp;$B31&amp;"*")+COUNTIFS(구역10!H4:H73,"*타교회*",구역10!E4:E73,"*"&amp;$B31&amp;"*")=0,"",COUNTIFS(구역10!F4:F73,"타교회",구역10!E4:E73,"*"&amp;$B31&amp;"*")+COUNTIFS(구역10!H4:H73,"*타교회*",구역10!E4:E73,"*"&amp;$B31&amp;"*"))</f>
        <v/>
      </c>
      <c r="G13" s="44">
        <f>IF(COUNTIFS(구역10!G4:G73,"타교회",구역10!E4:E73,"*"&amp;$B31&amp;"*")+COUNTIFS(구역10!J4:J73,"*타교회*",구역10!E4:E73,"*"&amp;$B31&amp;"*")=0,"",COUNTIFS(구역10!G4:G73,"타교회",구역10!E4:E73,"*"&amp;$B31&amp;"*")+COUNTIFS(구역10!J4:J73,"*타교회*",구역10!E4:E73,"*"&amp;$B31&amp;"*"))</f>
        <v/>
      </c>
      <c r="H13" s="44">
        <f>IF(COUNTIFS(구역10!F4:F73,"개인차",구역10!E4:E73,"*"&amp;$B31&amp;"*")+(COUNTIFS(구역10!H4:H73,"?*",구역10!E4:E73,"*"&amp;$B31&amp;"*")-COUNTIFS(구역10!H4:H73,"*교회차*",구역10!E4:E73,"*"&amp;$B31&amp;"*")-COUNTIFS(구역10!H4:H73,"*타교회*",구역10!E4:E73,"*"&amp;$B31&amp;"*")-COUNTIFS(구역10!H4:H73,"*대중교통*",구역10!E4:E73,"*"&amp;$B31&amp;"*"))=0,"",COUNTIFS(구역10!F4:F73,"개인차",구역10!E4:E73,"*"&amp;$B31&amp;"*")+(COUNTIFS(구역10!H4:H73,"?*",구역10!E4:E73,"*"&amp;$B31&amp;"*")-COUNTIFS(구역10!H4:H73,"*교회차*",구역10!E4:E73,"*"&amp;$B31&amp;"*")-COUNTIFS(구역10!H4:H73,"*타교회*",구역10!E4:E73,"*"&amp;$B31&amp;"*")-COUNTIFS(구역10!H4:H73,"*대중교통*",구역10!E4:E73,"*"&amp;$B31&amp;"*")))</f>
        <v/>
      </c>
      <c r="I13" s="44">
        <f>IF(COUNTIFS(구역10!G4:G73,"개인차",구역10!E4:E73,"*"&amp;$B31&amp;"*")+(COUNTIFS(구역10!J4:J73,"?*",구역10!E4:E73,"*"&amp;$B31&amp;"*")-COUNTIFS(구역10!J4:J73,"*교회차*",구역10!E4:E73,"*"&amp;$B31&amp;"*")-COUNTIFS(구역10!J4:J73,"*타교회*",구역10!E4:E73,"*"&amp;$B31&amp;"*")-COUNTIFS(구역10!J4:J73,"*대중교통*",구역10!E4:E73,"*"&amp;$B31&amp;"*"))=0,"",COUNTIFS(구역10!G4:G73,"개인차",구역10!E4:E73,"*"&amp;$B31&amp;"*")+(COUNTIFS(구역10!J4:J73,"?*",구역10!E4:E73,"*"&amp;$B31&amp;"*")-COUNTIFS(구역10!J4:J73,"*교회차*",구역10!E4:E73,"*"&amp;$B31&amp;"*")-COUNTIFS(구역10!J4:J73,"*타교회*",구역10!E4:E73,"*"&amp;$B31&amp;"*")-COUNTIFS(구역10!J4:J73,"*대중교통*",구역10!E4:E73,"*"&amp;$B31&amp;"*")))</f>
        <v/>
      </c>
      <c r="J13" s="44">
        <f>IF(COUNTIFS(구역10!F4:F73,"대중교통",구역10!E4:E73,"*"&amp;$B31&amp;"*")+COUNTIFS(구역10!H4:H73,"*대중교통*",구역10!E4:E73,"*"&amp;$B31&amp;"*")=0,"",COUNTIFS(구역10!F4:F73,"대중교통",구역10!E4:E73,"*"&amp;$B31&amp;"*")+COUNTIFS(구역10!H4:H73,"*대중교통*",구역10!E4:E73,"*"&amp;$B31&amp;"*"))</f>
        <v/>
      </c>
      <c r="K13" s="44">
        <f>IF(COUNTIFS(구역10!G4:G73,"대중교통",구역10!E4:E73,"*"&amp;$B31&amp;"*")+COUNTIFS(구역10!J4:J73,"*대중교통*",구역10!E4:E73,"*"&amp;$B31&amp;"*")=0,"",COUNTIFS(구역10!G4:G73,"대중교통",구역10!E4:E73,"*"&amp;$B31&amp;"*")+COUNTIFS(구역10!J4:J73,"*대중교통*",구역10!E4:E73,"*"&amp;$B31&amp;"*"))</f>
        <v/>
      </c>
      <c r="L13" s="42">
        <f>IF(SUM(B13,D13,F13,H13,J13)=0,"",SUM(B13,D13,F13,H13,J13))</f>
        <v/>
      </c>
      <c r="M13" s="83" t="n"/>
      <c r="N13" s="81" t="n"/>
    </row>
    <row r="14" ht="15" customHeight="1" s="33">
      <c r="A14" s="61" t="inlineStr">
        <is>
          <t>구역11</t>
        </is>
      </c>
      <c r="B14" s="61">
        <f>IF(COUNTIFS(구역11!F4:F73,"1호차",구역11!E4:E73,"*"&amp;$B31&amp;"*")+COUNTIFS(구역11!F4:F73,"2호차",구역11!E4:E73,"*"&amp;$B31&amp;"*")+COUNTIFS(구역11!F4:F73,"3호차",구역11!E4:E73,"*"&amp;$B31&amp;"*")+COUNTIFS(구역11!F4:F73,"4호차",구역11!E4:E73,"*"&amp;$B31&amp;"*")+COUNTIFS(구역11!F4:F73,"5호차",구역11!E4:E73,"*"&amp;$B31&amp;"*")+COUNTIFS(구역11!F4:F73,"6호차",구역11!E4:E73,"*"&amp;$B31&amp;"*")+COUNTIFS(구역11!F4:F73,"7호차",구역11!E4:E73,"*"&amp;$B31&amp;"*")+COUNTIFS(구역11!F4:F73,"8호차",구역11!E4:E73,"*"&amp;$B31&amp;"*")+COUNTIFS(구역11!F4:F73,"9호차",구역11!E4:E73,"*"&amp;$B31&amp;"*")+COUNTIFS(구역11!F4:F73,"10호차",구역11!E4:E73,"*"&amp;$B31&amp;"*")=0,"",COUNTIFS(구역11!F4:F73,"1호차",구역11!E4:E73,"*"&amp;$B31&amp;"*")+COUNTIFS(구역11!F4:F73,"2호차",구역11!E4:E73,"*"&amp;$B31&amp;"*")+COUNTIFS(구역11!F4:F73,"3호차",구역11!E4:E73,"*"&amp;$B31&amp;"*")+COUNTIFS(구역11!F4:F73,"4호차",구역11!E4:E73,"*"&amp;$B31&amp;"*")+COUNTIFS(구역11!F4:F73,"5호차",구역11!E4:E73,"*"&amp;$B31&amp;"*")+COUNTIFS(구역11!F4:F73,"6호차",구역11!E4:E73,"*"&amp;$B31&amp;"*")+COUNTIFS(구역11!F4:F73,"7호차",구역11!E4:E73,"*"&amp;$B31&amp;"*")+COUNTIFS(구역11!F4:F73,"8호차",구역11!E4:E73,"*"&amp;$B31&amp;"*")+COUNTIFS(구역11!F4:F73,"9호차",구역11!E4:E73,"*"&amp;$B31&amp;"*")+COUNTIFS(구역11!F4:F73,"10호차",구역11!E4:E73,"*"&amp;$B31&amp;"*"))</f>
        <v/>
      </c>
      <c r="C14" s="61">
        <f>IF(COUNTIFS(구역11!G4:G73,"1호차",구역11!E4:E73,"*"&amp;$B31&amp;"*")+COUNTIFS(구역11!G4:G73,"2호차",구역11!E4:E73,"*"&amp;$B31&amp;"*")+COUNTIFS(구역11!G4:G73,"3호차",구역11!E4:E73,"*"&amp;$B31&amp;"*")+COUNTIFS(구역11!G4:G73,"4호차",구역11!E4:E73,"*"&amp;$B31&amp;"*")+COUNTIFS(구역11!G4:G73,"5호차",구역11!E4:E73,"*"&amp;$B31&amp;"*")+COUNTIFS(구역11!G4:G73,"6호차",구역11!E4:E73,"*"&amp;$B31&amp;"*")+COUNTIFS(구역11!G4:G73,"7호차",구역11!E4:E73,"*"&amp;$B31&amp;"*")+COUNTIFS(구역11!G4:G73,"8호차",구역11!E4:E73,"*"&amp;$B31&amp;"*")+COUNTIFS(구역11!G4:G73,"9호차",구역11!E4:E73,"*"&amp;$B31&amp;"*")+COUNTIFS(구역11!G4:G73,"10호차",구역11!E4:E73,"*"&amp;$B31&amp;"*")=0,"",COUNTIFS(구역11!G4:G73,"1호차",구역11!E4:E73,"*"&amp;$B31&amp;"*")+COUNTIFS(구역11!G4:G73,"2호차",구역11!E4:E73,"*"&amp;$B31&amp;"*")+COUNTIFS(구역11!G4:G73,"3호차",구역11!E4:E73,"*"&amp;$B31&amp;"*")+COUNTIFS(구역11!G4:G73,"4호차",구역11!E4:E73,"*"&amp;$B31&amp;"*")+COUNTIFS(구역11!G4:G73,"5호차",구역11!E4:E73,"*"&amp;$B31&amp;"*")+COUNTIFS(구역11!G4:G73,"6호차",구역11!E4:E73,"*"&amp;$B31&amp;"*")+COUNTIFS(구역11!G4:G73,"7호차",구역11!E4:E73,"*"&amp;$B31&amp;"*")+COUNTIFS(구역11!G4:G73,"8호차",구역11!E4:E73,"*"&amp;$B31&amp;"*")+COUNTIFS(구역11!G4:G73,"9호차",구역11!E4:E73,"*"&amp;$B31&amp;"*")+COUNTIFS(구역11!G4:G73,"10호차",구역11!E4:E73,"*"&amp;$B31&amp;"*"))</f>
        <v/>
      </c>
      <c r="D14" s="61">
        <f>IF(COUNTIFS(구역11!F4:F73,"교회차1",구역11!E4:E73,"*"&amp;$B31&amp;"*")+COUNTIFS(구역11!F4:F73,"교회차2",구역11!E4:E73,"*"&amp;$B31&amp;"*")+COUNTIFS(구역11!F4:F73,"교회차3",구역11!E4:E73,"*"&amp;$B31&amp;"*")+COUNTIFS(구역11!F4:F73,"교회차4",구역11!E4:E73,"*"&amp;$B31&amp;"*")+COUNTIFS(구역11!F4:F73,"교회차5",구역11!E4:E73,"*"&amp;$B31&amp;"*")+COUNTIFS(구역11!H4:H73,"*교회차*",구역11!E4:E73,"*"&amp;$B31&amp;"*")=0,"",COUNTIFS(구역11!F4:F73,"교회차1",구역11!E4:E73,"*"&amp;$B31&amp;"*")+COUNTIFS(구역11!F4:F73,"교회차2",구역11!E4:E73,"*"&amp;$B31&amp;"*")+COUNTIFS(구역11!F4:F73,"교회차3",구역11!E4:E73,"*"&amp;$B31&amp;"*")+COUNTIFS(구역11!F4:F73,"교회차4",구역11!E4:E73,"*"&amp;$B31&amp;"*")+COUNTIFS(구역11!F4:F73,"교회차5",구역11!E4:E73,"*"&amp;$B31&amp;"*")+COUNTIFS(구역11!H4:H73,"*교회차*",구역11!E4:E73,"*"&amp;$B31&amp;"*"))</f>
        <v/>
      </c>
      <c r="E14" s="61">
        <f>IF(COUNTIFS(구역11!G4:G73,"교회차1",구역11!E4:E73,"*"&amp;$B31&amp;"*")+COUNTIFS(구역11!G4:G73,"교회차2",구역11!E4:E73,"*"&amp;$B31&amp;"*")+COUNTIFS(구역11!G4:G73,"교회차3",구역11!E4:E73,"*"&amp;$B31&amp;"*")+COUNTIFS(구역11!G4:G73,"교회차4",구역11!E4:E73,"*"&amp;$B31&amp;"*")+COUNTIFS(구역11!G4:G73,"교회차5",구역11!E4:E73,"*"&amp;$B31&amp;"*")+COUNTIFS(구역11!J4:J73,"*교회차*",구역11!E4:E73,"*"&amp;$B31&amp;"*")=0,"",COUNTIFS(구역11!G4:G73,"교회차1",구역11!E4:E73,"*"&amp;$B31&amp;"*")+COUNTIFS(구역11!G4:G73,"교회차2",구역11!E4:E73,"*"&amp;$B31&amp;"*")+COUNTIFS(구역11!G4:G73,"교회차3",구역11!E4:E73,"*"&amp;$B31&amp;"*")+COUNTIFS(구역11!G4:G73,"교회차4",구역11!E4:E73,"*"&amp;$B31&amp;"*")+COUNTIFS(구역11!G4:G73,"교회차5",구역11!E4:E73,"*"&amp;$B31&amp;"*")+COUNTIFS(구역11!J4:J73,"*교회차*",구역11!E4:E73,"*"&amp;$B31&amp;"*"))</f>
        <v/>
      </c>
      <c r="F14" s="61">
        <f>IF(COUNTIFS(구역11!F4:F73,"타교회",구역11!E4:E73,"*"&amp;$B31&amp;"*")+COUNTIFS(구역11!H4:H73,"*타교회*",구역11!E4:E73,"*"&amp;$B31&amp;"*")=0,"",COUNTIFS(구역11!F4:F73,"타교회",구역11!E4:E73,"*"&amp;$B31&amp;"*")+COUNTIFS(구역11!H4:H73,"*타교회*",구역11!E4:E73,"*"&amp;$B31&amp;"*"))</f>
        <v/>
      </c>
      <c r="G14" s="61">
        <f>IF(COUNTIFS(구역11!G4:G73,"타교회",구역11!E4:E73,"*"&amp;$B31&amp;"*")+COUNTIFS(구역11!J4:J73,"*타교회*",구역11!E4:E73,"*"&amp;$B31&amp;"*")=0,"",COUNTIFS(구역11!G4:G73,"타교회",구역11!E4:E73,"*"&amp;$B31&amp;"*")+COUNTIFS(구역11!J4:J73,"*타교회*",구역11!E4:E73,"*"&amp;$B31&amp;"*"))</f>
        <v/>
      </c>
      <c r="H14" s="61">
        <f>IF(COUNTIFS(구역11!F4:F73,"개인차",구역11!E4:E73,"*"&amp;$B31&amp;"*")+(COUNTIFS(구역11!H4:H73,"?*",구역11!E4:E73,"*"&amp;$B31&amp;"*")-COUNTIFS(구역11!H4:H73,"*교회차*",구역11!E4:E73,"*"&amp;$B31&amp;"*")-COUNTIFS(구역11!H4:H73,"*타교회*",구역11!E4:E73,"*"&amp;$B31&amp;"*")-COUNTIFS(구역11!H4:H73,"*대중교통*",구역11!E4:E73,"*"&amp;$B31&amp;"*"))=0,"",COUNTIFS(구역11!F4:F73,"개인차",구역11!E4:E73,"*"&amp;$B31&amp;"*")+(COUNTIFS(구역11!H4:H73,"?*",구역11!E4:E73,"*"&amp;$B31&amp;"*")-COUNTIFS(구역11!H4:H73,"*교회차*",구역11!E4:E73,"*"&amp;$B31&amp;"*")-COUNTIFS(구역11!H4:H73,"*타교회*",구역11!E4:E73,"*"&amp;$B31&amp;"*")-COUNTIFS(구역11!H4:H73,"*대중교통*",구역11!E4:E73,"*"&amp;$B31&amp;"*")))</f>
        <v/>
      </c>
      <c r="I14" s="61">
        <f>IF(COUNTIFS(구역11!G4:G73,"개인차",구역11!E4:E73,"*"&amp;$B31&amp;"*")+(COUNTIFS(구역11!J4:J73,"?*",구역11!E4:E73,"*"&amp;$B31&amp;"*")-COUNTIFS(구역11!J4:J73,"*교회차*",구역11!E4:E73,"*"&amp;$B31&amp;"*")-COUNTIFS(구역11!J4:J73,"*타교회*",구역11!E4:E73,"*"&amp;$B31&amp;"*")-COUNTIFS(구역11!J4:J73,"*대중교통*",구역11!E4:E73,"*"&amp;$B31&amp;"*"))=0,"",COUNTIFS(구역11!G4:G73,"개인차",구역11!E4:E73,"*"&amp;$B31&amp;"*")+(COUNTIFS(구역11!J4:J73,"?*",구역11!E4:E73,"*"&amp;$B31&amp;"*")-COUNTIFS(구역11!J4:J73,"*교회차*",구역11!E4:E73,"*"&amp;$B31&amp;"*")-COUNTIFS(구역11!J4:J73,"*타교회*",구역11!E4:E73,"*"&amp;$B31&amp;"*")-COUNTIFS(구역11!J4:J73,"*대중교통*",구역11!E4:E73,"*"&amp;$B31&amp;"*")))</f>
        <v/>
      </c>
      <c r="J14" s="61">
        <f>IF(COUNTIFS(구역11!F4:F73,"대중교통",구역11!E4:E73,"*"&amp;$B31&amp;"*")+COUNTIFS(구역11!H4:H73,"*대중교통*",구역11!E4:E73,"*"&amp;$B31&amp;"*")=0,"",COUNTIFS(구역11!F4:F73,"대중교통",구역11!E4:E73,"*"&amp;$B31&amp;"*")+COUNTIFS(구역11!H4:H73,"*대중교통*",구역11!E4:E73,"*"&amp;$B31&amp;"*"))</f>
        <v/>
      </c>
      <c r="K14" s="61">
        <f>IF(COUNTIFS(구역11!G4:G73,"대중교통",구역11!E4:E73,"*"&amp;$B31&amp;"*")+COUNTIFS(구역11!J4:J73,"*대중교통*",구역11!E4:E73,"*"&amp;$B31&amp;"*")=0,"",COUNTIFS(구역11!G4:G73,"대중교통",구역11!E4:E73,"*"&amp;$B31&amp;"*")+COUNTIFS(구역11!J4:J73,"*대중교통*",구역11!E4:E73,"*"&amp;$B31&amp;"*"))</f>
        <v/>
      </c>
      <c r="L14" s="42">
        <f>IF(SUM(B14,D14,F14,H14,J14)=0,"",SUM(B14,D14,F14,H14,J14))</f>
        <v/>
      </c>
      <c r="M14" s="84" t="n"/>
      <c r="N14" s="81" t="n"/>
    </row>
    <row r="15">
      <c r="A15" s="32" t="inlineStr">
        <is>
          <t>구역12</t>
        </is>
      </c>
      <c r="B15" s="32">
        <f>IF(COUNTIFS(구역12!F4:F73,"1호차",구역12!E4:E73,"*"&amp;$B31&amp;"*")+COUNTIFS(구역12!F4:F73,"2호차",구역12!E4:E73,"*"&amp;$B31&amp;"*")+COUNTIFS(구역12!F4:F73,"3호차",구역12!E4:E73,"*"&amp;$B31&amp;"*")+COUNTIFS(구역12!F4:F73,"4호차",구역12!E4:E73,"*"&amp;$B31&amp;"*")+COUNTIFS(구역12!F4:F73,"5호차",구역12!E4:E73,"*"&amp;$B31&amp;"*")+COUNTIFS(구역12!F4:F73,"6호차",구역12!E4:E73,"*"&amp;$B31&amp;"*")+COUNTIFS(구역12!F4:F73,"7호차",구역12!E4:E73,"*"&amp;$B31&amp;"*")+COUNTIFS(구역12!F4:F73,"8호차",구역12!E4:E73,"*"&amp;$B31&amp;"*")+COUNTIFS(구역12!F4:F73,"9호차",구역12!E4:E73,"*"&amp;$B31&amp;"*")+COUNTIFS(구역12!F4:F73,"10호차",구역12!E4:E73,"*"&amp;$B31&amp;"*")=0,"",COUNTIFS(구역12!F4:F73,"1호차",구역12!E4:E73,"*"&amp;$B31&amp;"*")+COUNTIFS(구역12!F4:F73,"2호차",구역12!E4:E73,"*"&amp;$B31&amp;"*")+COUNTIFS(구역12!F4:F73,"3호차",구역12!E4:E73,"*"&amp;$B31&amp;"*")+COUNTIFS(구역12!F4:F73,"4호차",구역12!E4:E73,"*"&amp;$B31&amp;"*")+COUNTIFS(구역12!F4:F73,"5호차",구역12!E4:E73,"*"&amp;$B31&amp;"*")+COUNTIFS(구역12!F4:F73,"6호차",구역12!E4:E73,"*"&amp;$B31&amp;"*")+COUNTIFS(구역12!F4:F73,"7호차",구역12!E4:E73,"*"&amp;$B31&amp;"*")+COUNTIFS(구역12!F4:F73,"8호차",구역12!E4:E73,"*"&amp;$B31&amp;"*")+COUNTIFS(구역12!F4:F73,"9호차",구역12!E4:E73,"*"&amp;$B31&amp;"*")+COUNTIFS(구역12!F4:F73,"10호차",구역12!E4:E73,"*"&amp;$B31&amp;"*"))</f>
        <v/>
      </c>
      <c r="C15" s="32">
        <f>IF(COUNTIFS(구역12!G4:G73,"1호차",구역12!E4:E73,"*"&amp;$B31&amp;"*")+COUNTIFS(구역12!G4:G73,"2호차",구역12!E4:E73,"*"&amp;$B31&amp;"*")+COUNTIFS(구역12!G4:G73,"3호차",구역12!E4:E73,"*"&amp;$B31&amp;"*")+COUNTIFS(구역12!G4:G73,"4호차",구역12!E4:E73,"*"&amp;$B31&amp;"*")+COUNTIFS(구역12!G4:G73,"5호차",구역12!E4:E73,"*"&amp;$B31&amp;"*")+COUNTIFS(구역12!G4:G73,"6호차",구역12!E4:E73,"*"&amp;$B31&amp;"*")+COUNTIFS(구역12!G4:G73,"7호차",구역12!E4:E73,"*"&amp;$B31&amp;"*")+COUNTIFS(구역12!G4:G73,"8호차",구역12!E4:E73,"*"&amp;$B31&amp;"*")+COUNTIFS(구역12!G4:G73,"9호차",구역12!E4:E73,"*"&amp;$B31&amp;"*")+COUNTIFS(구역12!G4:G73,"10호차",구역12!E4:E73,"*"&amp;$B31&amp;"*")=0,"",COUNTIFS(구역12!G4:G73,"1호차",구역12!E4:E73,"*"&amp;$B31&amp;"*")+COUNTIFS(구역12!G4:G73,"2호차",구역12!E4:E73,"*"&amp;$B31&amp;"*")+COUNTIFS(구역12!G4:G73,"3호차",구역12!E4:E73,"*"&amp;$B31&amp;"*")+COUNTIFS(구역12!G4:G73,"4호차",구역12!E4:E73,"*"&amp;$B31&amp;"*")+COUNTIFS(구역12!G4:G73,"5호차",구역12!E4:E73,"*"&amp;$B31&amp;"*")+COUNTIFS(구역12!G4:G73,"6호차",구역12!E4:E73,"*"&amp;$B31&amp;"*")+COUNTIFS(구역12!G4:G73,"7호차",구역12!E4:E73,"*"&amp;$B31&amp;"*")+COUNTIFS(구역12!G4:G73,"8호차",구역12!E4:E73,"*"&amp;$B31&amp;"*")+COUNTIFS(구역12!G4:G73,"9호차",구역12!E4:E73,"*"&amp;$B31&amp;"*")+COUNTIFS(구역12!G4:G73,"10호차",구역12!E4:E73,"*"&amp;$B31&amp;"*"))</f>
        <v/>
      </c>
      <c r="D15" s="32">
        <f>IF(COUNTIFS(구역12!F4:F73,"교회차1",구역12!E4:E73,"*"&amp;$B31&amp;"*")+COUNTIFS(구역12!F4:F73,"교회차2",구역12!E4:E73,"*"&amp;$B31&amp;"*")+COUNTIFS(구역12!F4:F73,"교회차3",구역12!E4:E73,"*"&amp;$B31&amp;"*")+COUNTIFS(구역12!F4:F73,"교회차4",구역12!E4:E73,"*"&amp;$B31&amp;"*")+COUNTIFS(구역12!F4:F73,"교회차5",구역12!E4:E73,"*"&amp;$B31&amp;"*")+COUNTIFS(구역12!H4:H73,"*교회차*",구역12!E4:E73,"*"&amp;$B31&amp;"*")=0,"",COUNTIFS(구역12!F4:F73,"교회차1",구역12!E4:E73,"*"&amp;$B31&amp;"*")+COUNTIFS(구역12!F4:F73,"교회차2",구역12!E4:E73,"*"&amp;$B31&amp;"*")+COUNTIFS(구역12!F4:F73,"교회차3",구역12!E4:E73,"*"&amp;$B31&amp;"*")+COUNTIFS(구역12!F4:F73,"교회차4",구역12!E4:E73,"*"&amp;$B31&amp;"*")+COUNTIFS(구역12!F4:F73,"교회차5",구역12!E4:E73,"*"&amp;$B31&amp;"*")+COUNTIFS(구역12!H4:H73,"*교회차*",구역12!E4:E73,"*"&amp;$B31&amp;"*"))</f>
        <v/>
      </c>
      <c r="E15" s="32">
        <f>IF(COUNTIFS(구역12!G4:G73,"교회차1",구역12!E4:E73,"*"&amp;$B31&amp;"*")+COUNTIFS(구역12!G4:G73,"교회차2",구역12!E4:E73,"*"&amp;$B31&amp;"*")+COUNTIFS(구역12!G4:G73,"교회차3",구역12!E4:E73,"*"&amp;$B31&amp;"*")+COUNTIFS(구역12!G4:G73,"교회차4",구역12!E4:E73,"*"&amp;$B31&amp;"*")+COUNTIFS(구역12!G4:G73,"교회차5",구역12!E4:E73,"*"&amp;$B31&amp;"*")+COUNTIFS(구역12!J4:J73,"*교회차*",구역12!E4:E73,"*"&amp;$B31&amp;"*")=0,"",COUNTIFS(구역12!G4:G73,"교회차1",구역12!E4:E73,"*"&amp;$B31&amp;"*")+COUNTIFS(구역12!G4:G73,"교회차2",구역12!E4:E73,"*"&amp;$B31&amp;"*")+COUNTIFS(구역12!G4:G73,"교회차3",구역12!E4:E73,"*"&amp;$B31&amp;"*")+COUNTIFS(구역12!G4:G73,"교회차4",구역12!E4:E73,"*"&amp;$B31&amp;"*")+COUNTIFS(구역12!G4:G73,"교회차5",구역12!E4:E73,"*"&amp;$B31&amp;"*")+COUNTIFS(구역12!J4:J73,"*교회차*",구역12!E4:E73,"*"&amp;$B31&amp;"*"))</f>
        <v/>
      </c>
      <c r="F15" s="32">
        <f>IF(COUNTIFS(구역12!F4:F73,"타교회",구역12!E4:E73,"*"&amp;$B31&amp;"*")+COUNTIFS(구역12!H4:H73,"*타교회*",구역12!E4:E73,"*"&amp;$B31&amp;"*")=0,"",COUNTIFS(구역12!F4:F73,"타교회",구역12!E4:E73,"*"&amp;$B31&amp;"*")+COUNTIFS(구역12!H4:H73,"*타교회*",구역12!E4:E73,"*"&amp;$B31&amp;"*"))</f>
        <v/>
      </c>
      <c r="G15" s="32">
        <f>IF(COUNTIFS(구역12!G4:G73,"타교회",구역12!E4:E73,"*"&amp;$B31&amp;"*")+COUNTIFS(구역12!J4:J73,"*타교회*",구역12!E4:E73,"*"&amp;$B31&amp;"*")=0,"",COUNTIFS(구역12!G4:G73,"타교회",구역12!E4:E73,"*"&amp;$B31&amp;"*")+COUNTIFS(구역12!J4:J73,"*타교회*",구역12!E4:E73,"*"&amp;$B31&amp;"*"))</f>
        <v/>
      </c>
      <c r="H15" s="32">
        <f>IF(COUNTIFS(구역12!F4:F73,"개인차",구역12!E4:E73,"*"&amp;$B31&amp;"*")+(COUNTIFS(구역12!H4:H73,"?*",구역12!E4:E73,"*"&amp;$B31&amp;"*")-COUNTIFS(구역12!H4:H73,"*교회차*",구역12!E4:E73,"*"&amp;$B31&amp;"*")-COUNTIFS(구역12!H4:H73,"*타교회*",구역12!E4:E73,"*"&amp;$B31&amp;"*")-COUNTIFS(구역12!H4:H73,"*대중교통*",구역12!E4:E73,"*"&amp;$B31&amp;"*"))=0,"",COUNTIFS(구역12!F4:F73,"개인차",구역12!E4:E73,"*"&amp;$B31&amp;"*")+(COUNTIFS(구역12!H4:H73,"?*",구역12!E4:E73,"*"&amp;$B31&amp;"*")-COUNTIFS(구역12!H4:H73,"*교회차*",구역12!E4:E73,"*"&amp;$B31&amp;"*")-COUNTIFS(구역12!H4:H73,"*타교회*",구역12!E4:E73,"*"&amp;$B31&amp;"*")-COUNTIFS(구역12!H4:H73,"*대중교통*",구역12!E4:E73,"*"&amp;$B31&amp;"*")))</f>
        <v/>
      </c>
      <c r="I15" s="32">
        <f>IF(COUNTIFS(구역12!G4:G73,"개인차",구역12!E4:E73,"*"&amp;$B31&amp;"*")+(COUNTIFS(구역12!J4:J73,"?*",구역12!E4:E73,"*"&amp;$B31&amp;"*")-COUNTIFS(구역12!J4:J73,"*교회차*",구역12!E4:E73,"*"&amp;$B31&amp;"*")-COUNTIFS(구역12!J4:J73,"*타교회*",구역12!E4:E73,"*"&amp;$B31&amp;"*")-COUNTIFS(구역12!J4:J73,"*대중교통*",구역12!E4:E73,"*"&amp;$B31&amp;"*"))=0,"",COUNTIFS(구역12!G4:G73,"개인차",구역12!E4:E73,"*"&amp;$B31&amp;"*")+(COUNTIFS(구역12!J4:J73,"?*",구역12!E4:E73,"*"&amp;$B31&amp;"*")-COUNTIFS(구역12!J4:J73,"*교회차*",구역12!E4:E73,"*"&amp;$B31&amp;"*")-COUNTIFS(구역12!J4:J73,"*타교회*",구역12!E4:E73,"*"&amp;$B31&amp;"*")-COUNTIFS(구역12!J4:J73,"*대중교통*",구역12!E4:E73,"*"&amp;$B31&amp;"*")))</f>
        <v/>
      </c>
      <c r="J15" s="32">
        <f>IF(COUNTIFS(구역12!F4:F73,"대중교통",구역12!E4:E73,"*"&amp;$B31&amp;"*")+COUNTIFS(구역12!H4:H73,"*대중교통*",구역12!E4:E73,"*"&amp;$B31&amp;"*")=0,"",COUNTIFS(구역12!F4:F73,"대중교통",구역12!E4:E73,"*"&amp;$B31&amp;"*")+COUNTIFS(구역12!H4:H73,"*대중교통*",구역12!E4:E73,"*"&amp;$B31&amp;"*"))</f>
        <v/>
      </c>
      <c r="K15" s="32">
        <f>IF(COUNTIFS(구역12!G4:G73,"대중교통",구역12!E4:E73,"*"&amp;$B31&amp;"*")+COUNTIFS(구역12!J4:J73,"*대중교통*",구역12!E4:E73,"*"&amp;$B31&amp;"*")=0,"",COUNTIFS(구역12!G4:G73,"대중교통",구역12!E4:E73,"*"&amp;$B31&amp;"*")+COUNTIFS(구역12!J4:J73,"*대중교통*",구역12!E4:E73,"*"&amp;$B31&amp;"*"))</f>
        <v/>
      </c>
      <c r="L15" s="42">
        <f>IF(SUM(B15,D15,F15,H15,J15)=0,"",SUM(B15,D15,F15,H15,J15))</f>
        <v/>
      </c>
      <c r="M15" s="85" t="n"/>
      <c r="N15" s="81" t="n"/>
    </row>
    <row r="16" ht="19.4" customHeight="1" s="33">
      <c r="A16" s="62" t="inlineStr">
        <is>
          <t>구역13</t>
        </is>
      </c>
      <c r="B16" s="32">
        <f>IF(COUNTIFS(구역13!F4:F73,"1호차",구역13!E4:E73,"*"&amp;$B31&amp;"*")+COUNTIFS(구역13!F4:F73,"2호차",구역13!E4:E73,"*"&amp;$B31&amp;"*")+COUNTIFS(구역13!F4:F73,"3호차",구역13!E4:E73,"*"&amp;$B31&amp;"*")+COUNTIFS(구역13!F4:F73,"4호차",구역13!E4:E73,"*"&amp;$B31&amp;"*")+COUNTIFS(구역13!F4:F73,"5호차",구역13!E4:E73,"*"&amp;$B31&amp;"*")+COUNTIFS(구역13!F4:F73,"6호차",구역13!E4:E73,"*"&amp;$B31&amp;"*")+COUNTIFS(구역13!F4:F73,"7호차",구역13!E4:E73,"*"&amp;$B31&amp;"*")+COUNTIFS(구역13!F4:F73,"8호차",구역13!E4:E73,"*"&amp;$B31&amp;"*")+COUNTIFS(구역13!F4:F73,"9호차",구역13!E4:E73,"*"&amp;$B31&amp;"*")+COUNTIFS(구역13!F4:F73,"10호차",구역13!E4:E73,"*"&amp;$B31&amp;"*")=0,"",COUNTIFS(구역13!F4:F73,"1호차",구역13!E4:E73,"*"&amp;$B31&amp;"*")+COUNTIFS(구역13!F4:F73,"2호차",구역13!E4:E73,"*"&amp;$B31&amp;"*")+COUNTIFS(구역13!F4:F73,"3호차",구역13!E4:E73,"*"&amp;$B31&amp;"*")+COUNTIFS(구역13!F4:F73,"4호차",구역13!E4:E73,"*"&amp;$B31&amp;"*")+COUNTIFS(구역13!F4:F73,"5호차",구역13!E4:E73,"*"&amp;$B31&amp;"*")+COUNTIFS(구역13!F4:F73,"6호차",구역13!E4:E73,"*"&amp;$B31&amp;"*")+COUNTIFS(구역13!F4:F73,"7호차",구역13!E4:E73,"*"&amp;$B31&amp;"*")+COUNTIFS(구역13!F4:F73,"8호차",구역13!E4:E73,"*"&amp;$B31&amp;"*")+COUNTIFS(구역13!F4:F73,"9호차",구역13!E4:E73,"*"&amp;$B31&amp;"*")+COUNTIFS(구역13!F4:F73,"10호차",구역13!E4:E73,"*"&amp;$B31&amp;"*"))</f>
        <v/>
      </c>
      <c r="C16" s="32">
        <f>IF(COUNTIFS(구역13!G4:G73,"1호차",구역13!E4:E73,"*"&amp;$B31&amp;"*")+COUNTIFS(구역13!G4:G73,"2호차",구역13!E4:E73,"*"&amp;$B31&amp;"*")+COUNTIFS(구역13!G4:G73,"3호차",구역13!E4:E73,"*"&amp;$B31&amp;"*")+COUNTIFS(구역13!G4:G73,"4호차",구역13!E4:E73,"*"&amp;$B31&amp;"*")+COUNTIFS(구역13!G4:G73,"5호차",구역13!E4:E73,"*"&amp;$B31&amp;"*")+COUNTIFS(구역13!G4:G73,"6호차",구역13!E4:E73,"*"&amp;$B31&amp;"*")+COUNTIFS(구역13!G4:G73,"7호차",구역13!E4:E73,"*"&amp;$B31&amp;"*")+COUNTIFS(구역13!G4:G73,"8호차",구역13!E4:E73,"*"&amp;$B31&amp;"*")+COUNTIFS(구역13!G4:G73,"9호차",구역13!E4:E73,"*"&amp;$B31&amp;"*")+COUNTIFS(구역13!G4:G73,"10호차",구역13!E4:E73,"*"&amp;$B31&amp;"*")=0,"",COUNTIFS(구역13!G4:G73,"1호차",구역13!E4:E73,"*"&amp;$B31&amp;"*")+COUNTIFS(구역13!G4:G73,"2호차",구역13!E4:E73,"*"&amp;$B31&amp;"*")+COUNTIFS(구역13!G4:G73,"3호차",구역13!E4:E73,"*"&amp;$B31&amp;"*")+COUNTIFS(구역13!G4:G73,"4호차",구역13!E4:E73,"*"&amp;$B31&amp;"*")+COUNTIFS(구역13!G4:G73,"5호차",구역13!E4:E73,"*"&amp;$B31&amp;"*")+COUNTIFS(구역13!G4:G73,"6호차",구역13!E4:E73,"*"&amp;$B31&amp;"*")+COUNTIFS(구역13!G4:G73,"7호차",구역13!E4:E73,"*"&amp;$B31&amp;"*")+COUNTIFS(구역13!G4:G73,"8호차",구역13!E4:E73,"*"&amp;$B31&amp;"*")+COUNTIFS(구역13!G4:G73,"9호차",구역13!E4:E73,"*"&amp;$B31&amp;"*")+COUNTIFS(구역13!G4:G73,"10호차",구역13!E4:E73,"*"&amp;$B31&amp;"*"))</f>
        <v/>
      </c>
      <c r="D16" s="32">
        <f>IF(COUNTIFS(구역13!F4:F73,"교회차1",구역13!E4:E73,"*"&amp;$B31&amp;"*")+COUNTIFS(구역13!F4:F73,"교회차2",구역13!E4:E73,"*"&amp;$B31&amp;"*")+COUNTIFS(구역13!F4:F73,"교회차3",구역13!E4:E73,"*"&amp;$B31&amp;"*")+COUNTIFS(구역13!F4:F73,"교회차4",구역13!E4:E73,"*"&amp;$B31&amp;"*")+COUNTIFS(구역13!F4:F73,"교회차5",구역13!E4:E73,"*"&amp;$B31&amp;"*")+COUNTIFS(구역13!H4:H73,"*교회차*",구역13!E4:E73,"*"&amp;$B31&amp;"*")=0,"",COUNTIFS(구역13!F4:F73,"교회차1",구역13!E4:E73,"*"&amp;$B31&amp;"*")+COUNTIFS(구역13!F4:F73,"교회차2",구역13!E4:E73,"*"&amp;$B31&amp;"*")+COUNTIFS(구역13!F4:F73,"교회차3",구역13!E4:E73,"*"&amp;$B31&amp;"*")+COUNTIFS(구역13!F4:F73,"교회차4",구역13!E4:E73,"*"&amp;$B31&amp;"*")+COUNTIFS(구역13!F4:F73,"교회차5",구역13!E4:E73,"*"&amp;$B31&amp;"*")+COUNTIFS(구역13!H4:H73,"*교회차*",구역13!E4:E73,"*"&amp;$B31&amp;"*"))</f>
        <v/>
      </c>
      <c r="E16" s="32">
        <f>IF(COUNTIFS(구역13!G4:G73,"교회차1",구역13!E4:E73,"*"&amp;$B31&amp;"*")+COUNTIFS(구역13!G4:G73,"교회차2",구역13!E4:E73,"*"&amp;$B31&amp;"*")+COUNTIFS(구역13!G4:G73,"교회차3",구역13!E4:E73,"*"&amp;$B31&amp;"*")+COUNTIFS(구역13!G4:G73,"교회차4",구역13!E4:E73,"*"&amp;$B31&amp;"*")+COUNTIFS(구역13!G4:G73,"교회차5",구역13!E4:E73,"*"&amp;$B31&amp;"*")+COUNTIFS(구역13!J4:J73,"*교회차*",구역13!E4:E73,"*"&amp;$B31&amp;"*")=0,"",COUNTIFS(구역13!G4:G73,"교회차1",구역13!E4:E73,"*"&amp;$B31&amp;"*")+COUNTIFS(구역13!G4:G73,"교회차2",구역13!E4:E73,"*"&amp;$B31&amp;"*")+COUNTIFS(구역13!G4:G73,"교회차3",구역13!E4:E73,"*"&amp;$B31&amp;"*")+COUNTIFS(구역13!G4:G73,"교회차4",구역13!E4:E73,"*"&amp;$B31&amp;"*")+COUNTIFS(구역13!G4:G73,"교회차5",구역13!E4:E73,"*"&amp;$B31&amp;"*")+COUNTIFS(구역13!J4:J73,"*교회차*",구역13!E4:E73,"*"&amp;$B31&amp;"*"))</f>
        <v/>
      </c>
      <c r="F16" s="32">
        <f>IF(COUNTIFS(구역13!F4:F73,"타교회",구역13!E4:E73,"*"&amp;$B31&amp;"*")+COUNTIFS(구역13!H4:H73,"*타교회*",구역13!E4:E73,"*"&amp;$B31&amp;"*")=0,"",COUNTIFS(구역13!F4:F73,"타교회",구역13!E4:E73,"*"&amp;$B31&amp;"*")+COUNTIFS(구역13!H4:H73,"*타교회*",구역13!E4:E73,"*"&amp;$B31&amp;"*"))</f>
        <v/>
      </c>
      <c r="G16" s="32">
        <f>IF(COUNTIFS(구역13!G4:G73,"타교회",구역13!E4:E73,"*"&amp;$B31&amp;"*")+COUNTIFS(구역13!J4:J73,"*타교회*",구역13!E4:E73,"*"&amp;$B31&amp;"*")=0,"",COUNTIFS(구역13!G4:G73,"타교회",구역13!E4:E73,"*"&amp;$B31&amp;"*")+COUNTIFS(구역13!J4:J73,"*타교회*",구역13!E4:E73,"*"&amp;$B31&amp;"*"))</f>
        <v/>
      </c>
      <c r="H16" s="32">
        <f>IF(COUNTIFS(구역13!F4:F73,"개인차",구역13!E4:E73,"*"&amp;$B31&amp;"*")+(COUNTIFS(구역13!H4:H73,"?*",구역13!E4:E73,"*"&amp;$B31&amp;"*")-COUNTIFS(구역13!H4:H73,"*교회차*",구역13!E4:E73,"*"&amp;$B31&amp;"*")-COUNTIFS(구역13!H4:H73,"*타교회*",구역13!E4:E73,"*"&amp;$B31&amp;"*")-COUNTIFS(구역13!H4:H73,"*대중교통*",구역13!E4:E73,"*"&amp;$B31&amp;"*"))=0,"",COUNTIFS(구역13!F4:F73,"개인차",구역13!E4:E73,"*"&amp;$B31&amp;"*")+(COUNTIFS(구역13!H4:H73,"?*",구역13!E4:E73,"*"&amp;$B31&amp;"*")-COUNTIFS(구역13!H4:H73,"*교회차*",구역13!E4:E73,"*"&amp;$B31&amp;"*")-COUNTIFS(구역13!H4:H73,"*타교회*",구역13!E4:E73,"*"&amp;$B31&amp;"*")-COUNTIFS(구역13!H4:H73,"*대중교통*",구역13!E4:E73,"*"&amp;$B31&amp;"*")))</f>
        <v/>
      </c>
      <c r="I16" s="32">
        <f>IF(COUNTIFS(구역13!G4:G73,"개인차",구역13!E4:E73,"*"&amp;$B31&amp;"*")+(COUNTIFS(구역13!J4:J73,"?*",구역13!E4:E73,"*"&amp;$B31&amp;"*")-COUNTIFS(구역13!J4:J73,"*교회차*",구역13!E4:E73,"*"&amp;$B31&amp;"*")-COUNTIFS(구역13!J4:J73,"*타교회*",구역13!E4:E73,"*"&amp;$B31&amp;"*")-COUNTIFS(구역13!J4:J73,"*대중교통*",구역13!E4:E73,"*"&amp;$B31&amp;"*"))=0,"",COUNTIFS(구역13!G4:G73,"개인차",구역13!E4:E73,"*"&amp;$B31&amp;"*")+(COUNTIFS(구역13!J4:J73,"?*",구역13!E4:E73,"*"&amp;$B31&amp;"*")-COUNTIFS(구역13!J4:J73,"*교회차*",구역13!E4:E73,"*"&amp;$B31&amp;"*")-COUNTIFS(구역13!J4:J73,"*타교회*",구역13!E4:E73,"*"&amp;$B31&amp;"*")-COUNTIFS(구역13!J4:J73,"*대중교통*",구역13!E4:E73,"*"&amp;$B31&amp;"*")))</f>
        <v/>
      </c>
      <c r="J16" s="32">
        <f>IF(COUNTIFS(구역13!F4:F73,"대중교통",구역13!E4:E73,"*"&amp;$B31&amp;"*")+COUNTIFS(구역13!H4:H73,"*대중교통*",구역13!E4:E73,"*"&amp;$B31&amp;"*")=0,"",COUNTIFS(구역13!F4:F73,"대중교통",구역13!E4:E73,"*"&amp;$B31&amp;"*")+COUNTIFS(구역13!H4:H73,"*대중교통*",구역13!E4:E73,"*"&amp;$B31&amp;"*"))</f>
        <v/>
      </c>
      <c r="K16" s="32">
        <f>IF(COUNTIFS(구역13!G4:G73,"대중교통",구역13!E4:E73,"*"&amp;$B31&amp;"*")+COUNTIFS(구역13!J4:J73,"*대중교통*",구역13!E4:E73,"*"&amp;$B31&amp;"*")=0,"",COUNTIFS(구역13!G4:G73,"대중교통",구역13!E4:E73,"*"&amp;$B31&amp;"*")+COUNTIFS(구역13!J4:J73,"*대중교통*",구역13!E4:E73,"*"&amp;$B31&amp;"*"))</f>
        <v/>
      </c>
      <c r="L16" s="42">
        <f>IF(SUM(B16,D16,F16,H16,J16)=0,"",SUM(B16,D16,F16,H16,J16))</f>
        <v/>
      </c>
      <c r="M16" s="85" t="n"/>
      <c r="N16" s="81" t="n"/>
    </row>
    <row r="17" ht="15" customHeight="1" s="33">
      <c r="A17" s="49" t="inlineStr">
        <is>
          <t>구역14</t>
        </is>
      </c>
      <c r="B17" s="48">
        <f>IF(COUNTIFS(구역14!F4:F73,"1호차",구역14!E4:E73,"*"&amp;$B31&amp;"*")+COUNTIFS(구역14!F4:F73,"2호차",구역14!E4:E73,"*"&amp;$B31&amp;"*")+COUNTIFS(구역14!F4:F73,"3호차",구역14!E4:E73,"*"&amp;$B31&amp;"*")+COUNTIFS(구역14!F4:F73,"4호차",구역14!E4:E73,"*"&amp;$B31&amp;"*")+COUNTIFS(구역14!F4:F73,"5호차",구역14!E4:E73,"*"&amp;$B31&amp;"*")+COUNTIFS(구역14!F4:F73,"6호차",구역14!E4:E73,"*"&amp;$B31&amp;"*")+COUNTIFS(구역14!F4:F73,"7호차",구역14!E4:E73,"*"&amp;$B31&amp;"*")+COUNTIFS(구역14!F4:F73,"8호차",구역14!E4:E73,"*"&amp;$B31&amp;"*")+COUNTIFS(구역14!F4:F73,"9호차",구역14!E4:E73,"*"&amp;$B31&amp;"*")+COUNTIFS(구역14!F4:F73,"10호차",구역14!E4:E73,"*"&amp;$B31&amp;"*")=0,"",COUNTIFS(구역14!F4:F73,"1호차",구역14!E4:E73,"*"&amp;$B31&amp;"*")+COUNTIFS(구역14!F4:F73,"2호차",구역14!E4:E73,"*"&amp;$B31&amp;"*")+COUNTIFS(구역14!F4:F73,"3호차",구역14!E4:E73,"*"&amp;$B31&amp;"*")+COUNTIFS(구역14!F4:F73,"4호차",구역14!E4:E73,"*"&amp;$B31&amp;"*")+COUNTIFS(구역14!F4:F73,"5호차",구역14!E4:E73,"*"&amp;$B31&amp;"*")+COUNTIFS(구역14!F4:F73,"6호차",구역14!E4:E73,"*"&amp;$B31&amp;"*")+COUNTIFS(구역14!F4:F73,"7호차",구역14!E4:E73,"*"&amp;$B31&amp;"*")+COUNTIFS(구역14!F4:F73,"8호차",구역14!E4:E73,"*"&amp;$B31&amp;"*")+COUNTIFS(구역14!F4:F73,"9호차",구역14!E4:E73,"*"&amp;$B31&amp;"*")+COUNTIFS(구역14!F4:F73,"10호차",구역14!E4:E73,"*"&amp;$B31&amp;"*"))</f>
        <v/>
      </c>
      <c r="C17" s="48">
        <f>IF(COUNTIFS(구역14!G4:G73,"1호차",구역14!E4:E73,"*"&amp;$B31&amp;"*")+COUNTIFS(구역14!G4:G73,"2호차",구역14!E4:E73,"*"&amp;$B31&amp;"*")+COUNTIFS(구역14!G4:G73,"3호차",구역14!E4:E73,"*"&amp;$B31&amp;"*")+COUNTIFS(구역14!G4:G73,"4호차",구역14!E4:E73,"*"&amp;$B31&amp;"*")+COUNTIFS(구역14!G4:G73,"5호차",구역14!E4:E73,"*"&amp;$B31&amp;"*")+COUNTIFS(구역14!G4:G73,"6호차",구역14!E4:E73,"*"&amp;$B31&amp;"*")+COUNTIFS(구역14!G4:G73,"7호차",구역14!E4:E73,"*"&amp;$B31&amp;"*")+COUNTIFS(구역14!G4:G73,"8호차",구역14!E4:E73,"*"&amp;$B31&amp;"*")+COUNTIFS(구역14!G4:G73,"9호차",구역14!E4:E73,"*"&amp;$B31&amp;"*")+COUNTIFS(구역14!G4:G73,"10호차",구역14!E4:E73,"*"&amp;$B31&amp;"*")=0,"",COUNTIFS(구역14!G4:G73,"1호차",구역14!E4:E73,"*"&amp;$B31&amp;"*")+COUNTIFS(구역14!G4:G73,"2호차",구역14!E4:E73,"*"&amp;$B31&amp;"*")+COUNTIFS(구역14!G4:G73,"3호차",구역14!E4:E73,"*"&amp;$B31&amp;"*")+COUNTIFS(구역14!G4:G73,"4호차",구역14!E4:E73,"*"&amp;$B31&amp;"*")+COUNTIFS(구역14!G4:G73,"5호차",구역14!E4:E73,"*"&amp;$B31&amp;"*")+COUNTIFS(구역14!G4:G73,"6호차",구역14!E4:E73,"*"&amp;$B31&amp;"*")+COUNTIFS(구역14!G4:G73,"7호차",구역14!E4:E73,"*"&amp;$B31&amp;"*")+COUNTIFS(구역14!G4:G73,"8호차",구역14!E4:E73,"*"&amp;$B31&amp;"*")+COUNTIFS(구역14!G4:G73,"9호차",구역14!E4:E73,"*"&amp;$B31&amp;"*")+COUNTIFS(구역14!G4:G73,"10호차",구역14!E4:E73,"*"&amp;$B31&amp;"*"))</f>
        <v/>
      </c>
      <c r="D17" s="48">
        <f>IF(COUNTIFS(구역14!F4:F73,"교회차1",구역14!E4:E73,"*"&amp;$B31&amp;"*")+COUNTIFS(구역14!F4:F73,"교회차2",구역14!E4:E73,"*"&amp;$B31&amp;"*")+COUNTIFS(구역14!F4:F73,"교회차3",구역14!E4:E73,"*"&amp;$B31&amp;"*")+COUNTIFS(구역14!F4:F73,"교회차4",구역14!E4:E73,"*"&amp;$B31&amp;"*")+COUNTIFS(구역14!F4:F73,"교회차5",구역14!E4:E73,"*"&amp;$B31&amp;"*")+COUNTIFS(구역14!H4:H73,"*교회차*",구역14!E4:E73,"*"&amp;$B31&amp;"*")=0,"",COUNTIFS(구역14!F4:F73,"교회차1",구역14!E4:E73,"*"&amp;$B31&amp;"*")+COUNTIFS(구역14!F4:F73,"교회차2",구역14!E4:E73,"*"&amp;$B31&amp;"*")+COUNTIFS(구역14!F4:F73,"교회차3",구역14!E4:E73,"*"&amp;$B31&amp;"*")+COUNTIFS(구역14!F4:F73,"교회차4",구역14!E4:E73,"*"&amp;$B31&amp;"*")+COUNTIFS(구역14!F4:F73,"교회차5",구역14!E4:E73,"*"&amp;$B31&amp;"*")+COUNTIFS(구역14!H4:H73,"*교회차*",구역14!E4:E73,"*"&amp;$B31&amp;"*"))</f>
        <v/>
      </c>
      <c r="E17" s="48">
        <f>IF(COUNTIFS(구역14!G4:G73,"교회차1",구역14!E4:E73,"*"&amp;$B31&amp;"*")+COUNTIFS(구역14!G4:G73,"교회차2",구역14!E4:E73,"*"&amp;$B31&amp;"*")+COUNTIFS(구역14!G4:G73,"교회차3",구역14!E4:E73,"*"&amp;$B31&amp;"*")+COUNTIFS(구역14!G4:G73,"교회차4",구역14!E4:E73,"*"&amp;$B31&amp;"*")+COUNTIFS(구역14!G4:G73,"교회차5",구역14!E4:E73,"*"&amp;$B31&amp;"*")+COUNTIFS(구역14!J4:J73,"*교회차*",구역14!E4:E73,"*"&amp;$B31&amp;"*")=0,"",COUNTIFS(구역14!G4:G73,"교회차1",구역14!E4:E73,"*"&amp;$B31&amp;"*")+COUNTIFS(구역14!G4:G73,"교회차2",구역14!E4:E73,"*"&amp;$B31&amp;"*")+COUNTIFS(구역14!G4:G73,"교회차3",구역14!E4:E73,"*"&amp;$B31&amp;"*")+COUNTIFS(구역14!G4:G73,"교회차4",구역14!E4:E73,"*"&amp;$B31&amp;"*")+COUNTIFS(구역14!G4:G73,"교회차5",구역14!E4:E73,"*"&amp;$B31&amp;"*")+COUNTIFS(구역14!J4:J73,"*교회차*",구역14!E4:E73,"*"&amp;$B31&amp;"*"))</f>
        <v/>
      </c>
      <c r="F17" s="48">
        <f>IF(COUNTIFS(구역14!F4:F73,"타교회",구역14!E4:E73,"*"&amp;$B31&amp;"*")+COUNTIFS(구역14!H4:H73,"*타교회*",구역14!E4:E73,"*"&amp;$B31&amp;"*")=0,"",COUNTIFS(구역14!F4:F73,"타교회",구역14!E4:E73,"*"&amp;$B31&amp;"*")+COUNTIFS(구역14!H4:H73,"*타교회*",구역14!E4:E73,"*"&amp;$B31&amp;"*"))</f>
        <v/>
      </c>
      <c r="G17" s="48">
        <f>IF(COUNTIFS(구역14!G4:G73,"타교회",구역14!E4:E73,"*"&amp;$B31&amp;"*")+COUNTIFS(구역14!J4:J73,"*타교회*",구역14!E4:E73,"*"&amp;$B31&amp;"*")=0,"",COUNTIFS(구역14!G4:G73,"타교회",구역14!E4:E73,"*"&amp;$B31&amp;"*")+COUNTIFS(구역14!J4:J73,"*타교회*",구역14!E4:E73,"*"&amp;$B31&amp;"*"))</f>
        <v/>
      </c>
      <c r="H17" s="48">
        <f>IF(COUNTIFS(구역14!F4:F73,"개인차",구역14!E4:E73,"*"&amp;$B31&amp;"*")+(COUNTIFS(구역14!H4:H73,"?*",구역14!E4:E73,"*"&amp;$B31&amp;"*")-COUNTIFS(구역14!H4:H73,"*교회차*",구역14!E4:E73,"*"&amp;$B31&amp;"*")-COUNTIFS(구역14!H4:H73,"*타교회*",구역14!E4:E73,"*"&amp;$B31&amp;"*")-COUNTIFS(구역14!H4:H73,"*대중교통*",구역14!E4:E73,"*"&amp;$B31&amp;"*"))=0,"",COUNTIFS(구역14!F4:F73,"개인차",구역14!E4:E73,"*"&amp;$B31&amp;"*")+(COUNTIFS(구역14!H4:H73,"?*",구역14!E4:E73,"*"&amp;$B31&amp;"*")-COUNTIFS(구역14!H4:H73,"*교회차*",구역14!E4:E73,"*"&amp;$B31&amp;"*")-COUNTIFS(구역14!H4:H73,"*타교회*",구역14!E4:E73,"*"&amp;$B31&amp;"*")-COUNTIFS(구역14!H4:H73,"*대중교통*",구역14!E4:E73,"*"&amp;$B31&amp;"*")))</f>
        <v/>
      </c>
      <c r="I17" s="48">
        <f>IF(COUNTIFS(구역14!G4:G73,"개인차",구역14!E4:E73,"*"&amp;$B31&amp;"*")+(COUNTIFS(구역14!J4:J73,"?*",구역14!E4:E73,"*"&amp;$B31&amp;"*")-COUNTIFS(구역14!J4:J73,"*교회차*",구역14!E4:E73,"*"&amp;$B31&amp;"*")-COUNTIFS(구역14!J4:J73,"*타교회*",구역14!E4:E73,"*"&amp;$B31&amp;"*")-COUNTIFS(구역14!J4:J73,"*대중교통*",구역14!E4:E73,"*"&amp;$B31&amp;"*"))=0,"",COUNTIFS(구역14!G4:G73,"개인차",구역14!E4:E73,"*"&amp;$B31&amp;"*")+(COUNTIFS(구역14!J4:J73,"?*",구역14!E4:E73,"*"&amp;$B31&amp;"*")-COUNTIFS(구역14!J4:J73,"*교회차*",구역14!E4:E73,"*"&amp;$B31&amp;"*")-COUNTIFS(구역14!J4:J73,"*타교회*",구역14!E4:E73,"*"&amp;$B31&amp;"*")-COUNTIFS(구역14!J4:J73,"*대중교통*",구역14!E4:E73,"*"&amp;$B31&amp;"*")))</f>
        <v/>
      </c>
      <c r="J17" s="49">
        <f>IF(COUNTIFS(구역14!F4:F73,"대중교통",구역14!E4:E73,"*"&amp;$B31&amp;"*")+COUNTIFS(구역14!H4:H73,"*대중교통*",구역14!E4:E73,"*"&amp;$B31&amp;"*")=0,"",COUNTIFS(구역14!F4:F73,"대중교통",구역14!E4:E73,"*"&amp;$B31&amp;"*")+COUNTIFS(구역14!H4:H73,"*대중교통*",구역14!E4:E73,"*"&amp;$B31&amp;"*"))</f>
        <v/>
      </c>
      <c r="K17" s="32">
        <f>IF(COUNTIFS(구역14!G4:G73,"대중교통",구역14!E4:E73,"*"&amp;$B31&amp;"*")+COUNTIFS(구역14!J4:J73,"*대중교통*",구역14!E4:E73,"*"&amp;$B31&amp;"*")=0,"",COUNTIFS(구역14!G4:G73,"대중교통",구역14!E4:E73,"*"&amp;$B31&amp;"*")+COUNTIFS(구역14!J4:J73,"*대중교통*",구역14!E4:E73,"*"&amp;$B31&amp;"*"))</f>
        <v/>
      </c>
      <c r="L17" s="42">
        <f>IF(SUM(B17,D17,F17,H17,J17)=0,"",SUM(B17,D17,F17,H17,J17))</f>
        <v/>
      </c>
      <c r="M17" s="81" t="n"/>
      <c r="N17" s="81" t="n"/>
    </row>
    <row r="18" ht="15" customHeight="1" s="33">
      <c r="A18" s="49" t="inlineStr">
        <is>
          <t>구역15</t>
        </is>
      </c>
      <c r="B18" s="32">
        <f>IF(COUNTIFS(구역15!F4:F73,"1호차",구역15!E4:E73,"*"&amp;$B31&amp;"*")+COUNTIFS(구역15!F4:F73,"2호차",구역15!E4:E73,"*"&amp;$B31&amp;"*")+COUNTIFS(구역15!F4:F73,"3호차",구역15!E4:E73,"*"&amp;$B31&amp;"*")+COUNTIFS(구역15!F4:F73,"4호차",구역15!E4:E73,"*"&amp;$B31&amp;"*")+COUNTIFS(구역15!F4:F73,"5호차",구역15!E4:E73,"*"&amp;$B31&amp;"*")+COUNTIFS(구역15!F4:F73,"6호차",구역15!E4:E73,"*"&amp;$B31&amp;"*")+COUNTIFS(구역15!F4:F73,"7호차",구역15!E4:E73,"*"&amp;$B31&amp;"*")+COUNTIFS(구역15!F4:F73,"8호차",구역15!E4:E73,"*"&amp;$B31&amp;"*")+COUNTIFS(구역15!F4:F73,"9호차",구역15!E4:E73,"*"&amp;$B31&amp;"*")+COUNTIFS(구역15!F4:F73,"10호차",구역15!E4:E73,"*"&amp;$B31&amp;"*")=0,"",COUNTIFS(구역15!F4:F73,"1호차",구역15!E4:E73,"*"&amp;$B31&amp;"*")+COUNTIFS(구역15!F4:F73,"2호차",구역15!E4:E73,"*"&amp;$B31&amp;"*")+COUNTIFS(구역15!F4:F73,"3호차",구역15!E4:E73,"*"&amp;$B31&amp;"*")+COUNTIFS(구역15!F4:F73,"4호차",구역15!E4:E73,"*"&amp;$B31&amp;"*")+COUNTIFS(구역15!F4:F73,"5호차",구역15!E4:E73,"*"&amp;$B31&amp;"*")+COUNTIFS(구역15!F4:F73,"6호차",구역15!E4:E73,"*"&amp;$B31&amp;"*")+COUNTIFS(구역15!F4:F73,"7호차",구역15!E4:E73,"*"&amp;$B31&amp;"*")+COUNTIFS(구역15!F4:F73,"8호차",구역15!E4:E73,"*"&amp;$B31&amp;"*")+COUNTIFS(구역15!F4:F73,"9호차",구역15!E4:E73,"*"&amp;$B31&amp;"*")+COUNTIFS(구역15!F4:F73,"10호차",구역15!E4:E73,"*"&amp;$B31&amp;"*"))</f>
        <v/>
      </c>
      <c r="C18" s="32">
        <f>IF(COUNTIFS(구역15!G4:G73,"1호차",구역15!E4:E73,"*"&amp;$B31&amp;"*")+COUNTIFS(구역15!G4:G73,"2호차",구역15!E4:E73,"*"&amp;$B31&amp;"*")+COUNTIFS(구역15!G4:G73,"3호차",구역15!E4:E73,"*"&amp;$B31&amp;"*")+COUNTIFS(구역15!G4:G73,"4호차",구역15!E4:E73,"*"&amp;$B31&amp;"*")+COUNTIFS(구역15!G4:G73,"5호차",구역15!E4:E73,"*"&amp;$B31&amp;"*")+COUNTIFS(구역15!G4:G73,"6호차",구역15!E4:E73,"*"&amp;$B31&amp;"*")+COUNTIFS(구역15!G4:G73,"7호차",구역15!E4:E73,"*"&amp;$B31&amp;"*")+COUNTIFS(구역15!G4:G73,"8호차",구역15!E4:E73,"*"&amp;$B31&amp;"*")+COUNTIFS(구역15!G4:G73,"9호차",구역15!E4:E73,"*"&amp;$B31&amp;"*")+COUNTIFS(구역15!G4:G73,"10호차",구역15!E4:E73,"*"&amp;$B31&amp;"*")=0,"",COUNTIFS(구역15!G4:G73,"1호차",구역15!E4:E73,"*"&amp;$B31&amp;"*")+COUNTIFS(구역15!G4:G73,"2호차",구역15!E4:E73,"*"&amp;$B31&amp;"*")+COUNTIFS(구역15!G4:G73,"3호차",구역15!E4:E73,"*"&amp;$B31&amp;"*")+COUNTIFS(구역15!G4:G73,"4호차",구역15!E4:E73,"*"&amp;$B31&amp;"*")+COUNTIFS(구역15!G4:G73,"5호차",구역15!E4:E73,"*"&amp;$B31&amp;"*")+COUNTIFS(구역15!G4:G73,"6호차",구역15!E4:E73,"*"&amp;$B31&amp;"*")+COUNTIFS(구역15!G4:G73,"7호차",구역15!E4:E73,"*"&amp;$B31&amp;"*")+COUNTIFS(구역15!G4:G73,"8호차",구역15!E4:E73,"*"&amp;$B31&amp;"*")+COUNTIFS(구역15!G4:G73,"9호차",구역15!E4:E73,"*"&amp;$B31&amp;"*")+COUNTIFS(구역15!G4:G73,"10호차",구역15!E4:E73,"*"&amp;$B31&amp;"*"))</f>
        <v/>
      </c>
      <c r="D18" s="32">
        <f>IF(COUNTIFS(구역15!F4:F73,"교회차1",구역15!E4:E73,"*"&amp;$B31&amp;"*")+COUNTIFS(구역15!F4:F73,"교회차2",구역15!E4:E73,"*"&amp;$B31&amp;"*")+COUNTIFS(구역15!F4:F73,"교회차3",구역15!E4:E73,"*"&amp;$B31&amp;"*")+COUNTIFS(구역15!F4:F73,"교회차4",구역15!E4:E73,"*"&amp;$B31&amp;"*")+COUNTIFS(구역15!F4:F73,"교회차5",구역15!E4:E73,"*"&amp;$B31&amp;"*")+COUNTIFS(구역15!H4:H73,"*교회차*",구역15!E4:E73,"*"&amp;$B31&amp;"*")=0,"",COUNTIFS(구역15!F4:F73,"교회차1",구역15!E4:E73,"*"&amp;$B31&amp;"*")+COUNTIFS(구역15!F4:F73,"교회차2",구역15!E4:E73,"*"&amp;$B31&amp;"*")+COUNTIFS(구역15!F4:F73,"교회차3",구역15!E4:E73,"*"&amp;$B31&amp;"*")+COUNTIFS(구역15!F4:F73,"교회차4",구역15!E4:E73,"*"&amp;$B31&amp;"*")+COUNTIFS(구역15!F4:F73,"교회차5",구역15!E4:E73,"*"&amp;$B31&amp;"*")+COUNTIFS(구역15!H4:H73,"*교회차*",구역15!E4:E73,"*"&amp;$B31&amp;"*"))</f>
        <v/>
      </c>
      <c r="E18" s="32">
        <f>IF(COUNTIFS(구역15!G4:G73,"교회차1",구역15!E4:E73,"*"&amp;$B31&amp;"*")+COUNTIFS(구역15!G4:G73,"교회차2",구역15!E4:E73,"*"&amp;$B31&amp;"*")+COUNTIFS(구역15!G4:G73,"교회차3",구역15!E4:E73,"*"&amp;$B31&amp;"*")+COUNTIFS(구역15!G4:G73,"교회차4",구역15!E4:E73,"*"&amp;$B31&amp;"*")+COUNTIFS(구역15!G4:G73,"교회차5",구역15!E4:E73,"*"&amp;$B31&amp;"*")+COUNTIFS(구역15!J4:J73,"*교회차*",구역15!E4:E73,"*"&amp;$B31&amp;"*")=0,"",COUNTIFS(구역15!G4:G73,"교회차1",구역15!E4:E73,"*"&amp;$B31&amp;"*")+COUNTIFS(구역15!G4:G73,"교회차2",구역15!E4:E73,"*"&amp;$B31&amp;"*")+COUNTIFS(구역15!G4:G73,"교회차3",구역15!E4:E73,"*"&amp;$B31&amp;"*")+COUNTIFS(구역15!G4:G73,"교회차4",구역15!E4:E73,"*"&amp;$B31&amp;"*")+COUNTIFS(구역15!G4:G73,"교회차5",구역15!E4:E73,"*"&amp;$B31&amp;"*")+COUNTIFS(구역15!J4:J73,"*교회차*",구역15!E4:E73,"*"&amp;$B31&amp;"*"))</f>
        <v/>
      </c>
      <c r="F18" s="32">
        <f>IF(COUNTIFS(구역15!F4:F73,"타교회",구역15!E4:E73,"*"&amp;$B31&amp;"*")+COUNTIFS(구역15!H4:H73,"*타교회*",구역15!E4:E73,"*"&amp;$B31&amp;"*")=0,"",COUNTIFS(구역15!F4:F73,"타교회",구역15!E4:E73,"*"&amp;$B31&amp;"*")+COUNTIFS(구역15!H4:H73,"*타교회*",구역15!E4:E73,"*"&amp;$B31&amp;"*"))</f>
        <v/>
      </c>
      <c r="G18" s="32">
        <f>IF(COUNTIFS(구역15!G4:G73,"타교회",구역15!E4:E73,"*"&amp;$B31&amp;"*")+COUNTIFS(구역15!J4:J73,"*타교회*",구역15!E4:E73,"*"&amp;$B31&amp;"*")=0,"",COUNTIFS(구역15!G4:G73,"타교회",구역15!E4:E73,"*"&amp;$B31&amp;"*")+COUNTIFS(구역15!J4:J73,"*타교회*",구역15!E4:E73,"*"&amp;$B31&amp;"*"))</f>
        <v/>
      </c>
      <c r="H18" s="32">
        <f>IF(COUNTIFS(구역15!F4:F73,"개인차",구역15!E4:E73,"*"&amp;$B31&amp;"*")+(COUNTIFS(구역15!H4:H73,"?*",구역15!E4:E73,"*"&amp;$B31&amp;"*")-COUNTIFS(구역15!H4:H73,"*교회차*",구역15!E4:E73,"*"&amp;$B31&amp;"*")-COUNTIFS(구역15!H4:H73,"*타교회*",구역15!E4:E73,"*"&amp;$B31&amp;"*")-COUNTIFS(구역15!H4:H73,"*대중교통*",구역15!E4:E73,"*"&amp;$B31&amp;"*"))=0,"",COUNTIFS(구역15!F4:F73,"개인차",구역15!E4:E73,"*"&amp;$B31&amp;"*")+(COUNTIFS(구역15!H4:H73,"?*",구역15!E4:E73,"*"&amp;$B31&amp;"*")-COUNTIFS(구역15!H4:H73,"*교회차*",구역15!E4:E73,"*"&amp;$B31&amp;"*")-COUNTIFS(구역15!H4:H73,"*타교회*",구역15!E4:E73,"*"&amp;$B31&amp;"*")-COUNTIFS(구역15!H4:H73,"*대중교통*",구역15!E4:E73,"*"&amp;$B31&amp;"*")))</f>
        <v/>
      </c>
      <c r="I18" s="32">
        <f>IF(COUNTIFS(구역15!G4:G73,"개인차",구역15!E4:E73,"*"&amp;$B31&amp;"*")+(COUNTIFS(구역15!J4:J73,"?*",구역15!E4:E73,"*"&amp;$B31&amp;"*")-COUNTIFS(구역15!J4:J73,"*교회차*",구역15!E4:E73,"*"&amp;$B31&amp;"*")-COUNTIFS(구역15!J4:J73,"*타교회*",구역15!E4:E73,"*"&amp;$B31&amp;"*")-COUNTIFS(구역15!J4:J73,"*대중교통*",구역15!E4:E73,"*"&amp;$B31&amp;"*"))=0,"",COUNTIFS(구역15!G4:G73,"개인차",구역15!E4:E73,"*"&amp;$B31&amp;"*")+(COUNTIFS(구역15!J4:J73,"?*",구역15!E4:E73,"*"&amp;$B31&amp;"*")-COUNTIFS(구역15!J4:J73,"*교회차*",구역15!E4:E73,"*"&amp;$B31&amp;"*")-COUNTIFS(구역15!J4:J73,"*타교회*",구역15!E4:E73,"*"&amp;$B31&amp;"*")-COUNTIFS(구역15!J4:J73,"*대중교통*",구역15!E4:E73,"*"&amp;$B31&amp;"*")))</f>
        <v/>
      </c>
      <c r="J18" s="32">
        <f>IF(COUNTIFS(구역15!F4:F73,"대중교통",구역15!E4:E73,"*"&amp;$B31&amp;"*")+COUNTIFS(구역15!H4:H73,"*대중교통*",구역15!E4:E73,"*"&amp;$B31&amp;"*")=0,"",COUNTIFS(구역15!F4:F73,"대중교통",구역15!E4:E73,"*"&amp;$B31&amp;"*")+COUNTIFS(구역15!H4:H73,"*대중교통*",구역15!E4:E73,"*"&amp;$B31&amp;"*"))</f>
        <v/>
      </c>
      <c r="K18" s="32">
        <f>IF(COUNTIFS(구역15!G4:G73,"대중교통",구역15!E4:E73,"*"&amp;$B31&amp;"*")+COUNTIFS(구역15!J4:J73,"*대중교통*",구역15!E4:E73,"*"&amp;$B31&amp;"*")=0,"",COUNTIFS(구역15!G4:G73,"대중교통",구역15!E4:E73,"*"&amp;$B31&amp;"*")+COUNTIFS(구역15!J4:J73,"*대중교통*",구역15!E4:E73,"*"&amp;$B31&amp;"*"))</f>
        <v/>
      </c>
      <c r="L18" s="42">
        <f>IF(SUM(B18,D18,F18,H18,J18)=0,"",SUM(B18,D18,F18,H18,J18))</f>
        <v/>
      </c>
      <c r="M18" s="81" t="n"/>
      <c r="N18" s="81" t="n"/>
    </row>
    <row r="19">
      <c r="A19" s="32" t="inlineStr">
        <is>
          <t>구역16</t>
        </is>
      </c>
      <c r="B19" s="32">
        <f>IF(COUNTIFS(구역16!F4:F73,"1호차",구역16!E4:E73,"*"&amp;$B31&amp;"*")+COUNTIFS(구역16!F4:F73,"2호차",구역16!E4:E73,"*"&amp;$B31&amp;"*")+COUNTIFS(구역16!F4:F73,"3호차",구역16!E4:E73,"*"&amp;$B31&amp;"*")+COUNTIFS(구역16!F4:F73,"4호차",구역16!E4:E73,"*"&amp;$B31&amp;"*")+COUNTIFS(구역16!F4:F73,"5호차",구역16!E4:E73,"*"&amp;$B31&amp;"*")+COUNTIFS(구역16!F4:F73,"6호차",구역16!E4:E73,"*"&amp;$B31&amp;"*")+COUNTIFS(구역16!F4:F73,"7호차",구역16!E4:E73,"*"&amp;$B31&amp;"*")+COUNTIFS(구역16!F4:F73,"8호차",구역16!E4:E73,"*"&amp;$B31&amp;"*")+COUNTIFS(구역16!F4:F73,"9호차",구역16!E4:E73,"*"&amp;$B31&amp;"*")+COUNTIFS(구역16!F4:F73,"10호차",구역16!E4:E73,"*"&amp;$B31&amp;"*")=0,"",COUNTIFS(구역16!F4:F73,"1호차",구역16!E4:E73,"*"&amp;$B31&amp;"*")+COUNTIFS(구역16!F4:F73,"2호차",구역16!E4:E73,"*"&amp;$B31&amp;"*")+COUNTIFS(구역16!F4:F73,"3호차",구역16!E4:E73,"*"&amp;$B31&amp;"*")+COUNTIFS(구역16!F4:F73,"4호차",구역16!E4:E73,"*"&amp;$B31&amp;"*")+COUNTIFS(구역16!F4:F73,"5호차",구역16!E4:E73,"*"&amp;$B31&amp;"*")+COUNTIFS(구역16!F4:F73,"6호차",구역16!E4:E73,"*"&amp;$B31&amp;"*")+COUNTIFS(구역16!F4:F73,"7호차",구역16!E4:E73,"*"&amp;$B31&amp;"*")+COUNTIFS(구역16!F4:F73,"8호차",구역16!E4:E73,"*"&amp;$B31&amp;"*")+COUNTIFS(구역16!F4:F73,"9호차",구역16!E4:E73,"*"&amp;$B31&amp;"*")+COUNTIFS(구역16!F4:F73,"10호차",구역16!E4:E73,"*"&amp;$B31&amp;"*"))</f>
        <v/>
      </c>
      <c r="C19" s="32">
        <f>IF(COUNTIFS(구역16!G4:G73,"1호차",구역16!E4:E73,"*"&amp;$B31&amp;"*")+COUNTIFS(구역16!G4:G73,"2호차",구역16!E4:E73,"*"&amp;$B31&amp;"*")+COUNTIFS(구역16!G4:G73,"3호차",구역16!E4:E73,"*"&amp;$B31&amp;"*")+COUNTIFS(구역16!G4:G73,"4호차",구역16!E4:E73,"*"&amp;$B31&amp;"*")+COUNTIFS(구역16!G4:G73,"5호차",구역16!E4:E73,"*"&amp;$B31&amp;"*")+COUNTIFS(구역16!G4:G73,"6호차",구역16!E4:E73,"*"&amp;$B31&amp;"*")+COUNTIFS(구역16!G4:G73,"7호차",구역16!E4:E73,"*"&amp;$B31&amp;"*")+COUNTIFS(구역16!G4:G73,"8호차",구역16!E4:E73,"*"&amp;$B31&amp;"*")+COUNTIFS(구역16!G4:G73,"9호차",구역16!E4:E73,"*"&amp;$B31&amp;"*")+COUNTIFS(구역16!G4:G73,"10호차",구역16!E4:E73,"*"&amp;$B31&amp;"*")=0,"",COUNTIFS(구역16!G4:G73,"1호차",구역16!E4:E73,"*"&amp;$B31&amp;"*")+COUNTIFS(구역16!G4:G73,"2호차",구역16!E4:E73,"*"&amp;$B31&amp;"*")+COUNTIFS(구역16!G4:G73,"3호차",구역16!E4:E73,"*"&amp;$B31&amp;"*")+COUNTIFS(구역16!G4:G73,"4호차",구역16!E4:E73,"*"&amp;$B31&amp;"*")+COUNTIFS(구역16!G4:G73,"5호차",구역16!E4:E73,"*"&amp;$B31&amp;"*")+COUNTIFS(구역16!G4:G73,"6호차",구역16!E4:E73,"*"&amp;$B31&amp;"*")+COUNTIFS(구역16!G4:G73,"7호차",구역16!E4:E73,"*"&amp;$B31&amp;"*")+COUNTIFS(구역16!G4:G73,"8호차",구역16!E4:E73,"*"&amp;$B31&amp;"*")+COUNTIFS(구역16!G4:G73,"9호차",구역16!E4:E73,"*"&amp;$B31&amp;"*")+COUNTIFS(구역16!G4:G73,"10호차",구역16!E4:E73,"*"&amp;$B31&amp;"*"))</f>
        <v/>
      </c>
      <c r="D19" s="32">
        <f>IF(COUNTIFS(구역16!F4:F73,"교회차1",구역16!E4:E73,"*"&amp;$B31&amp;"*")+COUNTIFS(구역16!F4:F73,"교회차2",구역16!E4:E73,"*"&amp;$B31&amp;"*")+COUNTIFS(구역16!F4:F73,"교회차3",구역16!E4:E73,"*"&amp;$B31&amp;"*")+COUNTIFS(구역16!F4:F73,"교회차4",구역16!E4:E73,"*"&amp;$B31&amp;"*")+COUNTIFS(구역16!F4:F73,"교회차5",구역16!E4:E73,"*"&amp;$B31&amp;"*")+COUNTIFS(구역16!H4:H73,"*교회차*",구역16!E4:E73,"*"&amp;$B31&amp;"*")=0,"",COUNTIFS(구역16!F4:F73,"교회차1",구역16!E4:E73,"*"&amp;$B31&amp;"*")+COUNTIFS(구역16!F4:F73,"교회차2",구역16!E4:E73,"*"&amp;$B31&amp;"*")+COUNTIFS(구역16!F4:F73,"교회차3",구역16!E4:E73,"*"&amp;$B31&amp;"*")+COUNTIFS(구역16!F4:F73,"교회차4",구역16!E4:E73,"*"&amp;$B31&amp;"*")+COUNTIFS(구역16!F4:F73,"교회차5",구역16!E4:E73,"*"&amp;$B31&amp;"*")+COUNTIFS(구역16!H4:H73,"*교회차*",구역16!E4:E73,"*"&amp;$B31&amp;"*"))</f>
        <v/>
      </c>
      <c r="E19" s="32">
        <f>IF(COUNTIFS(구역16!G4:G73,"교회차1",구역16!E4:E73,"*"&amp;$B31&amp;"*")+COUNTIFS(구역16!G4:G73,"교회차2",구역16!E4:E73,"*"&amp;$B31&amp;"*")+COUNTIFS(구역16!G4:G73,"교회차3",구역16!E4:E73,"*"&amp;$B31&amp;"*")+COUNTIFS(구역16!G4:G73,"교회차4",구역16!E4:E73,"*"&amp;$B31&amp;"*")+COUNTIFS(구역16!G4:G73,"교회차5",구역16!E4:E73,"*"&amp;$B31&amp;"*")+COUNTIFS(구역16!J4:J73,"*교회차*",구역16!E4:E73,"*"&amp;$B31&amp;"*")=0,"",COUNTIFS(구역16!G4:G73,"교회차1",구역16!E4:E73,"*"&amp;$B31&amp;"*")+COUNTIFS(구역16!G4:G73,"교회차2",구역16!E4:E73,"*"&amp;$B31&amp;"*")+COUNTIFS(구역16!G4:G73,"교회차3",구역16!E4:E73,"*"&amp;$B31&amp;"*")+COUNTIFS(구역16!G4:G73,"교회차4",구역16!E4:E73,"*"&amp;$B31&amp;"*")+COUNTIFS(구역16!G4:G73,"교회차5",구역16!E4:E73,"*"&amp;$B31&amp;"*")+COUNTIFS(구역16!J4:J73,"*교회차*",구역16!E4:E73,"*"&amp;$B31&amp;"*"))</f>
        <v/>
      </c>
      <c r="F19" s="32">
        <f>IF(COUNTIFS(구역16!F4:F73,"타교회",구역16!E4:E73,"*"&amp;$B31&amp;"*")+COUNTIFS(구역16!H4:H73,"*타교회*",구역16!E4:E73,"*"&amp;$B31&amp;"*")=0,"",COUNTIFS(구역16!F4:F73,"타교회",구역16!E4:E73,"*"&amp;$B31&amp;"*")+COUNTIFS(구역16!H4:H73,"*타교회*",구역16!E4:E73,"*"&amp;$B31&amp;"*"))</f>
        <v/>
      </c>
      <c r="G19" s="32">
        <f>IF(COUNTIFS(구역16!G4:G73,"타교회",구역16!E4:E73,"*"&amp;$B31&amp;"*")+COUNTIFS(구역16!J4:J73,"*타교회*",구역16!E4:E73,"*"&amp;$B31&amp;"*")=0,"",COUNTIFS(구역16!G4:G73,"타교회",구역16!E4:E73,"*"&amp;$B31&amp;"*")+COUNTIFS(구역16!J4:J73,"*타교회*",구역16!E4:E73,"*"&amp;$B31&amp;"*"))</f>
        <v/>
      </c>
      <c r="H19" s="32">
        <f>IF(COUNTIFS(구역16!F4:F73,"개인차",구역16!E4:E73,"*"&amp;$B31&amp;"*")+(COUNTIFS(구역16!H4:H73,"?*",구역16!E4:E73,"*"&amp;$B31&amp;"*")-COUNTIFS(구역16!H4:H73,"*교회차*",구역16!E4:E73,"*"&amp;$B31&amp;"*")-COUNTIFS(구역16!H4:H73,"*타교회*",구역16!E4:E73,"*"&amp;$B31&amp;"*")-COUNTIFS(구역16!H4:H73,"*대중교통*",구역16!E4:E73,"*"&amp;$B31&amp;"*"))=0,"",COUNTIFS(구역16!F4:F73,"개인차",구역16!E4:E73,"*"&amp;$B31&amp;"*")+(COUNTIFS(구역16!H4:H73,"?*",구역16!E4:E73,"*"&amp;$B31&amp;"*")-COUNTIFS(구역16!H4:H73,"*교회차*",구역16!E4:E73,"*"&amp;$B31&amp;"*")-COUNTIFS(구역16!H4:H73,"*타교회*",구역16!E4:E73,"*"&amp;$B31&amp;"*")-COUNTIFS(구역16!H4:H73,"*대중교통*",구역16!E4:E73,"*"&amp;$B31&amp;"*")))</f>
        <v/>
      </c>
      <c r="I19" s="32">
        <f>IF(COUNTIFS(구역16!G4:G73,"개인차",구역16!E4:E73,"*"&amp;$B31&amp;"*")+(COUNTIFS(구역16!J4:J73,"?*",구역16!E4:E73,"*"&amp;$B31&amp;"*")-COUNTIFS(구역16!J4:J73,"*교회차*",구역16!E4:E73,"*"&amp;$B31&amp;"*")-COUNTIFS(구역16!J4:J73,"*타교회*",구역16!E4:E73,"*"&amp;$B31&amp;"*")-COUNTIFS(구역16!J4:J73,"*대중교통*",구역16!E4:E73,"*"&amp;$B31&amp;"*"))=0,"",COUNTIFS(구역16!G4:G73,"개인차",구역16!E4:E73,"*"&amp;$B31&amp;"*")+(COUNTIFS(구역16!J4:J73,"?*",구역16!E4:E73,"*"&amp;$B31&amp;"*")-COUNTIFS(구역16!J4:J73,"*교회차*",구역16!E4:E73,"*"&amp;$B31&amp;"*")-COUNTIFS(구역16!J4:J73,"*타교회*",구역16!E4:E73,"*"&amp;$B31&amp;"*")-COUNTIFS(구역16!J4:J73,"*대중교통*",구역16!E4:E73,"*"&amp;$B31&amp;"*")))</f>
        <v/>
      </c>
      <c r="J19" s="32">
        <f>IF(COUNTIFS(구역16!F4:F73,"대중교통",구역16!E4:E73,"*"&amp;$B31&amp;"*")+COUNTIFS(구역16!H4:H73,"*대중교통*",구역16!E4:E73,"*"&amp;$B31&amp;"*")=0,"",COUNTIFS(구역16!F4:F73,"대중교통",구역16!E4:E73,"*"&amp;$B31&amp;"*")+COUNTIFS(구역16!H4:H73,"*대중교통*",구역16!E4:E73,"*"&amp;$B31&amp;"*"))</f>
        <v/>
      </c>
      <c r="K19" s="32">
        <f>IF(COUNTIFS(구역16!G4:G73,"대중교통",구역16!E4:E73,"*"&amp;$B31&amp;"*")+COUNTIFS(구역16!J4:J73,"*대중교통*",구역16!E4:E73,"*"&amp;$B31&amp;"*")=0,"",COUNTIFS(구역16!G4:G73,"대중교통",구역16!E4:E73,"*"&amp;$B31&amp;"*")+COUNTIFS(구역16!J4:J73,"*대중교통*",구역16!E4:E73,"*"&amp;$B31&amp;"*"))</f>
        <v/>
      </c>
      <c r="L19" s="42">
        <f>IF(SUM(B19,D19,F19,H19,J19)=0,"",SUM(B19,D19,F19,H19,J19))</f>
        <v/>
      </c>
      <c r="M19" s="81" t="n"/>
      <c r="N19" s="81" t="n"/>
    </row>
    <row r="20">
      <c r="A20" s="32" t="inlineStr">
        <is>
          <t>구역17</t>
        </is>
      </c>
      <c r="B20" s="32">
        <f>IF(COUNTIFS(구역17!F4:F73,"1호차",구역17!E4:E73,"*"&amp;$B31&amp;"*")+COUNTIFS(구역17!F4:F73,"2호차",구역17!E4:E73,"*"&amp;$B31&amp;"*")+COUNTIFS(구역17!F4:F73,"3호차",구역17!E4:E73,"*"&amp;$B31&amp;"*")+COUNTIFS(구역17!F4:F73,"4호차",구역17!E4:E73,"*"&amp;$B31&amp;"*")+COUNTIFS(구역17!F4:F73,"5호차",구역17!E4:E73,"*"&amp;$B31&amp;"*")+COUNTIFS(구역17!F4:F73,"6호차",구역17!E4:E73,"*"&amp;$B31&amp;"*")+COUNTIFS(구역17!F4:F73,"7호차",구역17!E4:E73,"*"&amp;$B31&amp;"*")+COUNTIFS(구역17!F4:F73,"8호차",구역17!E4:E73,"*"&amp;$B31&amp;"*")+COUNTIFS(구역17!F4:F73,"9호차",구역17!E4:E73,"*"&amp;$B31&amp;"*")+COUNTIFS(구역17!F4:F73,"10호차",구역17!E4:E73,"*"&amp;$B31&amp;"*")=0,"",COUNTIFS(구역17!F4:F73,"1호차",구역17!E4:E73,"*"&amp;$B31&amp;"*")+COUNTIFS(구역17!F4:F73,"2호차",구역17!E4:E73,"*"&amp;$B31&amp;"*")+COUNTIFS(구역17!F4:F73,"3호차",구역17!E4:E73,"*"&amp;$B31&amp;"*")+COUNTIFS(구역17!F4:F73,"4호차",구역17!E4:E73,"*"&amp;$B31&amp;"*")+COUNTIFS(구역17!F4:F73,"5호차",구역17!E4:E73,"*"&amp;$B31&amp;"*")+COUNTIFS(구역17!F4:F73,"6호차",구역17!E4:E73,"*"&amp;$B31&amp;"*")+COUNTIFS(구역17!F4:F73,"7호차",구역17!E4:E73,"*"&amp;$B31&amp;"*")+COUNTIFS(구역17!F4:F73,"8호차",구역17!E4:E73,"*"&amp;$B31&amp;"*")+COUNTIFS(구역17!F4:F73,"9호차",구역17!E4:E73,"*"&amp;$B31&amp;"*")+COUNTIFS(구역17!F4:F73,"10호차",구역17!E4:E73,"*"&amp;$B31&amp;"*"))</f>
        <v/>
      </c>
      <c r="C20" s="32">
        <f>IF(COUNTIFS(구역17!G4:G73,"1호차",구역17!E4:E73,"*"&amp;$B31&amp;"*")+COUNTIFS(구역17!G4:G73,"2호차",구역17!E4:E73,"*"&amp;$B31&amp;"*")+COUNTIFS(구역17!G4:G73,"3호차",구역17!E4:E73,"*"&amp;$B31&amp;"*")+COUNTIFS(구역17!G4:G73,"4호차",구역17!E4:E73,"*"&amp;$B31&amp;"*")+COUNTIFS(구역17!G4:G73,"5호차",구역17!E4:E73,"*"&amp;$B31&amp;"*")+COUNTIFS(구역17!G4:G73,"6호차",구역17!E4:E73,"*"&amp;$B31&amp;"*")+COUNTIFS(구역17!G4:G73,"7호차",구역17!E4:E73,"*"&amp;$B31&amp;"*")+COUNTIFS(구역17!G4:G73,"8호차",구역17!E4:E73,"*"&amp;$B31&amp;"*")+COUNTIFS(구역17!G4:G73,"9호차",구역17!E4:E73,"*"&amp;$B31&amp;"*")+COUNTIFS(구역17!G4:G73,"10호차",구역17!E4:E73,"*"&amp;$B31&amp;"*")=0,"",COUNTIFS(구역17!G4:G73,"1호차",구역17!E4:E73,"*"&amp;$B31&amp;"*")+COUNTIFS(구역17!G4:G73,"2호차",구역17!E4:E73,"*"&amp;$B31&amp;"*")+COUNTIFS(구역17!G4:G73,"3호차",구역17!E4:E73,"*"&amp;$B31&amp;"*")+COUNTIFS(구역17!G4:G73,"4호차",구역17!E4:E73,"*"&amp;$B31&amp;"*")+COUNTIFS(구역17!G4:G73,"5호차",구역17!E4:E73,"*"&amp;$B31&amp;"*")+COUNTIFS(구역17!G4:G73,"6호차",구역17!E4:E73,"*"&amp;$B31&amp;"*")+COUNTIFS(구역17!G4:G73,"7호차",구역17!E4:E73,"*"&amp;$B31&amp;"*")+COUNTIFS(구역17!G4:G73,"8호차",구역17!E4:E73,"*"&amp;$B31&amp;"*")+COUNTIFS(구역17!G4:G73,"9호차",구역17!E4:E73,"*"&amp;$B31&amp;"*")+COUNTIFS(구역17!G4:G73,"10호차",구역17!E4:E73,"*"&amp;$B31&amp;"*"))</f>
        <v/>
      </c>
      <c r="D20" s="32">
        <f>IF(COUNTIFS(구역17!F4:F73,"교회차1",구역17!E4:E73,"*"&amp;$B31&amp;"*")+COUNTIFS(구역17!F4:F73,"교회차2",구역17!E4:E73,"*"&amp;$B31&amp;"*")+COUNTIFS(구역17!F4:F73,"교회차3",구역17!E4:E73,"*"&amp;$B31&amp;"*")+COUNTIFS(구역17!F4:F73,"교회차4",구역17!E4:E73,"*"&amp;$B31&amp;"*")+COUNTIFS(구역17!F4:F73,"교회차5",구역17!E4:E73,"*"&amp;$B31&amp;"*")+COUNTIFS(구역17!H4:H73,"*교회차*",구역17!E4:E73,"*"&amp;$B31&amp;"*")=0,"",COUNTIFS(구역17!F4:F73,"교회차1",구역17!E4:E73,"*"&amp;$B31&amp;"*")+COUNTIFS(구역17!F4:F73,"교회차2",구역17!E4:E73,"*"&amp;$B31&amp;"*")+COUNTIFS(구역17!F4:F73,"교회차3",구역17!E4:E73,"*"&amp;$B31&amp;"*")+COUNTIFS(구역17!F4:F73,"교회차4",구역17!E4:E73,"*"&amp;$B31&amp;"*")+COUNTIFS(구역17!F4:F73,"교회차5",구역17!E4:E73,"*"&amp;$B31&amp;"*")+COUNTIFS(구역17!H4:H73,"*교회차*",구역17!E4:E73,"*"&amp;$B31&amp;"*"))</f>
        <v/>
      </c>
      <c r="E20" s="32">
        <f>IF(COUNTIFS(구역17!G4:G73,"교회차1",구역17!E4:E73,"*"&amp;$B31&amp;"*")+COUNTIFS(구역17!G4:G73,"교회차2",구역17!E4:E73,"*"&amp;$B31&amp;"*")+COUNTIFS(구역17!G4:G73,"교회차3",구역17!E4:E73,"*"&amp;$B31&amp;"*")+COUNTIFS(구역17!G4:G73,"교회차4",구역17!E4:E73,"*"&amp;$B31&amp;"*")+COUNTIFS(구역17!G4:G73,"교회차5",구역17!E4:E73,"*"&amp;$B31&amp;"*")+COUNTIFS(구역17!J4:J73,"*교회차*",구역17!E4:E73,"*"&amp;$B31&amp;"*")=0,"",COUNTIFS(구역17!G4:G73,"교회차1",구역17!E4:E73,"*"&amp;$B31&amp;"*")+COUNTIFS(구역17!G4:G73,"교회차2",구역17!E4:E73,"*"&amp;$B31&amp;"*")+COUNTIFS(구역17!G4:G73,"교회차3",구역17!E4:E73,"*"&amp;$B31&amp;"*")+COUNTIFS(구역17!G4:G73,"교회차4",구역17!E4:E73,"*"&amp;$B31&amp;"*")+COUNTIFS(구역17!G4:G73,"교회차5",구역17!E4:E73,"*"&amp;$B31&amp;"*")+COUNTIFS(구역17!J4:J73,"*교회차*",구역17!E4:E73,"*"&amp;$B31&amp;"*"))</f>
        <v/>
      </c>
      <c r="F20" s="32">
        <f>IF(COUNTIFS(구역17!F4:F73,"타교회",구역17!E4:E73,"*"&amp;$B31&amp;"*")+COUNTIFS(구역17!H4:H73,"*타교회*",구역17!E4:E73,"*"&amp;$B31&amp;"*")=0,"",COUNTIFS(구역17!F4:F73,"타교회",구역17!E4:E73,"*"&amp;$B31&amp;"*")+COUNTIFS(구역17!H4:H73,"*타교회*",구역17!E4:E73,"*"&amp;$B31&amp;"*"))</f>
        <v/>
      </c>
      <c r="G20" s="32">
        <f>IF(COUNTIFS(구역17!G4:G73,"타교회",구역17!E4:E73,"*"&amp;$B31&amp;"*")+COUNTIFS(구역17!J4:J73,"*타교회*",구역17!E4:E73,"*"&amp;$B31&amp;"*")=0,"",COUNTIFS(구역17!G4:G73,"타교회",구역17!E4:E73,"*"&amp;$B31&amp;"*")+COUNTIFS(구역17!J4:J73,"*타교회*",구역17!E4:E73,"*"&amp;$B31&amp;"*"))</f>
        <v/>
      </c>
      <c r="H20" s="32">
        <f>IF(COUNTIFS(구역17!F4:F73,"개인차",구역17!E4:E73,"*"&amp;$B31&amp;"*")+(COUNTIFS(구역17!H4:H73,"?*",구역17!E4:E73,"*"&amp;$B31&amp;"*")-COUNTIFS(구역17!H4:H73,"*교회차*",구역17!E4:E73,"*"&amp;$B31&amp;"*")-COUNTIFS(구역17!H4:H73,"*타교회*",구역17!E4:E73,"*"&amp;$B31&amp;"*")-COUNTIFS(구역17!H4:H73,"*대중교통*",구역17!E4:E73,"*"&amp;$B31&amp;"*"))=0,"",COUNTIFS(구역17!F4:F73,"개인차",구역17!E4:E73,"*"&amp;$B31&amp;"*")+(COUNTIFS(구역17!H4:H73,"?*",구역17!E4:E73,"*"&amp;$B31&amp;"*")-COUNTIFS(구역17!H4:H73,"*교회차*",구역17!E4:E73,"*"&amp;$B31&amp;"*")-COUNTIFS(구역17!H4:H73,"*타교회*",구역17!E4:E73,"*"&amp;$B31&amp;"*")-COUNTIFS(구역17!H4:H73,"*대중교통*",구역17!E4:E73,"*"&amp;$B31&amp;"*")))</f>
        <v/>
      </c>
      <c r="I20" s="32">
        <f>IF(COUNTIFS(구역17!G4:G73,"개인차",구역17!E4:E73,"*"&amp;$B31&amp;"*")+(COUNTIFS(구역17!J4:J73,"?*",구역17!E4:E73,"*"&amp;$B31&amp;"*")-COUNTIFS(구역17!J4:J73,"*교회차*",구역17!E4:E73,"*"&amp;$B31&amp;"*")-COUNTIFS(구역17!J4:J73,"*타교회*",구역17!E4:E73,"*"&amp;$B31&amp;"*")-COUNTIFS(구역17!J4:J73,"*대중교통*",구역17!E4:E73,"*"&amp;$B31&amp;"*"))=0,"",COUNTIFS(구역17!G4:G73,"개인차",구역17!E4:E73,"*"&amp;$B31&amp;"*")+(COUNTIFS(구역17!J4:J73,"?*",구역17!E4:E73,"*"&amp;$B31&amp;"*")-COUNTIFS(구역17!J4:J73,"*교회차*",구역17!E4:E73,"*"&amp;$B31&amp;"*")-COUNTIFS(구역17!J4:J73,"*타교회*",구역17!E4:E73,"*"&amp;$B31&amp;"*")-COUNTIFS(구역17!J4:J73,"*대중교통*",구역17!E4:E73,"*"&amp;$B31&amp;"*")))</f>
        <v/>
      </c>
      <c r="J20" s="32">
        <f>IF(COUNTIFS(구역17!F4:F73,"대중교통",구역17!E4:E73,"*"&amp;$B31&amp;"*")+COUNTIFS(구역17!H4:H73,"*대중교통*",구역17!E4:E73,"*"&amp;$B31&amp;"*")=0,"",COUNTIFS(구역17!F4:F73,"대중교통",구역17!E4:E73,"*"&amp;$B31&amp;"*")+COUNTIFS(구역17!H4:H73,"*대중교통*",구역17!E4:E73,"*"&amp;$B31&amp;"*"))</f>
        <v/>
      </c>
      <c r="K20" s="32">
        <f>IF(COUNTIFS(구역17!G4:G73,"대중교통",구역17!E4:E73,"*"&amp;$B31&amp;"*")+COUNTIFS(구역17!J4:J73,"*대중교통*",구역17!E4:E73,"*"&amp;$B31&amp;"*")=0,"",COUNTIFS(구역17!G4:G73,"대중교통",구역17!E4:E73,"*"&amp;$B31&amp;"*")+COUNTIFS(구역17!J4:J73,"*대중교통*",구역17!E4:E73,"*"&amp;$B31&amp;"*"))</f>
        <v/>
      </c>
      <c r="L20" s="42">
        <f>IF(SUM(B20,D20,F20,H20,J20)=0,"",SUM(B20,D20,F20,H20,J20))</f>
        <v/>
      </c>
      <c r="M20" s="81" t="n"/>
      <c r="N20" s="81" t="n"/>
    </row>
    <row r="21">
      <c r="A21" s="32" t="inlineStr">
        <is>
          <t>구역18</t>
        </is>
      </c>
      <c r="B21" s="32">
        <f>IF(COUNTIFS(구역18!F4:F73,"1호차",구역18!E4:E73,"*"&amp;$B31&amp;"*")+COUNTIFS(구역18!F4:F73,"2호차",구역18!E4:E73,"*"&amp;$B31&amp;"*")+COUNTIFS(구역18!F4:F73,"3호차",구역18!E4:E73,"*"&amp;$B31&amp;"*")+COUNTIFS(구역18!F4:F73,"4호차",구역18!E4:E73,"*"&amp;$B31&amp;"*")+COUNTIFS(구역18!F4:F73,"5호차",구역18!E4:E73,"*"&amp;$B31&amp;"*")+COUNTIFS(구역18!F4:F73,"6호차",구역18!E4:E73,"*"&amp;$B31&amp;"*")+COUNTIFS(구역18!F4:F73,"7호차",구역18!E4:E73,"*"&amp;$B31&amp;"*")+COUNTIFS(구역18!F4:F73,"8호차",구역18!E4:E73,"*"&amp;$B31&amp;"*")+COUNTIFS(구역18!F4:F73,"9호차",구역18!E4:E73,"*"&amp;$B31&amp;"*")+COUNTIFS(구역18!F4:F73,"10호차",구역18!E4:E73,"*"&amp;$B31&amp;"*")=0,"",COUNTIFS(구역18!F4:F73,"1호차",구역18!E4:E73,"*"&amp;$B31&amp;"*")+COUNTIFS(구역18!F4:F73,"2호차",구역18!E4:E73,"*"&amp;$B31&amp;"*")+COUNTIFS(구역18!F4:F73,"3호차",구역18!E4:E73,"*"&amp;$B31&amp;"*")+COUNTIFS(구역18!F4:F73,"4호차",구역18!E4:E73,"*"&amp;$B31&amp;"*")+COUNTIFS(구역18!F4:F73,"5호차",구역18!E4:E73,"*"&amp;$B31&amp;"*")+COUNTIFS(구역18!F4:F73,"6호차",구역18!E4:E73,"*"&amp;$B31&amp;"*")+COUNTIFS(구역18!F4:F73,"7호차",구역18!E4:E73,"*"&amp;$B31&amp;"*")+COUNTIFS(구역18!F4:F73,"8호차",구역18!E4:E73,"*"&amp;$B31&amp;"*")+COUNTIFS(구역18!F4:F73,"9호차",구역18!E4:E73,"*"&amp;$B31&amp;"*")+COUNTIFS(구역18!F4:F73,"10호차",구역18!E4:E73,"*"&amp;$B31&amp;"*"))</f>
        <v/>
      </c>
      <c r="C21" s="32">
        <f>IF(COUNTIFS(구역18!G4:G73,"1호차",구역18!E4:E73,"*"&amp;$B31&amp;"*")+COUNTIFS(구역18!G4:G73,"2호차",구역18!E4:E73,"*"&amp;$B31&amp;"*")+COUNTIFS(구역18!G4:G73,"3호차",구역18!E4:E73,"*"&amp;$B31&amp;"*")+COUNTIFS(구역18!G4:G73,"4호차",구역18!E4:E73,"*"&amp;$B31&amp;"*")+COUNTIFS(구역18!G4:G73,"5호차",구역18!E4:E73,"*"&amp;$B31&amp;"*")+COUNTIFS(구역18!G4:G73,"6호차",구역18!E4:E73,"*"&amp;$B31&amp;"*")+COUNTIFS(구역18!G4:G73,"7호차",구역18!E4:E73,"*"&amp;$B31&amp;"*")+COUNTIFS(구역18!G4:G73,"8호차",구역18!E4:E73,"*"&amp;$B31&amp;"*")+COUNTIFS(구역18!G4:G73,"9호차",구역18!E4:E73,"*"&amp;$B31&amp;"*")+COUNTIFS(구역18!G4:G73,"10호차",구역18!E4:E73,"*"&amp;$B31&amp;"*")=0,"",COUNTIFS(구역18!G4:G73,"1호차",구역18!E4:E73,"*"&amp;$B31&amp;"*")+COUNTIFS(구역18!G4:G73,"2호차",구역18!E4:E73,"*"&amp;$B31&amp;"*")+COUNTIFS(구역18!G4:G73,"3호차",구역18!E4:E73,"*"&amp;$B31&amp;"*")+COUNTIFS(구역18!G4:G73,"4호차",구역18!E4:E73,"*"&amp;$B31&amp;"*")+COUNTIFS(구역18!G4:G73,"5호차",구역18!E4:E73,"*"&amp;$B31&amp;"*")+COUNTIFS(구역18!G4:G73,"6호차",구역18!E4:E73,"*"&amp;$B31&amp;"*")+COUNTIFS(구역18!G4:G73,"7호차",구역18!E4:E73,"*"&amp;$B31&amp;"*")+COUNTIFS(구역18!G4:G73,"8호차",구역18!E4:E73,"*"&amp;$B31&amp;"*")+COUNTIFS(구역18!G4:G73,"9호차",구역18!E4:E73,"*"&amp;$B31&amp;"*")+COUNTIFS(구역18!G4:G73,"10호차",구역18!E4:E73,"*"&amp;$B31&amp;"*"))</f>
        <v/>
      </c>
      <c r="D21" s="32">
        <f>IF(COUNTIFS(구역18!F4:F73,"교회차1",구역18!E4:E73,"*"&amp;$B31&amp;"*")+COUNTIFS(구역18!F4:F73,"교회차2",구역18!E4:E73,"*"&amp;$B31&amp;"*")+COUNTIFS(구역18!F4:F73,"교회차3",구역18!E4:E73,"*"&amp;$B31&amp;"*")+COUNTIFS(구역18!F4:F73,"교회차4",구역18!E4:E73,"*"&amp;$B31&amp;"*")+COUNTIFS(구역18!F4:F73,"교회차5",구역18!E4:E73,"*"&amp;$B31&amp;"*")+COUNTIFS(구역18!H4:H73,"*교회차*",구역18!E4:E73,"*"&amp;$B31&amp;"*")=0,"",COUNTIFS(구역18!F4:F73,"교회차1",구역18!E4:E73,"*"&amp;$B31&amp;"*")+COUNTIFS(구역18!F4:F73,"교회차2",구역18!E4:E73,"*"&amp;$B31&amp;"*")+COUNTIFS(구역18!F4:F73,"교회차3",구역18!E4:E73,"*"&amp;$B31&amp;"*")+COUNTIFS(구역18!F4:F73,"교회차4",구역18!E4:E73,"*"&amp;$B31&amp;"*")+COUNTIFS(구역18!F4:F73,"교회차5",구역18!E4:E73,"*"&amp;$B31&amp;"*")+COUNTIFS(구역18!H4:H73,"*교회차*",구역18!E4:E73,"*"&amp;$B31&amp;"*"))</f>
        <v/>
      </c>
      <c r="E21" s="32">
        <f>IF(COUNTIFS(구역18!G4:G73,"교회차1",구역18!E4:E73,"*"&amp;$B31&amp;"*")+COUNTIFS(구역18!G4:G73,"교회차2",구역18!E4:E73,"*"&amp;$B31&amp;"*")+COUNTIFS(구역18!G4:G73,"교회차3",구역18!E4:E73,"*"&amp;$B31&amp;"*")+COUNTIFS(구역18!G4:G73,"교회차4",구역18!E4:E73,"*"&amp;$B31&amp;"*")+COUNTIFS(구역18!G4:G73,"교회차5",구역18!E4:E73,"*"&amp;$B31&amp;"*")+COUNTIFS(구역18!J4:J73,"*교회차*",구역18!E4:E73,"*"&amp;$B31&amp;"*")=0,"",COUNTIFS(구역18!G4:G73,"교회차1",구역18!E4:E73,"*"&amp;$B31&amp;"*")+COUNTIFS(구역18!G4:G73,"교회차2",구역18!E4:E73,"*"&amp;$B31&amp;"*")+COUNTIFS(구역18!G4:G73,"교회차3",구역18!E4:E73,"*"&amp;$B31&amp;"*")+COUNTIFS(구역18!G4:G73,"교회차4",구역18!E4:E73,"*"&amp;$B31&amp;"*")+COUNTIFS(구역18!G4:G73,"교회차5",구역18!E4:E73,"*"&amp;$B31&amp;"*")+COUNTIFS(구역18!J4:J73,"*교회차*",구역18!E4:E73,"*"&amp;$B31&amp;"*"))</f>
        <v/>
      </c>
      <c r="F21" s="32">
        <f>IF(COUNTIFS(구역18!F4:F73,"타교회",구역18!E4:E73,"*"&amp;$B31&amp;"*")+COUNTIFS(구역18!H4:H73,"*타교회*",구역18!E4:E73,"*"&amp;$B31&amp;"*")=0,"",COUNTIFS(구역18!F4:F73,"타교회",구역18!E4:E73,"*"&amp;$B31&amp;"*")+COUNTIFS(구역18!H4:H73,"*타교회*",구역18!E4:E73,"*"&amp;$B31&amp;"*"))</f>
        <v/>
      </c>
      <c r="G21" s="32">
        <f>IF(COUNTIFS(구역18!G4:G73,"타교회",구역18!E4:E73,"*"&amp;$B31&amp;"*")+COUNTIFS(구역18!J4:J73,"*타교회*",구역18!E4:E73,"*"&amp;$B31&amp;"*")=0,"",COUNTIFS(구역18!G4:G73,"타교회",구역18!E4:E73,"*"&amp;$B31&amp;"*")+COUNTIFS(구역18!J4:J73,"*타교회*",구역18!E4:E73,"*"&amp;$B31&amp;"*"))</f>
        <v/>
      </c>
      <c r="H21" s="32">
        <f>IF(COUNTIFS(구역18!F4:F73,"개인차",구역18!E4:E73,"*"&amp;$B31&amp;"*")+(COUNTIFS(구역18!H4:H73,"?*",구역18!E4:E73,"*"&amp;$B31&amp;"*")-COUNTIFS(구역18!H4:H73,"*교회차*",구역18!E4:E73,"*"&amp;$B31&amp;"*")-COUNTIFS(구역18!H4:H73,"*타교회*",구역18!E4:E73,"*"&amp;$B31&amp;"*")-COUNTIFS(구역18!H4:H73,"*대중교통*",구역18!E4:E73,"*"&amp;$B31&amp;"*"))=0,"",COUNTIFS(구역18!F4:F73,"개인차",구역18!E4:E73,"*"&amp;$B31&amp;"*")+(COUNTIFS(구역18!H4:H73,"?*",구역18!E4:E73,"*"&amp;$B31&amp;"*")-COUNTIFS(구역18!H4:H73,"*교회차*",구역18!E4:E73,"*"&amp;$B31&amp;"*")-COUNTIFS(구역18!H4:H73,"*타교회*",구역18!E4:E73,"*"&amp;$B31&amp;"*")-COUNTIFS(구역18!H4:H73,"*대중교통*",구역18!E4:E73,"*"&amp;$B31&amp;"*")))</f>
        <v/>
      </c>
      <c r="I21" s="32">
        <f>IF(COUNTIFS(구역18!G4:G73,"개인차",구역18!E4:E73,"*"&amp;$B31&amp;"*")+(COUNTIFS(구역18!J4:J73,"?*",구역18!E4:E73,"*"&amp;$B31&amp;"*")-COUNTIFS(구역18!J4:J73,"*교회차*",구역18!E4:E73,"*"&amp;$B31&amp;"*")-COUNTIFS(구역18!J4:J73,"*타교회*",구역18!E4:E73,"*"&amp;$B31&amp;"*")-COUNTIFS(구역18!J4:J73,"*대중교통*",구역18!E4:E73,"*"&amp;$B31&amp;"*"))=0,"",COUNTIFS(구역18!G4:G73,"개인차",구역18!E4:E73,"*"&amp;$B31&amp;"*")+(COUNTIFS(구역18!J4:J73,"?*",구역18!E4:E73,"*"&amp;$B31&amp;"*")-COUNTIFS(구역18!J4:J73,"*교회차*",구역18!E4:E73,"*"&amp;$B31&amp;"*")-COUNTIFS(구역18!J4:J73,"*타교회*",구역18!E4:E73,"*"&amp;$B31&amp;"*")-COUNTIFS(구역18!J4:J73,"*대중교통*",구역18!E4:E73,"*"&amp;$B31&amp;"*")))</f>
        <v/>
      </c>
      <c r="J21" s="32">
        <f>IF(COUNTIFS(구역18!F4:F73,"대중교통",구역18!E4:E73,"*"&amp;$B31&amp;"*")+COUNTIFS(구역18!H4:H73,"*대중교통*",구역18!E4:E73,"*"&amp;$B31&amp;"*")=0,"",COUNTIFS(구역18!F4:F73,"대중교통",구역18!E4:E73,"*"&amp;$B31&amp;"*")+COUNTIFS(구역18!H4:H73,"*대중교통*",구역18!E4:E73,"*"&amp;$B31&amp;"*"))</f>
        <v/>
      </c>
      <c r="K21" s="32">
        <f>IF(COUNTIFS(구역18!G4:G73,"대중교통",구역18!E4:E73,"*"&amp;$B31&amp;"*")+COUNTIFS(구역18!J4:J73,"*대중교통*",구역18!E4:E73,"*"&amp;$B31&amp;"*")=0,"",COUNTIFS(구역18!G4:G73,"대중교통",구역18!E4:E73,"*"&amp;$B31&amp;"*")+COUNTIFS(구역18!J4:J73,"*대중교통*",구역18!E4:E73,"*"&amp;$B31&amp;"*"))</f>
        <v/>
      </c>
      <c r="L21" s="42">
        <f>IF(SUM(B21,D21,F21,H21,J21)=0,"",SUM(B21,D21,F21,H21,J21))</f>
        <v/>
      </c>
      <c r="M21" s="81" t="n"/>
      <c r="N21" s="81" t="n"/>
    </row>
    <row r="22">
      <c r="A22" s="32" t="inlineStr">
        <is>
          <t>구역19</t>
        </is>
      </c>
      <c r="B22" s="32">
        <f>IF(COUNTIFS(구역19!F4:F73,"1호차",구역19!E4:E73,"*"&amp;$B31&amp;"*")+COUNTIFS(구역19!F4:F73,"2호차",구역19!E4:E73,"*"&amp;$B31&amp;"*")+COUNTIFS(구역19!F4:F73,"3호차",구역19!E4:E73,"*"&amp;$B31&amp;"*")+COUNTIFS(구역19!F4:F73,"4호차",구역19!E4:E73,"*"&amp;$B31&amp;"*")+COUNTIFS(구역19!F4:F73,"5호차",구역19!E4:E73,"*"&amp;$B31&amp;"*")+COUNTIFS(구역19!F4:F73,"6호차",구역19!E4:E73,"*"&amp;$B31&amp;"*")+COUNTIFS(구역19!F4:F73,"7호차",구역19!E4:E73,"*"&amp;$B31&amp;"*")+COUNTIFS(구역19!F4:F73,"8호차",구역19!E4:E73,"*"&amp;$B31&amp;"*")+COUNTIFS(구역19!F4:F73,"9호차",구역19!E4:E73,"*"&amp;$B31&amp;"*")+COUNTIFS(구역19!F4:F73,"10호차",구역19!E4:E73,"*"&amp;$B31&amp;"*")=0,"",COUNTIFS(구역19!F4:F73,"1호차",구역19!E4:E73,"*"&amp;$B31&amp;"*")+COUNTIFS(구역19!F4:F73,"2호차",구역19!E4:E73,"*"&amp;$B31&amp;"*")+COUNTIFS(구역19!F4:F73,"3호차",구역19!E4:E73,"*"&amp;$B31&amp;"*")+COUNTIFS(구역19!F4:F73,"4호차",구역19!E4:E73,"*"&amp;$B31&amp;"*")+COUNTIFS(구역19!F4:F73,"5호차",구역19!E4:E73,"*"&amp;$B31&amp;"*")+COUNTIFS(구역19!F4:F73,"6호차",구역19!E4:E73,"*"&amp;$B31&amp;"*")+COUNTIFS(구역19!F4:F73,"7호차",구역19!E4:E73,"*"&amp;$B31&amp;"*")+COUNTIFS(구역19!F4:F73,"8호차",구역19!E4:E73,"*"&amp;$B31&amp;"*")+COUNTIFS(구역19!F4:F73,"9호차",구역19!E4:E73,"*"&amp;$B31&amp;"*")+COUNTIFS(구역19!F4:F73,"10호차",구역19!E4:E73,"*"&amp;$B31&amp;"*"))</f>
        <v/>
      </c>
      <c r="C22" s="32">
        <f>IF(COUNTIFS(구역19!G4:G73,"1호차",구역19!E4:E73,"*"&amp;$B31&amp;"*")+COUNTIFS(구역19!G4:G73,"2호차",구역19!E4:E73,"*"&amp;$B31&amp;"*")+COUNTIFS(구역19!G4:G73,"3호차",구역19!E4:E73,"*"&amp;$B31&amp;"*")+COUNTIFS(구역19!G4:G73,"4호차",구역19!E4:E73,"*"&amp;$B31&amp;"*")+COUNTIFS(구역19!G4:G73,"5호차",구역19!E4:E73,"*"&amp;$B31&amp;"*")+COUNTIFS(구역19!G4:G73,"6호차",구역19!E4:E73,"*"&amp;$B31&amp;"*")+COUNTIFS(구역19!G4:G73,"7호차",구역19!E4:E73,"*"&amp;$B31&amp;"*")+COUNTIFS(구역19!G4:G73,"8호차",구역19!E4:E73,"*"&amp;$B31&amp;"*")+COUNTIFS(구역19!G4:G73,"9호차",구역19!E4:E73,"*"&amp;$B31&amp;"*")+COUNTIFS(구역19!G4:G73,"10호차",구역19!E4:E73,"*"&amp;$B31&amp;"*")=0,"",COUNTIFS(구역19!G4:G73,"1호차",구역19!E4:E73,"*"&amp;$B31&amp;"*")+COUNTIFS(구역19!G4:G73,"2호차",구역19!E4:E73,"*"&amp;$B31&amp;"*")+COUNTIFS(구역19!G4:G73,"3호차",구역19!E4:E73,"*"&amp;$B31&amp;"*")+COUNTIFS(구역19!G4:G73,"4호차",구역19!E4:E73,"*"&amp;$B31&amp;"*")+COUNTIFS(구역19!G4:G73,"5호차",구역19!E4:E73,"*"&amp;$B31&amp;"*")+COUNTIFS(구역19!G4:G73,"6호차",구역19!E4:E73,"*"&amp;$B31&amp;"*")+COUNTIFS(구역19!G4:G73,"7호차",구역19!E4:E73,"*"&amp;$B31&amp;"*")+COUNTIFS(구역19!G4:G73,"8호차",구역19!E4:E73,"*"&amp;$B31&amp;"*")+COUNTIFS(구역19!G4:G73,"9호차",구역19!E4:E73,"*"&amp;$B31&amp;"*")+COUNTIFS(구역19!G4:G73,"10호차",구역19!E4:E73,"*"&amp;$B31&amp;"*"))</f>
        <v/>
      </c>
      <c r="D22" s="32">
        <f>IF(COUNTIFS(구역19!F4:F73,"교회차1",구역19!E4:E73,"*"&amp;$B31&amp;"*")+COUNTIFS(구역19!F4:F73,"교회차2",구역19!E4:E73,"*"&amp;$B31&amp;"*")+COUNTIFS(구역19!F4:F73,"교회차3",구역19!E4:E73,"*"&amp;$B31&amp;"*")+COUNTIFS(구역19!F4:F73,"교회차4",구역19!E4:E73,"*"&amp;$B31&amp;"*")+COUNTIFS(구역19!F4:F73,"교회차5",구역19!E4:E73,"*"&amp;$B31&amp;"*")+COUNTIFS(구역19!H4:H73,"*교회차*",구역19!E4:E73,"*"&amp;$B31&amp;"*")=0,"",COUNTIFS(구역19!F4:F73,"교회차1",구역19!E4:E73,"*"&amp;$B31&amp;"*")+COUNTIFS(구역19!F4:F73,"교회차2",구역19!E4:E73,"*"&amp;$B31&amp;"*")+COUNTIFS(구역19!F4:F73,"교회차3",구역19!E4:E73,"*"&amp;$B31&amp;"*")+COUNTIFS(구역19!F4:F73,"교회차4",구역19!E4:E73,"*"&amp;$B31&amp;"*")+COUNTIFS(구역19!F4:F73,"교회차5",구역19!E4:E73,"*"&amp;$B31&amp;"*")+COUNTIFS(구역19!H4:H73,"*교회차*",구역19!E4:E73,"*"&amp;$B31&amp;"*"))</f>
        <v/>
      </c>
      <c r="E22" s="32">
        <f>IF(COUNTIFS(구역19!G4:G73,"교회차1",구역19!E4:E73,"*"&amp;$B31&amp;"*")+COUNTIFS(구역19!G4:G73,"교회차2",구역19!E4:E73,"*"&amp;$B31&amp;"*")+COUNTIFS(구역19!G4:G73,"교회차3",구역19!E4:E73,"*"&amp;$B31&amp;"*")+COUNTIFS(구역19!G4:G73,"교회차4",구역19!E4:E73,"*"&amp;$B31&amp;"*")+COUNTIFS(구역19!G4:G73,"교회차5",구역19!E4:E73,"*"&amp;$B31&amp;"*")+COUNTIFS(구역19!J4:J73,"*교회차*",구역19!E4:E73,"*"&amp;$B31&amp;"*")=0,"",COUNTIFS(구역19!G4:G73,"교회차1",구역19!E4:E73,"*"&amp;$B31&amp;"*")+COUNTIFS(구역19!G4:G73,"교회차2",구역19!E4:E73,"*"&amp;$B31&amp;"*")+COUNTIFS(구역19!G4:G73,"교회차3",구역19!E4:E73,"*"&amp;$B31&amp;"*")+COUNTIFS(구역19!G4:G73,"교회차4",구역19!E4:E73,"*"&amp;$B31&amp;"*")+COUNTIFS(구역19!G4:G73,"교회차5",구역19!E4:E73,"*"&amp;$B31&amp;"*")+COUNTIFS(구역19!J4:J73,"*교회차*",구역19!E4:E73,"*"&amp;$B31&amp;"*"))</f>
        <v/>
      </c>
      <c r="F22" s="32">
        <f>IF(COUNTIFS(구역19!F4:F73,"타교회",구역19!E4:E73,"*"&amp;$B31&amp;"*")+COUNTIFS(구역19!H4:H73,"*타교회*",구역19!E4:E73,"*"&amp;$B31&amp;"*")=0,"",COUNTIFS(구역19!F4:F73,"타교회",구역19!E4:E73,"*"&amp;$B31&amp;"*")+COUNTIFS(구역19!H4:H73,"*타교회*",구역19!E4:E73,"*"&amp;$B31&amp;"*"))</f>
        <v/>
      </c>
      <c r="G22" s="32">
        <f>IF(COUNTIFS(구역19!G4:G73,"타교회",구역19!E4:E73,"*"&amp;$B31&amp;"*")+COUNTIFS(구역19!J4:J73,"*타교회*",구역19!E4:E73,"*"&amp;$B31&amp;"*")=0,"",COUNTIFS(구역19!G4:G73,"타교회",구역19!E4:E73,"*"&amp;$B31&amp;"*")+COUNTIFS(구역19!J4:J73,"*타교회*",구역19!E4:E73,"*"&amp;$B31&amp;"*"))</f>
        <v/>
      </c>
      <c r="H22" s="32">
        <f>IF(COUNTIFS(구역19!F4:F73,"개인차",구역19!E4:E73,"*"&amp;$B31&amp;"*")+(COUNTIFS(구역19!H4:H73,"?*",구역19!E4:E73,"*"&amp;$B31&amp;"*")-COUNTIFS(구역19!H4:H73,"*교회차*",구역19!E4:E73,"*"&amp;$B31&amp;"*")-COUNTIFS(구역19!H4:H73,"*타교회*",구역19!E4:E73,"*"&amp;$B31&amp;"*")-COUNTIFS(구역19!H4:H73,"*대중교통*",구역19!E4:E73,"*"&amp;$B31&amp;"*"))=0,"",COUNTIFS(구역19!F4:F73,"개인차",구역19!E4:E73,"*"&amp;$B31&amp;"*")+(COUNTIFS(구역19!H4:H73,"?*",구역19!E4:E73,"*"&amp;$B31&amp;"*")-COUNTIFS(구역19!H4:H73,"*교회차*",구역19!E4:E73,"*"&amp;$B31&amp;"*")-COUNTIFS(구역19!H4:H73,"*타교회*",구역19!E4:E73,"*"&amp;$B31&amp;"*")-COUNTIFS(구역19!H4:H73,"*대중교통*",구역19!E4:E73,"*"&amp;$B31&amp;"*")))</f>
        <v/>
      </c>
      <c r="I22" s="32">
        <f>IF(COUNTIFS(구역19!G4:G73,"개인차",구역19!E4:E73,"*"&amp;$B31&amp;"*")+(COUNTIFS(구역19!J4:J73,"?*",구역19!E4:E73,"*"&amp;$B31&amp;"*")-COUNTIFS(구역19!J4:J73,"*교회차*",구역19!E4:E73,"*"&amp;$B31&amp;"*")-COUNTIFS(구역19!J4:J73,"*타교회*",구역19!E4:E73,"*"&amp;$B31&amp;"*")-COUNTIFS(구역19!J4:J73,"*대중교통*",구역19!E4:E73,"*"&amp;$B31&amp;"*"))=0,"",COUNTIFS(구역19!G4:G73,"개인차",구역19!E4:E73,"*"&amp;$B31&amp;"*")+(COUNTIFS(구역19!J4:J73,"?*",구역19!E4:E73,"*"&amp;$B31&amp;"*")-COUNTIFS(구역19!J4:J73,"*교회차*",구역19!E4:E73,"*"&amp;$B31&amp;"*")-COUNTIFS(구역19!J4:J73,"*타교회*",구역19!E4:E73,"*"&amp;$B31&amp;"*")-COUNTIFS(구역19!J4:J73,"*대중교통*",구역19!E4:E73,"*"&amp;$B31&amp;"*")))</f>
        <v/>
      </c>
      <c r="J22" s="32">
        <f>IF(COUNTIFS(구역19!F4:F73,"대중교통",구역19!E4:E73,"*"&amp;$B31&amp;"*")+COUNTIFS(구역19!H4:H73,"*대중교통*",구역19!E4:E73,"*"&amp;$B31&amp;"*")=0,"",COUNTIFS(구역19!F4:F73,"대중교통",구역19!E4:E73,"*"&amp;$B31&amp;"*")+COUNTIFS(구역19!H4:H73,"*대중교통*",구역19!E4:E73,"*"&amp;$B31&amp;"*"))</f>
        <v/>
      </c>
      <c r="K22" s="32">
        <f>IF(COUNTIFS(구역19!G4:G73,"대중교통",구역19!E4:E73,"*"&amp;$B31&amp;"*")+COUNTIFS(구역19!J4:J73,"*대중교통*",구역19!E4:E73,"*"&amp;$B31&amp;"*")=0,"",COUNTIFS(구역19!G4:G73,"대중교통",구역19!E4:E73,"*"&amp;$B31&amp;"*")+COUNTIFS(구역19!J4:J73,"*대중교통*",구역19!E4:E73,"*"&amp;$B31&amp;"*"))</f>
        <v/>
      </c>
      <c r="L22" s="42">
        <f>IF(SUM(B22,D22,F22,H22,J22)=0,"",SUM(B22,D22,F22,H22,J22))</f>
        <v/>
      </c>
      <c r="M22" s="81" t="n"/>
      <c r="N22" s="81" t="n"/>
    </row>
    <row r="23">
      <c r="A23" s="32" t="inlineStr">
        <is>
          <t>구역20</t>
        </is>
      </c>
      <c r="B23" s="32">
        <f>IF(COUNTIFS(구역20!F4:F73,"1호차",구역20!E4:E73,"*"&amp;$B31&amp;"*")+COUNTIFS(구역20!F4:F73,"2호차",구역20!E4:E73,"*"&amp;$B31&amp;"*")+COUNTIFS(구역20!F4:F73,"3호차",구역20!E4:E73,"*"&amp;$B31&amp;"*")+COUNTIFS(구역20!F4:F73,"4호차",구역20!E4:E73,"*"&amp;$B31&amp;"*")+COUNTIFS(구역20!F4:F73,"5호차",구역20!E4:E73,"*"&amp;$B31&amp;"*")+COUNTIFS(구역20!F4:F73,"6호차",구역20!E4:E73,"*"&amp;$B31&amp;"*")+COUNTIFS(구역20!F4:F73,"7호차",구역20!E4:E73,"*"&amp;$B31&amp;"*")+COUNTIFS(구역20!F4:F73,"8호차",구역20!E4:E73,"*"&amp;$B31&amp;"*")+COUNTIFS(구역20!F4:F73,"9호차",구역20!E4:E73,"*"&amp;$B31&amp;"*")+COUNTIFS(구역20!F4:F73,"10호차",구역20!E4:E73,"*"&amp;$B31&amp;"*")=0,"",COUNTIFS(구역20!F4:F73,"1호차",구역20!E4:E73,"*"&amp;$B31&amp;"*")+COUNTIFS(구역20!F4:F73,"2호차",구역20!E4:E73,"*"&amp;$B31&amp;"*")+COUNTIFS(구역20!F4:F73,"3호차",구역20!E4:E73,"*"&amp;$B31&amp;"*")+COUNTIFS(구역20!F4:F73,"4호차",구역20!E4:E73,"*"&amp;$B31&amp;"*")+COUNTIFS(구역20!F4:F73,"5호차",구역20!E4:E73,"*"&amp;$B31&amp;"*")+COUNTIFS(구역20!F4:F73,"6호차",구역20!E4:E73,"*"&amp;$B31&amp;"*")+COUNTIFS(구역20!F4:F73,"7호차",구역20!E4:E73,"*"&amp;$B31&amp;"*")+COUNTIFS(구역20!F4:F73,"8호차",구역20!E4:E73,"*"&amp;$B31&amp;"*")+COUNTIFS(구역20!F4:F73,"9호차",구역20!E4:E73,"*"&amp;$B31&amp;"*")+COUNTIFS(구역20!F4:F73,"10호차",구역20!E4:E73,"*"&amp;$B31&amp;"*"))</f>
        <v/>
      </c>
      <c r="C23" s="32">
        <f>IF(COUNTIFS(구역20!G4:G73,"1호차",구역20!E4:E73,"*"&amp;$B31&amp;"*")+COUNTIFS(구역20!G4:G73,"2호차",구역20!E4:E73,"*"&amp;$B31&amp;"*")+COUNTIFS(구역20!G4:G73,"3호차",구역20!E4:E73,"*"&amp;$B31&amp;"*")+COUNTIFS(구역20!G4:G73,"4호차",구역20!E4:E73,"*"&amp;$B31&amp;"*")+COUNTIFS(구역20!G4:G73,"5호차",구역20!E4:E73,"*"&amp;$B31&amp;"*")+COUNTIFS(구역20!G4:G73,"6호차",구역20!E4:E73,"*"&amp;$B31&amp;"*")+COUNTIFS(구역20!G4:G73,"7호차",구역20!E4:E73,"*"&amp;$B31&amp;"*")+COUNTIFS(구역20!G4:G73,"8호차",구역20!E4:E73,"*"&amp;$B31&amp;"*")+COUNTIFS(구역20!G4:G73,"9호차",구역20!E4:E73,"*"&amp;$B31&amp;"*")+COUNTIFS(구역20!G4:G73,"10호차",구역20!E4:E73,"*"&amp;$B31&amp;"*")=0,"",COUNTIFS(구역20!G4:G73,"1호차",구역20!E4:E73,"*"&amp;$B31&amp;"*")+COUNTIFS(구역20!G4:G73,"2호차",구역20!E4:E73,"*"&amp;$B31&amp;"*")+COUNTIFS(구역20!G4:G73,"3호차",구역20!E4:E73,"*"&amp;$B31&amp;"*")+COUNTIFS(구역20!G4:G73,"4호차",구역20!E4:E73,"*"&amp;$B31&amp;"*")+COUNTIFS(구역20!G4:G73,"5호차",구역20!E4:E73,"*"&amp;$B31&amp;"*")+COUNTIFS(구역20!G4:G73,"6호차",구역20!E4:E73,"*"&amp;$B31&amp;"*")+COUNTIFS(구역20!G4:G73,"7호차",구역20!E4:E73,"*"&amp;$B31&amp;"*")+COUNTIFS(구역20!G4:G73,"8호차",구역20!E4:E73,"*"&amp;$B31&amp;"*")+COUNTIFS(구역20!G4:G73,"9호차",구역20!E4:E73,"*"&amp;$B31&amp;"*")+COUNTIFS(구역20!G4:G73,"10호차",구역20!E4:E73,"*"&amp;$B31&amp;"*"))</f>
        <v/>
      </c>
      <c r="D23" s="32">
        <f>IF(COUNTIFS(구역20!F4:F73,"교회차1",구역20!E4:E73,"*"&amp;$B31&amp;"*")+COUNTIFS(구역20!F4:F73,"교회차2",구역20!E4:E73,"*"&amp;$B31&amp;"*")+COUNTIFS(구역20!F4:F73,"교회차3",구역20!E4:E73,"*"&amp;$B31&amp;"*")+COUNTIFS(구역20!F4:F73,"교회차4",구역20!E4:E73,"*"&amp;$B31&amp;"*")+COUNTIFS(구역20!F4:F73,"교회차5",구역20!E4:E73,"*"&amp;$B31&amp;"*")+COUNTIFS(구역20!H4:H73,"*교회차*",구역20!E4:E73,"*"&amp;$B31&amp;"*")=0,"",COUNTIFS(구역20!F4:F73,"교회차1",구역20!E4:E73,"*"&amp;$B31&amp;"*")+COUNTIFS(구역20!F4:F73,"교회차2",구역20!E4:E73,"*"&amp;$B31&amp;"*")+COUNTIFS(구역20!F4:F73,"교회차3",구역20!E4:E73,"*"&amp;$B31&amp;"*")+COUNTIFS(구역20!F4:F73,"교회차4",구역20!E4:E73,"*"&amp;$B31&amp;"*")+COUNTIFS(구역20!F4:F73,"교회차5",구역20!E4:E73,"*"&amp;$B31&amp;"*")+COUNTIFS(구역20!H4:H73,"*교회차*",구역20!E4:E73,"*"&amp;$B31&amp;"*"))</f>
        <v/>
      </c>
      <c r="E23" s="32">
        <f>IF(COUNTIFS(구역20!G4:G73,"교회차1",구역20!E4:E73,"*"&amp;$B31&amp;"*")+COUNTIFS(구역20!G4:G73,"교회차2",구역20!E4:E73,"*"&amp;$B31&amp;"*")+COUNTIFS(구역20!G4:G73,"교회차3",구역20!E4:E73,"*"&amp;$B31&amp;"*")+COUNTIFS(구역20!G4:G73,"교회차4",구역20!E4:E73,"*"&amp;$B31&amp;"*")+COUNTIFS(구역20!G4:G73,"교회차5",구역20!E4:E73,"*"&amp;$B31&amp;"*")+COUNTIFS(구역20!J4:J73,"*교회차*",구역20!E4:E73,"*"&amp;$B31&amp;"*")=0,"",COUNTIFS(구역20!G4:G73,"교회차1",구역20!E4:E73,"*"&amp;$B31&amp;"*")+COUNTIFS(구역20!G4:G73,"교회차2",구역20!E4:E73,"*"&amp;$B31&amp;"*")+COUNTIFS(구역20!G4:G73,"교회차3",구역20!E4:E73,"*"&amp;$B31&amp;"*")+COUNTIFS(구역20!G4:G73,"교회차4",구역20!E4:E73,"*"&amp;$B31&amp;"*")+COUNTIFS(구역20!G4:G73,"교회차5",구역20!E4:E73,"*"&amp;$B31&amp;"*")+COUNTIFS(구역20!J4:J73,"*교회차*",구역20!E4:E73,"*"&amp;$B31&amp;"*"))</f>
        <v/>
      </c>
      <c r="F23" s="32">
        <f>IF(COUNTIFS(구역20!F4:F73,"타교회",구역20!E4:E73,"*"&amp;$B31&amp;"*")+COUNTIFS(구역20!H4:H73,"*타교회*",구역20!E4:E73,"*"&amp;$B31&amp;"*")=0,"",COUNTIFS(구역20!F4:F73,"타교회",구역20!E4:E73,"*"&amp;$B31&amp;"*")+COUNTIFS(구역20!H4:H73,"*타교회*",구역20!E4:E73,"*"&amp;$B31&amp;"*"))</f>
        <v/>
      </c>
      <c r="G23" s="32">
        <f>IF(COUNTIFS(구역20!G4:G73,"타교회",구역20!E4:E73,"*"&amp;$B31&amp;"*")+COUNTIFS(구역20!J4:J73,"*타교회*",구역20!E4:E73,"*"&amp;$B31&amp;"*")=0,"",COUNTIFS(구역20!G4:G73,"타교회",구역20!E4:E73,"*"&amp;$B31&amp;"*")+COUNTIFS(구역20!J4:J73,"*타교회*",구역20!E4:E73,"*"&amp;$B31&amp;"*"))</f>
        <v/>
      </c>
      <c r="H23" s="32">
        <f>IF(COUNTIFS(구역20!F4:F73,"개인차",구역20!E4:E73,"*"&amp;$B31&amp;"*")+(COUNTIFS(구역20!H4:H73,"?*",구역20!E4:E73,"*"&amp;$B31&amp;"*")-COUNTIFS(구역20!H4:H73,"*교회차*",구역20!E4:E73,"*"&amp;$B31&amp;"*")-COUNTIFS(구역20!H4:H73,"*타교회*",구역20!E4:E73,"*"&amp;$B31&amp;"*")-COUNTIFS(구역20!H4:H73,"*대중교통*",구역20!E4:E73,"*"&amp;$B31&amp;"*"))=0,"",COUNTIFS(구역20!F4:F73,"개인차",구역20!E4:E73,"*"&amp;$B31&amp;"*")+(COUNTIFS(구역20!H4:H73,"?*",구역20!E4:E73,"*"&amp;$B31&amp;"*")-COUNTIFS(구역20!H4:H73,"*교회차*",구역20!E4:E73,"*"&amp;$B31&amp;"*")-COUNTIFS(구역20!H4:H73,"*타교회*",구역20!E4:E73,"*"&amp;$B31&amp;"*")-COUNTIFS(구역20!H4:H73,"*대중교통*",구역20!E4:E73,"*"&amp;$B31&amp;"*")))</f>
        <v/>
      </c>
      <c r="I23" s="32">
        <f>IF(COUNTIFS(구역20!G4:G73,"개인차",구역20!E4:E73,"*"&amp;$B31&amp;"*")+(COUNTIFS(구역20!J4:J73,"?*",구역20!E4:E73,"*"&amp;$B31&amp;"*")-COUNTIFS(구역20!J4:J73,"*교회차*",구역20!E4:E73,"*"&amp;$B31&amp;"*")-COUNTIFS(구역20!J4:J73,"*타교회*",구역20!E4:E73,"*"&amp;$B31&amp;"*")-COUNTIFS(구역20!J4:J73,"*대중교통*",구역20!E4:E73,"*"&amp;$B31&amp;"*"))=0,"",COUNTIFS(구역20!G4:G73,"개인차",구역20!E4:E73,"*"&amp;$B31&amp;"*")+(COUNTIFS(구역20!J4:J73,"?*",구역20!E4:E73,"*"&amp;$B31&amp;"*")-COUNTIFS(구역20!J4:J73,"*교회차*",구역20!E4:E73,"*"&amp;$B31&amp;"*")-COUNTIFS(구역20!J4:J73,"*타교회*",구역20!E4:E73,"*"&amp;$B31&amp;"*")-COUNTIFS(구역20!J4:J73,"*대중교통*",구역20!E4:E73,"*"&amp;$B31&amp;"*")))</f>
        <v/>
      </c>
      <c r="J23" s="32">
        <f>IF(COUNTIFS(구역20!F4:F73,"대중교통",구역20!E4:E73,"*"&amp;$B31&amp;"*")+COUNTIFS(구역20!H4:H73,"*대중교통*",구역20!E4:E73,"*"&amp;$B31&amp;"*")=0,"",COUNTIFS(구역20!F4:F73,"대중교통",구역20!E4:E73,"*"&amp;$B31&amp;"*")+COUNTIFS(구역20!H4:H73,"*대중교통*",구역20!E4:E73,"*"&amp;$B31&amp;"*"))</f>
        <v/>
      </c>
      <c r="K23" s="32">
        <f>IF(COUNTIFS(구역20!G4:G73,"대중교통",구역20!E4:E73,"*"&amp;$B31&amp;"*")+COUNTIFS(구역20!J4:J73,"*대중교통*",구역20!E4:E73,"*"&amp;$B31&amp;"*")=0,"",COUNTIFS(구역20!G4:G73,"대중교통",구역20!E4:E73,"*"&amp;$B31&amp;"*")+COUNTIFS(구역20!J4:J73,"*대중교통*",구역20!E4:E73,"*"&amp;$B31&amp;"*"))</f>
        <v/>
      </c>
      <c r="L23" s="42">
        <f>IF(SUM(B23,D23,F23,H23,J23)=0,"",SUM(B23,D23,F23,H23,J23))</f>
        <v/>
      </c>
      <c r="M23" s="81" t="n"/>
      <c r="N23" s="81" t="n"/>
    </row>
    <row r="24" ht="20" customHeight="1" s="33">
      <c r="A24" s="86" t="inlineStr">
        <is>
          <t>합  계</t>
        </is>
      </c>
      <c r="B24" s="86">
        <f>IF(SUM(B4:B23)=0,"",SUM(B4:B23))</f>
        <v/>
      </c>
      <c r="C24" s="86">
        <f>IF(SUM(C4:C23)=0,"",SUM(C4:C23))</f>
        <v/>
      </c>
      <c r="D24" s="86">
        <f>IF(SUM(D4:D23)=0,"",SUM(D4:D23))</f>
        <v/>
      </c>
      <c r="E24" s="86">
        <f>IF(SUM(E4:E23)=0,"",SUM(E4:E23))</f>
        <v/>
      </c>
      <c r="F24" s="86">
        <f>IF(SUM(F4:F23)=0,"",SUM(F4:F23))</f>
        <v/>
      </c>
      <c r="G24" s="86">
        <f>IF(SUM(G4:G23)=0,"",SUM(G4:G23))</f>
        <v/>
      </c>
      <c r="H24" s="86">
        <f>IF(SUM(H4:H23)=0,"",SUM(H4:H23))</f>
        <v/>
      </c>
      <c r="I24" s="86">
        <f>IF(SUM(I4:I23)=0,"",SUM(I4:I23))</f>
        <v/>
      </c>
      <c r="J24" s="86">
        <f>IF(SUM(J4:J23)=0,"",SUM(J4:J23))</f>
        <v/>
      </c>
      <c r="K24" s="86">
        <f>IF(SUM(K4:K23)=0,"",SUM(K4:K23))</f>
        <v/>
      </c>
      <c r="L24" s="86">
        <f>IF(SUM(L4:L23)=0,"",SUM(L4:L23))</f>
        <v/>
      </c>
      <c r="M24" s="81" t="n"/>
      <c r="N24" s="81" t="n"/>
    </row>
    <row r="25">
      <c r="M25" s="81" t="n"/>
      <c r="N25" s="81" t="n"/>
    </row>
    <row r="26" ht="22" customHeight="1" s="33">
      <c r="A26" s="71" t="inlineStr">
        <is>
          <t>차수별 접수인원</t>
        </is>
      </c>
      <c r="M26" s="81" t="n"/>
      <c r="N26" s="81" t="n"/>
    </row>
    <row r="27" ht="20" customHeight="1" s="33">
      <c r="A27" s="72" t="inlineStr">
        <is>
          <t>차수</t>
        </is>
      </c>
      <c r="B27" s="72" t="inlineStr">
        <is>
          <t>1차</t>
        </is>
      </c>
      <c r="C27" s="72" t="inlineStr">
        <is>
          <t>2차</t>
        </is>
      </c>
      <c r="D27" s="72" t="inlineStr">
        <is>
          <t>3차</t>
        </is>
      </c>
      <c r="E27" s="72" t="inlineStr">
        <is>
          <t>4차</t>
        </is>
      </c>
      <c r="F27" s="72" t="inlineStr">
        <is>
          <t>5차</t>
        </is>
      </c>
      <c r="G27" s="72" t="inlineStr">
        <is>
          <t>6차</t>
        </is>
      </c>
      <c r="H27" s="72" t="inlineStr">
        <is>
          <t>7차</t>
        </is>
      </c>
      <c r="I27" s="72" t="inlineStr">
        <is>
          <t>8차</t>
        </is>
      </c>
      <c r="J27" s="72" t="inlineStr">
        <is>
          <t>계</t>
        </is>
      </c>
      <c r="M27" s="81" t="n"/>
      <c r="N27" s="81" t="n"/>
    </row>
    <row r="28" ht="20" customHeight="1" s="33">
      <c r="A28" s="72" t="inlineStr">
        <is>
          <t>접수인원</t>
        </is>
      </c>
      <c r="B28" s="73">
        <f>IF(COUNTIF(구역1!E4:E73,"*1차*")+COUNTIF(구역2!E4:E73,"*1차*")+COUNTIF(구역3!E4:E73,"*1차*")+COUNTIF(구역4!E4:E73,"*1차*")+COUNTIF(구역5!E4:E73,"*1차*")+COUNTIF(구역6!E4:E73,"*1차*")+COUNTIF(구역7!E4:E73,"*1차*")+COUNTIF(구역8!E4:E73,"*1차*")+COUNTIF(구역9!E4:E73,"*1차*")+COUNTIF(구역10!E4:E73,"*1차*")+COUNTIF(구역11!E4:E73,"*1차*")+COUNTIF(구역12!E4:E73,"*1차*")+COUNTIF(구역13!E4:E73,"*1차*")+COUNTIF(구역14!E4:E73,"*1차*")+COUNTIF(구역15!E4:E73,"*1차*")+COUNTIF(구역16!E4:E73,"*1차*")+COUNTIF(구역17!E4:E73,"*1차*")+COUNTIF(구역18!E4:E73,"*1차*")+COUNTIF(구역19!E4:E73,"*1차*")+COUNTIF(구역20!E4:E73,"*1차*")=0,"",COUNTIF(구역1!E4:E73,"*1차*")+COUNTIF(구역2!E4:E73,"*1차*")+COUNTIF(구역3!E4:E73,"*1차*")+COUNTIF(구역4!E4:E73,"*1차*")+COUNTIF(구역5!E4:E73,"*1차*")+COUNTIF(구역6!E4:E73,"*1차*")+COUNTIF(구역7!E4:E73,"*1차*")+COUNTIF(구역8!E4:E73,"*1차*")+COUNTIF(구역9!E4:E73,"*1차*")+COUNTIF(구역10!E4:E73,"*1차*")+COUNTIF(구역11!E4:E73,"*1차*")+COUNTIF(구역12!E4:E73,"*1차*")+COUNTIF(구역13!E4:E73,"*1차*")+COUNTIF(구역14!E4:E73,"*1차*")+COUNTIF(구역15!E4:E73,"*1차*")+COUNTIF(구역16!E4:E73,"*1차*")+COUNTIF(구역17!E4:E73,"*1차*")+COUNTIF(구역18!E4:E73,"*1차*")+COUNTIF(구역19!E4:E73,"*1차*")+COUNTIF(구역20!E4:E73,"*1차*"))</f>
        <v/>
      </c>
      <c r="C28" s="73">
        <f>IF(COUNTIF(구역1!E4:E73,"*2차*")+COUNTIF(구역2!E4:E73,"*2차*")+COUNTIF(구역3!E4:E73,"*2차*")+COUNTIF(구역4!E4:E73,"*2차*")+COUNTIF(구역5!E4:E73,"*2차*")+COUNTIF(구역6!E4:E73,"*2차*")+COUNTIF(구역7!E4:E73,"*2차*")+COUNTIF(구역8!E4:E73,"*2차*")+COUNTIF(구역9!E4:E73,"*2차*")+COUNTIF(구역10!E4:E73,"*2차*")+COUNTIF(구역11!E4:E73,"*2차*")+COUNTIF(구역12!E4:E73,"*2차*")+COUNTIF(구역13!E4:E73,"*2차*")+COUNTIF(구역14!E4:E73,"*2차*")+COUNTIF(구역15!E4:E73,"*2차*")+COUNTIF(구역16!E4:E73,"*2차*")+COUNTIF(구역17!E4:E73,"*2차*")+COUNTIF(구역18!E4:E73,"*2차*")+COUNTIF(구역19!E4:E73,"*2차*")+COUNTIF(구역20!E4:E73,"*2차*")=0,"",COUNTIF(구역1!E4:E73,"*2차*")+COUNTIF(구역2!E4:E73,"*2차*")+COUNTIF(구역3!E4:E73,"*2차*")+COUNTIF(구역4!E4:E73,"*2차*")+COUNTIF(구역5!E4:E73,"*2차*")+COUNTIF(구역6!E4:E73,"*2차*")+COUNTIF(구역7!E4:E73,"*2차*")+COUNTIF(구역8!E4:E73,"*2차*")+COUNTIF(구역9!E4:E73,"*2차*")+COUNTIF(구역10!E4:E73,"*2차*")+COUNTIF(구역11!E4:E73,"*2차*")+COUNTIF(구역12!E4:E73,"*2차*")+COUNTIF(구역13!E4:E73,"*2차*")+COUNTIF(구역14!E4:E73,"*2차*")+COUNTIF(구역15!E4:E73,"*2차*")+COUNTIF(구역16!E4:E73,"*2차*")+COUNTIF(구역17!E4:E73,"*2차*")+COUNTIF(구역18!E4:E73,"*2차*")+COUNTIF(구역19!E4:E73,"*2차*")+COUNTIF(구역20!E4:E73,"*2차*"))</f>
        <v/>
      </c>
      <c r="D28" s="73">
        <f>IF(COUNTIF(구역1!E4:E73,"*3차*")+COUNTIF(구역2!E4:E73,"*3차*")+COUNTIF(구역3!E4:E73,"*3차*")+COUNTIF(구역4!E4:E73,"*3차*")+COUNTIF(구역5!E4:E73,"*3차*")+COUNTIF(구역6!E4:E73,"*3차*")+COUNTIF(구역7!E4:E73,"*3차*")+COUNTIF(구역8!E4:E73,"*3차*")+COUNTIF(구역9!E4:E73,"*3차*")+COUNTIF(구역10!E4:E73,"*3차*")+COUNTIF(구역11!E4:E73,"*3차*")+COUNTIF(구역12!E4:E73,"*3차*")+COUNTIF(구역13!E4:E73,"*3차*")+COUNTIF(구역14!E4:E73,"*3차*")+COUNTIF(구역15!E4:E73,"*3차*")+COUNTIF(구역16!E4:E73,"*3차*")+COUNTIF(구역17!E4:E73,"*3차*")+COUNTIF(구역18!E4:E73,"*3차*")+COUNTIF(구역19!E4:E73,"*3차*")+COUNTIF(구역20!E4:E73,"*3차*")=0,"",COUNTIF(구역1!E4:E73,"*3차*")+COUNTIF(구역2!E4:E73,"*3차*")+COUNTIF(구역3!E4:E73,"*3차*")+COUNTIF(구역4!E4:E73,"*3차*")+COUNTIF(구역5!E4:E73,"*3차*")+COUNTIF(구역6!E4:E73,"*3차*")+COUNTIF(구역7!E4:E73,"*3차*")+COUNTIF(구역8!E4:E73,"*3차*")+COUNTIF(구역9!E4:E73,"*3차*")+COUNTIF(구역10!E4:E73,"*3차*")+COUNTIF(구역11!E4:E73,"*3차*")+COUNTIF(구역12!E4:E73,"*3차*")+COUNTIF(구역13!E4:E73,"*3차*")+COUNTIF(구역14!E4:E73,"*3차*")+COUNTIF(구역15!E4:E73,"*3차*")+COUNTIF(구역16!E4:E73,"*3차*")+COUNTIF(구역17!E4:E73,"*3차*")+COUNTIF(구역18!E4:E73,"*3차*")+COUNTIF(구역19!E4:E73,"*3차*")+COUNTIF(구역20!E4:E73,"*3차*"))</f>
        <v/>
      </c>
      <c r="E28" s="73">
        <f>IF(COUNTIF(구역1!E4:E73,"*4차*")+COUNTIF(구역2!E4:E73,"*4차*")+COUNTIF(구역3!E4:E73,"*4차*")+COUNTIF(구역4!E4:E73,"*4차*")+COUNTIF(구역5!E4:E73,"*4차*")+COUNTIF(구역6!E4:E73,"*4차*")+COUNTIF(구역7!E4:E73,"*4차*")+COUNTIF(구역8!E4:E73,"*4차*")+COUNTIF(구역9!E4:E73,"*4차*")+COUNTIF(구역10!E4:E73,"*4차*")+COUNTIF(구역11!E4:E73,"*4차*")+COUNTIF(구역12!E4:E73,"*4차*")+COUNTIF(구역13!E4:E73,"*4차*")+COUNTIF(구역14!E4:E73,"*4차*")+COUNTIF(구역15!E4:E73,"*4차*")+COUNTIF(구역16!E4:E73,"*4차*")+COUNTIF(구역17!E4:E73,"*4차*")+COUNTIF(구역18!E4:E73,"*4차*")+COUNTIF(구역19!E4:E73,"*4차*")+COUNTIF(구역20!E4:E73,"*4차*")=0,"",COUNTIF(구역1!E4:E73,"*4차*")+COUNTIF(구역2!E4:E73,"*4차*")+COUNTIF(구역3!E4:E73,"*4차*")+COUNTIF(구역4!E4:E73,"*4차*")+COUNTIF(구역5!E4:E73,"*4차*")+COUNTIF(구역6!E4:E73,"*4차*")+COUNTIF(구역7!E4:E73,"*4차*")+COUNTIF(구역8!E4:E73,"*4차*")+COUNTIF(구역9!E4:E73,"*4차*")+COUNTIF(구역10!E4:E73,"*4차*")+COUNTIF(구역11!E4:E73,"*4차*")+COUNTIF(구역12!E4:E73,"*4차*")+COUNTIF(구역13!E4:E73,"*4차*")+COUNTIF(구역14!E4:E73,"*4차*")+COUNTIF(구역15!E4:E73,"*4차*")+COUNTIF(구역16!E4:E73,"*4차*")+COUNTIF(구역17!E4:E73,"*4차*")+COUNTIF(구역18!E4:E73,"*4차*")+COUNTIF(구역19!E4:E73,"*4차*")+COUNTIF(구역20!E4:E73,"*4차*"))</f>
        <v/>
      </c>
      <c r="F28" s="73">
        <f>IF(COUNTIF(구역1!E4:E73,"*5차*")+COUNTIF(구역2!E4:E73,"*5차*")+COUNTIF(구역3!E4:E73,"*5차*")+COUNTIF(구역4!E4:E73,"*5차*")+COUNTIF(구역5!E4:E73,"*5차*")+COUNTIF(구역6!E4:E73,"*5차*")+COUNTIF(구역7!E4:E73,"*5차*")+COUNTIF(구역8!E4:E73,"*5차*")+COUNTIF(구역9!E4:E73,"*5차*")+COUNTIF(구역10!E4:E73,"*5차*")+COUNTIF(구역11!E4:E73,"*5차*")+COUNTIF(구역12!E4:E73,"*5차*")+COUNTIF(구역13!E4:E73,"*5차*")+COUNTIF(구역14!E4:E73,"*5차*")+COUNTIF(구역15!E4:E73,"*5차*")+COUNTIF(구역16!E4:E73,"*5차*")+COUNTIF(구역17!E4:E73,"*5차*")+COUNTIF(구역18!E4:E73,"*5차*")+COUNTIF(구역19!E4:E73,"*5차*")+COUNTIF(구역20!E4:E73,"*5차*")=0,"",COUNTIF(구역1!E4:E73,"*5차*")+COUNTIF(구역2!E4:E73,"*5차*")+COUNTIF(구역3!E4:E73,"*5차*")+COUNTIF(구역4!E4:E73,"*5차*")+COUNTIF(구역5!E4:E73,"*5차*")+COUNTIF(구역6!E4:E73,"*5차*")+COUNTIF(구역7!E4:E73,"*5차*")+COUNTIF(구역8!E4:E73,"*5차*")+COUNTIF(구역9!E4:E73,"*5차*")+COUNTIF(구역10!E4:E73,"*5차*")+COUNTIF(구역11!E4:E73,"*5차*")+COUNTIF(구역12!E4:E73,"*5차*")+COUNTIF(구역13!E4:E73,"*5차*")+COUNTIF(구역14!E4:E73,"*5차*")+COUNTIF(구역15!E4:E73,"*5차*")+COUNTIF(구역16!E4:E73,"*5차*")+COUNTIF(구역17!E4:E73,"*5차*")+COUNTIF(구역18!E4:E73,"*5차*")+COUNTIF(구역19!E4:E73,"*5차*")+COUNTIF(구역20!E4:E73,"*5차*"))</f>
        <v/>
      </c>
      <c r="G28" s="73">
        <f>IF(COUNTIF(구역1!E4:E73,"*6차*")+COUNTIF(구역2!E4:E73,"*6차*")+COUNTIF(구역3!E4:E73,"*6차*")+COUNTIF(구역4!E4:E73,"*6차*")+COUNTIF(구역5!E4:E73,"*6차*")+COUNTIF(구역6!E4:E73,"*6차*")+COUNTIF(구역7!E4:E73,"*6차*")+COUNTIF(구역8!E4:E73,"*6차*")+COUNTIF(구역9!E4:E73,"*6차*")+COUNTIF(구역10!E4:E73,"*6차*")+COUNTIF(구역11!E4:E73,"*6차*")+COUNTIF(구역12!E4:E73,"*6차*")+COUNTIF(구역13!E4:E73,"*6차*")+COUNTIF(구역14!E4:E73,"*6차*")+COUNTIF(구역15!E4:E73,"*6차*")+COUNTIF(구역16!E4:E73,"*6차*")+COUNTIF(구역17!E4:E73,"*6차*")+COUNTIF(구역18!E4:E73,"*6차*")+COUNTIF(구역19!E4:E73,"*6차*")+COUNTIF(구역20!E4:E73,"*6차*")=0,"",COUNTIF(구역1!E4:E73,"*6차*")+COUNTIF(구역2!E4:E73,"*6차*")+COUNTIF(구역3!E4:E73,"*6차*")+COUNTIF(구역4!E4:E73,"*6차*")+COUNTIF(구역5!E4:E73,"*6차*")+COUNTIF(구역6!E4:E73,"*6차*")+COUNTIF(구역7!E4:E73,"*6차*")+COUNTIF(구역8!E4:E73,"*6차*")+COUNTIF(구역9!E4:E73,"*6차*")+COUNTIF(구역10!E4:E73,"*6차*")+COUNTIF(구역11!E4:E73,"*6차*")+COUNTIF(구역12!E4:E73,"*6차*")+COUNTIF(구역13!E4:E73,"*6차*")+COUNTIF(구역14!E4:E73,"*6차*")+COUNTIF(구역15!E4:E73,"*6차*")+COUNTIF(구역16!E4:E73,"*6차*")+COUNTIF(구역17!E4:E73,"*6차*")+COUNTIF(구역18!E4:E73,"*6차*")+COUNTIF(구역19!E4:E73,"*6차*")+COUNTIF(구역20!E4:E73,"*6차*"))</f>
        <v/>
      </c>
      <c r="H28" s="73">
        <f>IF(COUNTIF(구역1!E4:E73,"*7차*")+COUNTIF(구역2!E4:E73,"*7차*")+COUNTIF(구역3!E4:E73,"*7차*")+COUNTIF(구역4!E4:E73,"*7차*")+COUNTIF(구역5!E4:E73,"*7차*")+COUNTIF(구역6!E4:E73,"*7차*")+COUNTIF(구역7!E4:E73,"*7차*")+COUNTIF(구역8!E4:E73,"*7차*")+COUNTIF(구역9!E4:E73,"*7차*")+COUNTIF(구역10!E4:E73,"*7차*")+COUNTIF(구역11!E4:E73,"*7차*")+COUNTIF(구역12!E4:E73,"*7차*")+COUNTIF(구역13!E4:E73,"*7차*")+COUNTIF(구역14!E4:E73,"*7차*")+COUNTIF(구역15!E4:E73,"*7차*")+COUNTIF(구역16!E4:E73,"*7차*")+COUNTIF(구역17!E4:E73,"*7차*")+COUNTIF(구역18!E4:E73,"*7차*")+COUNTIF(구역19!E4:E73,"*7차*")+COUNTIF(구역20!E4:E73,"*7차*")=0,"",COUNTIF(구역1!E4:E73,"*7차*")+COUNTIF(구역2!E4:E73,"*7차*")+COUNTIF(구역3!E4:E73,"*7차*")+COUNTIF(구역4!E4:E73,"*7차*")+COUNTIF(구역5!E4:E73,"*7차*")+COUNTIF(구역6!E4:E73,"*7차*")+COUNTIF(구역7!E4:E73,"*7차*")+COUNTIF(구역8!E4:E73,"*7차*")+COUNTIF(구역9!E4:E73,"*7차*")+COUNTIF(구역10!E4:E73,"*7차*")+COUNTIF(구역11!E4:E73,"*7차*")+COUNTIF(구역12!E4:E73,"*7차*")+COUNTIF(구역13!E4:E73,"*7차*")+COUNTIF(구역14!E4:E73,"*7차*")+COUNTIF(구역15!E4:E73,"*7차*")+COUNTIF(구역16!E4:E73,"*7차*")+COUNTIF(구역17!E4:E73,"*7차*")+COUNTIF(구역18!E4:E73,"*7차*")+COUNTIF(구역19!E4:E73,"*7차*")+COUNTIF(구역20!E4:E73,"*7차*"))</f>
        <v/>
      </c>
      <c r="I28" s="73">
        <f>IF(COUNTIF(구역1!E4:E73,"*8차*")+COUNTIF(구역2!E4:E73,"*8차*")+COUNTIF(구역3!E4:E73,"*8차*")+COUNTIF(구역4!E4:E73,"*8차*")+COUNTIF(구역5!E4:E73,"*8차*")+COUNTIF(구역6!E4:E73,"*8차*")+COUNTIF(구역7!E4:E73,"*8차*")+COUNTIF(구역8!E4:E73,"*8차*")+COUNTIF(구역9!E4:E73,"*8차*")+COUNTIF(구역10!E4:E73,"*8차*")+COUNTIF(구역11!E4:E73,"*8차*")+COUNTIF(구역12!E4:E73,"*8차*")+COUNTIF(구역13!E4:E73,"*8차*")+COUNTIF(구역14!E4:E73,"*8차*")+COUNTIF(구역15!E4:E73,"*8차*")+COUNTIF(구역16!E4:E73,"*8차*")+COUNTIF(구역17!E4:E73,"*8차*")+COUNTIF(구역18!E4:E73,"*8차*")+COUNTIF(구역19!E4:E73,"*8차*")+COUNTIF(구역20!E4:E73,"*8차*")=0,"",COUNTIF(구역1!E4:E73,"*8차*")+COUNTIF(구역2!E4:E73,"*8차*")+COUNTIF(구역3!E4:E73,"*8차*")+COUNTIF(구역4!E4:E73,"*8차*")+COUNTIF(구역5!E4:E73,"*8차*")+COUNTIF(구역6!E4:E73,"*8차*")+COUNTIF(구역7!E4:E73,"*8차*")+COUNTIF(구역8!E4:E73,"*8차*")+COUNTIF(구역9!E4:E73,"*8차*")+COUNTIF(구역10!E4:E73,"*8차*")+COUNTIF(구역11!E4:E73,"*8차*")+COUNTIF(구역12!E4:E73,"*8차*")+COUNTIF(구역13!E4:E73,"*8차*")+COUNTIF(구역14!E4:E73,"*8차*")+COUNTIF(구역15!E4:E73,"*8차*")+COUNTIF(구역16!E4:E73,"*8차*")+COUNTIF(구역17!E4:E73,"*8차*")+COUNTIF(구역18!E4:E73,"*8차*")+COUNTIF(구역19!E4:E73,"*8차*")+COUNTIF(구역20!E4:E73,"*8차*"))</f>
        <v/>
      </c>
      <c r="J28" s="73">
        <f>IF(SUM(B28:I28)=0,"",SUM(B28:I28))</f>
        <v/>
      </c>
      <c r="M28" s="81" t="n"/>
      <c r="N28" s="81" t="n"/>
    </row>
    <row r="29">
      <c r="M29" s="81" t="n"/>
      <c r="N29" s="81" t="n"/>
    </row>
    <row r="30">
      <c r="M30" s="81" t="n"/>
      <c r="N30" s="81" t="n"/>
    </row>
    <row r="31" ht="22" customHeight="1" s="33">
      <c r="A31" s="74" t="inlineStr">
        <is>
          <t>적용 차수</t>
        </is>
      </c>
      <c r="B31" s="75" t="inlineStr"/>
      <c r="C31" s="77" t="n"/>
      <c r="M31" s="81" t="n"/>
      <c r="N31" s="81" t="n"/>
    </row>
    <row r="32">
      <c r="M32" s="81" t="n"/>
      <c r="N32" s="81" t="n"/>
    </row>
    <row r="33">
      <c r="M33" s="81" t="n"/>
      <c r="N33" s="81" t="n"/>
    </row>
    <row r="34">
      <c r="M34" s="81" t="n"/>
      <c r="N34" s="81" t="n"/>
    </row>
  </sheetData>
  <mergeCells count="10">
    <mergeCell ref="A26:L26"/>
    <mergeCell ref="F2:G2"/>
    <mergeCell ref="B2:C2"/>
    <mergeCell ref="H2:I2"/>
    <mergeCell ref="D2:E2"/>
    <mergeCell ref="J2:K2"/>
    <mergeCell ref="A1:L1"/>
    <mergeCell ref="A2:A3"/>
    <mergeCell ref="B31:C31"/>
    <mergeCell ref="L2:L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C2" s="87" t="n"/>
      <c r="H2" s="63" t="inlineStr">
        <is>
          <t>선탑자:</t>
        </is>
      </c>
      <c r="I2" s="35" t="n"/>
      <c r="J2" s="87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21.75" customHeight="1" s="33">
      <c r="A47" s="43" t="n">
        <v>44</v>
      </c>
      <c r="B47" s="44" t="n"/>
      <c r="C47" s="44" t="n"/>
      <c r="D47" s="44" t="n"/>
      <c r="E47" s="44" t="n"/>
      <c r="F47" s="44" t="n"/>
      <c r="H47" s="43" t="n">
        <v>44</v>
      </c>
      <c r="I47" s="44" t="n"/>
      <c r="J47" s="44" t="n"/>
      <c r="K47" s="44" t="n"/>
      <c r="L47" s="44" t="n"/>
      <c r="M47" s="44" t="n"/>
    </row>
    <row r="48" ht="21.75" customHeight="1" s="33">
      <c r="A48" s="41" t="n">
        <v>45</v>
      </c>
      <c r="B48" s="42" t="n"/>
      <c r="C48" s="42" t="n"/>
      <c r="D48" s="42" t="n"/>
      <c r="E48" s="42" t="n"/>
      <c r="F48" s="42" t="n"/>
      <c r="H48" s="41" t="n">
        <v>45</v>
      </c>
      <c r="I48" s="42" t="n"/>
      <c r="J48" s="42" t="n"/>
      <c r="K48" s="42" t="n"/>
      <c r="L48" s="42" t="n"/>
      <c r="M48" s="42" t="n"/>
    </row>
    <row r="49" ht="15" customHeight="1" s="33">
      <c r="A49" s="45" t="inlineStr">
        <is>
          <t>합  계</t>
        </is>
      </c>
      <c r="B49" s="35" t="n"/>
      <c r="C49" s="35" t="n"/>
      <c r="D49" s="61">
        <f t="array" ref="D49:D49">IF(SUMPRODUCT((D4:D48&lt;&gt;"")*1)=0,"",SUMPRODUCT((D4:D48&lt;&gt;"")*1))</f>
        <v/>
      </c>
      <c r="E49" s="61" t="n"/>
      <c r="F49" s="61" t="n"/>
      <c r="H49" s="45" t="inlineStr">
        <is>
          <t>합  계</t>
        </is>
      </c>
      <c r="I49" s="35" t="n"/>
      <c r="J49" s="35" t="n"/>
      <c r="K49" s="61">
        <f t="array" ref="K49:K49">IF(SUMPRODUCT((K4:K48&lt;&gt;"")*1)=0,"",SUMPRODUCT((K4:K48&lt;&gt;"")*1))</f>
        <v/>
      </c>
      <c r="L49" s="61" t="n"/>
      <c r="M49" s="61" t="n"/>
    </row>
  </sheetData>
  <mergeCells count="6">
    <mergeCell ref="A2:B2"/>
    <mergeCell ref="H1:M1"/>
    <mergeCell ref="H2:I2"/>
    <mergeCell ref="A49:C49"/>
    <mergeCell ref="A1:F1"/>
    <mergeCell ref="H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G4" s="41" t="n">
        <v>1</v>
      </c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G5" s="43" t="n">
        <v>2</v>
      </c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G6" s="41" t="n">
        <v>3</v>
      </c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G7" s="43" t="n">
        <v>4</v>
      </c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G8" s="41" t="n">
        <v>5</v>
      </c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G9" s="43" t="n">
        <v>6</v>
      </c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G10" s="41" t="n">
        <v>7</v>
      </c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G11" s="43" t="n">
        <v>8</v>
      </c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G12" s="41" t="n">
        <v>9</v>
      </c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G13" s="43" t="n">
        <v>10</v>
      </c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G14" s="41" t="n">
        <v>11</v>
      </c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G15" s="43" t="n">
        <v>12</v>
      </c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G16" s="41" t="n">
        <v>13</v>
      </c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G17" s="43" t="n">
        <v>14</v>
      </c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G18" s="41" t="n">
        <v>15</v>
      </c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G19" s="43" t="n">
        <v>16</v>
      </c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G20" s="41" t="n">
        <v>17</v>
      </c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G21" s="43" t="n">
        <v>18</v>
      </c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G22" s="41" t="n">
        <v>19</v>
      </c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G23" s="43" t="n">
        <v>20</v>
      </c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G24" s="41" t="n">
        <v>21</v>
      </c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G25" s="43" t="n">
        <v>22</v>
      </c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G26" s="41" t="n">
        <v>23</v>
      </c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G27" s="43" t="n">
        <v>24</v>
      </c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G28" s="41" t="n">
        <v>25</v>
      </c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G29" s="43" t="n">
        <v>26</v>
      </c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G30" s="41" t="n">
        <v>27</v>
      </c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G31" s="43" t="n">
        <v>28</v>
      </c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G32" s="41" t="n">
        <v>29</v>
      </c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G33" s="43" t="n">
        <v>30</v>
      </c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G34" s="41" t="n">
        <v>31</v>
      </c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G35" s="43" t="n">
        <v>32</v>
      </c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G36" s="41" t="n">
        <v>33</v>
      </c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G37" s="43" t="n">
        <v>34</v>
      </c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G38" s="41" t="n">
        <v>35</v>
      </c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G39" s="43" t="n">
        <v>36</v>
      </c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G40" s="41" t="n">
        <v>37</v>
      </c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G41" s="43" t="n">
        <v>38</v>
      </c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G42" s="41" t="n">
        <v>39</v>
      </c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G43" s="43" t="n">
        <v>40</v>
      </c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G48" s="41" t="n">
        <v>1</v>
      </c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G49" s="43" t="n">
        <v>2</v>
      </c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G50" s="41" t="n">
        <v>3</v>
      </c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G51" s="43" t="n">
        <v>4</v>
      </c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G52" s="41" t="n">
        <v>5</v>
      </c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G53" s="43" t="n">
        <v>6</v>
      </c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G54" s="41" t="n">
        <v>7</v>
      </c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G55" s="43" t="n">
        <v>8</v>
      </c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G56" s="41" t="n">
        <v>9</v>
      </c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G57" s="43" t="n">
        <v>10</v>
      </c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G58" s="41" t="n">
        <v>11</v>
      </c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G59" s="43" t="n">
        <v>12</v>
      </c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G60" s="41" t="n">
        <v>13</v>
      </c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G61" s="43" t="n">
        <v>14</v>
      </c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G62" s="41" t="n">
        <v>15</v>
      </c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G63" s="43" t="n">
        <v>16</v>
      </c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G64" s="41" t="n">
        <v>17</v>
      </c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G65" s="43" t="n">
        <v>18</v>
      </c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G66" s="41" t="n">
        <v>19</v>
      </c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G67" s="43" t="n">
        <v>20</v>
      </c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G68" s="41" t="n">
        <v>21</v>
      </c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G69" s="43" t="n">
        <v>22</v>
      </c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G70" s="41" t="n">
        <v>23</v>
      </c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G71" s="43" t="n">
        <v>24</v>
      </c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G72" s="41" t="n">
        <v>25</v>
      </c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G73" s="43" t="n">
        <v>26</v>
      </c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G74" s="41" t="n">
        <v>27</v>
      </c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G75" s="43" t="n">
        <v>28</v>
      </c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G76" s="41" t="n">
        <v>29</v>
      </c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G77" s="43" t="n">
        <v>30</v>
      </c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G78" s="41" t="n">
        <v>31</v>
      </c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G79" s="43" t="n">
        <v>32</v>
      </c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G80" s="41" t="n">
        <v>33</v>
      </c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G81" s="43" t="n">
        <v>34</v>
      </c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G82" s="41" t="n">
        <v>35</v>
      </c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G83" s="43" t="n">
        <v>36</v>
      </c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G84" s="41" t="n">
        <v>37</v>
      </c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G85" s="43" t="n">
        <v>38</v>
      </c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G86" s="41" t="n">
        <v>39</v>
      </c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G87" s="43" t="n">
        <v>40</v>
      </c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G92" s="41" t="n">
        <v>1</v>
      </c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G93" s="43" t="n">
        <v>2</v>
      </c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G94" s="41" t="n">
        <v>3</v>
      </c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G95" s="43" t="n">
        <v>4</v>
      </c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G96" s="41" t="n">
        <v>5</v>
      </c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G97" s="43" t="n">
        <v>6</v>
      </c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G98" s="41" t="n">
        <v>7</v>
      </c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G99" s="43" t="n">
        <v>8</v>
      </c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G100" s="41" t="n">
        <v>9</v>
      </c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G101" s="43" t="n">
        <v>10</v>
      </c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G102" s="41" t="n">
        <v>11</v>
      </c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G103" s="43" t="n">
        <v>12</v>
      </c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G104" s="41" t="n">
        <v>13</v>
      </c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G105" s="43" t="n">
        <v>14</v>
      </c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G106" s="41" t="n">
        <v>15</v>
      </c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G107" s="43" t="n">
        <v>16</v>
      </c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G108" s="41" t="n">
        <v>17</v>
      </c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G109" s="43" t="n">
        <v>18</v>
      </c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G110" s="41" t="n">
        <v>19</v>
      </c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G111" s="43" t="n">
        <v>20</v>
      </c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G112" s="41" t="n">
        <v>21</v>
      </c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G113" s="43" t="n">
        <v>22</v>
      </c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G114" s="41" t="n">
        <v>23</v>
      </c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G115" s="43" t="n">
        <v>24</v>
      </c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G116" s="41" t="n">
        <v>25</v>
      </c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G117" s="43" t="n">
        <v>26</v>
      </c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G118" s="41" t="n">
        <v>27</v>
      </c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G119" s="43" t="n">
        <v>28</v>
      </c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G120" s="41" t="n">
        <v>29</v>
      </c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G121" s="43" t="n">
        <v>30</v>
      </c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G122" s="41" t="n">
        <v>31</v>
      </c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G123" s="43" t="n">
        <v>32</v>
      </c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G124" s="41" t="n">
        <v>33</v>
      </c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G125" s="43" t="n">
        <v>34</v>
      </c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G126" s="41" t="n">
        <v>35</v>
      </c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G127" s="43" t="n">
        <v>36</v>
      </c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G128" s="41" t="n">
        <v>37</v>
      </c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G129" s="43" t="n">
        <v>38</v>
      </c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G130" s="41" t="n">
        <v>39</v>
      </c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G131" s="43" t="n">
        <v>40</v>
      </c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G136" s="41" t="n">
        <v>1</v>
      </c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G137" s="43" t="n">
        <v>2</v>
      </c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G138" s="41" t="n">
        <v>3</v>
      </c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G139" s="43" t="n">
        <v>4</v>
      </c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G140" s="41" t="n">
        <v>5</v>
      </c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G141" s="43" t="n">
        <v>6</v>
      </c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G142" s="41" t="n">
        <v>7</v>
      </c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G143" s="43" t="n">
        <v>8</v>
      </c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G144" s="41" t="n">
        <v>9</v>
      </c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G145" s="43" t="n">
        <v>10</v>
      </c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G146" s="41" t="n">
        <v>11</v>
      </c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G147" s="43" t="n">
        <v>12</v>
      </c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G148" s="41" t="n">
        <v>13</v>
      </c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G149" s="43" t="n">
        <v>14</v>
      </c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G150" s="41" t="n">
        <v>15</v>
      </c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G151" s="43" t="n">
        <v>16</v>
      </c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G152" s="41" t="n">
        <v>17</v>
      </c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G153" s="43" t="n">
        <v>18</v>
      </c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G154" s="41" t="n">
        <v>19</v>
      </c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G155" s="43" t="n">
        <v>20</v>
      </c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G156" s="41" t="n">
        <v>21</v>
      </c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G157" s="43" t="n">
        <v>22</v>
      </c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G158" s="41" t="n">
        <v>23</v>
      </c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G159" s="43" t="n">
        <v>24</v>
      </c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G160" s="41" t="n">
        <v>25</v>
      </c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G161" s="43" t="n">
        <v>26</v>
      </c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G162" s="41" t="n">
        <v>27</v>
      </c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G163" s="43" t="n">
        <v>28</v>
      </c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G164" s="41" t="n">
        <v>29</v>
      </c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G165" s="43" t="n">
        <v>30</v>
      </c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G166" s="41" t="n">
        <v>31</v>
      </c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G167" s="43" t="n">
        <v>32</v>
      </c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G168" s="41" t="n">
        <v>33</v>
      </c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G169" s="43" t="n">
        <v>34</v>
      </c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G170" s="41" t="n">
        <v>35</v>
      </c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G171" s="43" t="n">
        <v>36</v>
      </c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G172" s="41" t="n">
        <v>37</v>
      </c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G173" s="43" t="n">
        <v>38</v>
      </c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G174" s="41" t="n">
        <v>39</v>
      </c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G175" s="43" t="n">
        <v>40</v>
      </c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G180" s="41" t="n">
        <v>1</v>
      </c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G181" s="43" t="n">
        <v>2</v>
      </c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G182" s="41" t="n">
        <v>3</v>
      </c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G183" s="43" t="n">
        <v>4</v>
      </c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G184" s="41" t="n">
        <v>5</v>
      </c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G185" s="43" t="n">
        <v>6</v>
      </c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G186" s="41" t="n">
        <v>7</v>
      </c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G187" s="43" t="n">
        <v>8</v>
      </c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G188" s="41" t="n">
        <v>9</v>
      </c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G189" s="43" t="n">
        <v>10</v>
      </c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G190" s="41" t="n">
        <v>11</v>
      </c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G191" s="43" t="n">
        <v>12</v>
      </c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G192" s="41" t="n">
        <v>13</v>
      </c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G193" s="43" t="n">
        <v>14</v>
      </c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G194" s="41" t="n">
        <v>15</v>
      </c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G195" s="43" t="n">
        <v>16</v>
      </c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G196" s="41" t="n">
        <v>17</v>
      </c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G197" s="43" t="n">
        <v>18</v>
      </c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G198" s="41" t="n">
        <v>19</v>
      </c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G199" s="43" t="n">
        <v>20</v>
      </c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G200" s="41" t="n">
        <v>21</v>
      </c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G201" s="43" t="n">
        <v>22</v>
      </c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G202" s="41" t="n">
        <v>23</v>
      </c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G203" s="43" t="n">
        <v>24</v>
      </c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G204" s="41" t="n">
        <v>25</v>
      </c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G205" s="43" t="n">
        <v>26</v>
      </c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G206" s="41" t="n">
        <v>27</v>
      </c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G207" s="43" t="n">
        <v>28</v>
      </c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G208" s="41" t="n">
        <v>29</v>
      </c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G209" s="43" t="n">
        <v>30</v>
      </c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G210" s="41" t="n">
        <v>31</v>
      </c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G211" s="43" t="n">
        <v>32</v>
      </c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G212" s="41" t="n">
        <v>33</v>
      </c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G213" s="43" t="n">
        <v>34</v>
      </c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G214" s="41" t="n">
        <v>35</v>
      </c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G215" s="43" t="n">
        <v>36</v>
      </c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G216" s="41" t="n">
        <v>37</v>
      </c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G217" s="43" t="n">
        <v>38</v>
      </c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G218" s="41" t="n">
        <v>39</v>
      </c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G219" s="43" t="n">
        <v>40</v>
      </c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1:K1"/>
    <mergeCell ref="A45:K45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G4" s="41" t="n">
        <v>1</v>
      </c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G5" s="43" t="n">
        <v>2</v>
      </c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G6" s="41" t="n">
        <v>3</v>
      </c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G7" s="43" t="n">
        <v>4</v>
      </c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G8" s="41" t="n">
        <v>5</v>
      </c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G9" s="43" t="n">
        <v>6</v>
      </c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G10" s="41" t="n">
        <v>7</v>
      </c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G14" s="41" t="n">
        <v>1</v>
      </c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G15" s="43" t="n">
        <v>2</v>
      </c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G16" s="41" t="n">
        <v>3</v>
      </c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G17" s="43" t="n">
        <v>4</v>
      </c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G18" s="41" t="n">
        <v>5</v>
      </c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G19" s="43" t="n">
        <v>6</v>
      </c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G20" s="41" t="n">
        <v>7</v>
      </c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G24" s="41" t="n">
        <v>1</v>
      </c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G25" s="43" t="n">
        <v>2</v>
      </c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G26" s="41" t="n">
        <v>3</v>
      </c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G27" s="43" t="n">
        <v>4</v>
      </c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G28" s="41" t="n">
        <v>5</v>
      </c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G29" s="43" t="n">
        <v>6</v>
      </c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G30" s="41" t="n">
        <v>7</v>
      </c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G34" s="41" t="n">
        <v>1</v>
      </c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G35" s="43" t="n">
        <v>2</v>
      </c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G36" s="41" t="n">
        <v>3</v>
      </c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G37" s="43" t="n">
        <v>4</v>
      </c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G38" s="41" t="n">
        <v>5</v>
      </c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G39" s="43" t="n">
        <v>6</v>
      </c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G40" s="41" t="n">
        <v>7</v>
      </c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G44" s="41" t="n">
        <v>1</v>
      </c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G45" s="43" t="n">
        <v>2</v>
      </c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G46" s="41" t="n">
        <v>3</v>
      </c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G47" s="43" t="n">
        <v>4</v>
      </c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G48" s="41" t="n">
        <v>5</v>
      </c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G49" s="43" t="n">
        <v>6</v>
      </c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G50" s="41" t="n">
        <v>7</v>
      </c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G54" s="41" t="n">
        <v>1</v>
      </c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G55" s="43" t="n">
        <v>2</v>
      </c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G56" s="41" t="n">
        <v>3</v>
      </c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G57" s="43" t="n">
        <v>4</v>
      </c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G58" s="41" t="n">
        <v>5</v>
      </c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G59" s="43" t="n">
        <v>6</v>
      </c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G60" s="41" t="n">
        <v>7</v>
      </c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G64" s="41" t="n">
        <v>1</v>
      </c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G65" s="43" t="n">
        <v>2</v>
      </c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G66" s="41" t="n">
        <v>3</v>
      </c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G67" s="43" t="n">
        <v>4</v>
      </c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G68" s="41" t="n">
        <v>5</v>
      </c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G69" s="43" t="n">
        <v>6</v>
      </c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G70" s="41" t="n">
        <v>7</v>
      </c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G74" s="41" t="n">
        <v>1</v>
      </c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G75" s="43" t="n">
        <v>2</v>
      </c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G76" s="41" t="n">
        <v>3</v>
      </c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G77" s="43" t="n">
        <v>4</v>
      </c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G78" s="41" t="n">
        <v>5</v>
      </c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G79" s="43" t="n">
        <v>6</v>
      </c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G80" s="41" t="n">
        <v>7</v>
      </c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G84" s="41" t="n">
        <v>1</v>
      </c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G85" s="43" t="n">
        <v>2</v>
      </c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G86" s="41" t="n">
        <v>3</v>
      </c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G87" s="43" t="n">
        <v>4</v>
      </c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G88" s="41" t="n">
        <v>5</v>
      </c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G89" s="43" t="n">
        <v>6</v>
      </c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G90" s="41" t="n">
        <v>7</v>
      </c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G94" s="41" t="n">
        <v>1</v>
      </c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G95" s="43" t="n">
        <v>2</v>
      </c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G96" s="41" t="n">
        <v>3</v>
      </c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G97" s="43" t="n">
        <v>4</v>
      </c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G98" s="41" t="n">
        <v>5</v>
      </c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G99" s="43" t="n">
        <v>6</v>
      </c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G100" s="41" t="n">
        <v>7</v>
      </c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G104" s="41" t="n">
        <v>1</v>
      </c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G105" s="43" t="n">
        <v>2</v>
      </c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G106" s="41" t="n">
        <v>3</v>
      </c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G107" s="43" t="n">
        <v>4</v>
      </c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G108" s="41" t="n">
        <v>5</v>
      </c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G109" s="43" t="n">
        <v>6</v>
      </c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G110" s="41" t="n">
        <v>7</v>
      </c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G114" s="41" t="n">
        <v>1</v>
      </c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G115" s="43" t="n">
        <v>2</v>
      </c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G116" s="41" t="n">
        <v>3</v>
      </c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G117" s="43" t="n">
        <v>4</v>
      </c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G118" s="41" t="n">
        <v>5</v>
      </c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G119" s="43" t="n">
        <v>6</v>
      </c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G120" s="41" t="n">
        <v>7</v>
      </c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G124" s="41" t="n">
        <v>1</v>
      </c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G125" s="43" t="n">
        <v>2</v>
      </c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G126" s="41" t="n">
        <v>3</v>
      </c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G127" s="43" t="n">
        <v>4</v>
      </c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G128" s="41" t="n">
        <v>5</v>
      </c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G129" s="43" t="n">
        <v>6</v>
      </c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G130" s="41" t="n">
        <v>7</v>
      </c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G134" s="41" t="n">
        <v>1</v>
      </c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G135" s="43" t="n">
        <v>2</v>
      </c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G136" s="41" t="n">
        <v>3</v>
      </c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G137" s="43" t="n">
        <v>4</v>
      </c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G138" s="41" t="n">
        <v>5</v>
      </c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G139" s="43" t="n">
        <v>6</v>
      </c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G140" s="41" t="n">
        <v>7</v>
      </c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G144" s="41" t="n">
        <v>1</v>
      </c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G145" s="43" t="n">
        <v>2</v>
      </c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G146" s="41" t="n">
        <v>3</v>
      </c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G147" s="43" t="n">
        <v>4</v>
      </c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G148" s="41" t="n">
        <v>5</v>
      </c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G149" s="43" t="n">
        <v>6</v>
      </c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G150" s="41" t="n">
        <v>7</v>
      </c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G154" s="41" t="n">
        <v>1</v>
      </c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G155" s="43" t="n">
        <v>2</v>
      </c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G156" s="41" t="n">
        <v>3</v>
      </c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G157" s="43" t="n">
        <v>4</v>
      </c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G158" s="41" t="n">
        <v>5</v>
      </c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G159" s="43" t="n">
        <v>6</v>
      </c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G160" s="41" t="n">
        <v>7</v>
      </c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G164" s="41" t="n">
        <v>1</v>
      </c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G165" s="43" t="n">
        <v>2</v>
      </c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G166" s="41" t="n">
        <v>3</v>
      </c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G167" s="43" t="n">
        <v>4</v>
      </c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G168" s="41" t="n">
        <v>5</v>
      </c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G169" s="43" t="n">
        <v>6</v>
      </c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G170" s="41" t="n">
        <v>7</v>
      </c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G174" s="41" t="n">
        <v>1</v>
      </c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G175" s="43" t="n">
        <v>2</v>
      </c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G176" s="41" t="n">
        <v>3</v>
      </c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G177" s="43" t="n">
        <v>4</v>
      </c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G178" s="41" t="n">
        <v>5</v>
      </c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G179" s="43" t="n">
        <v>6</v>
      </c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G180" s="41" t="n">
        <v>7</v>
      </c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G184" s="41" t="n">
        <v>1</v>
      </c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G185" s="43" t="n">
        <v>2</v>
      </c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G186" s="41" t="n">
        <v>3</v>
      </c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G187" s="43" t="n">
        <v>4</v>
      </c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G188" s="41" t="n">
        <v>5</v>
      </c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G189" s="43" t="n">
        <v>6</v>
      </c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G190" s="41" t="n">
        <v>7</v>
      </c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G194" s="41" t="n">
        <v>1</v>
      </c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G195" s="43" t="n">
        <v>2</v>
      </c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G196" s="41" t="n">
        <v>3</v>
      </c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G197" s="43" t="n">
        <v>4</v>
      </c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G198" s="41" t="n">
        <v>5</v>
      </c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G199" s="43" t="n">
        <v>6</v>
      </c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G200" s="41" t="n">
        <v>7</v>
      </c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G204" s="41" t="n">
        <v>1</v>
      </c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G205" s="43" t="n">
        <v>2</v>
      </c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G206" s="41" t="n">
        <v>3</v>
      </c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G207" s="43" t="n">
        <v>4</v>
      </c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G208" s="41" t="n">
        <v>5</v>
      </c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G209" s="43" t="n">
        <v>6</v>
      </c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G210" s="41" t="n">
        <v>7</v>
      </c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G214" s="41" t="n">
        <v>1</v>
      </c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G215" s="43" t="n">
        <v>2</v>
      </c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G216" s="41" t="n">
        <v>3</v>
      </c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G217" s="43" t="n">
        <v>4</v>
      </c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G218" s="41" t="n">
        <v>5</v>
      </c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G219" s="43" t="n">
        <v>6</v>
      </c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G220" s="41" t="n">
        <v>7</v>
      </c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G224" s="41" t="n">
        <v>1</v>
      </c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G225" s="43" t="n">
        <v>2</v>
      </c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G226" s="41" t="n">
        <v>3</v>
      </c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G227" s="43" t="n">
        <v>4</v>
      </c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G228" s="41" t="n">
        <v>5</v>
      </c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G229" s="43" t="n">
        <v>6</v>
      </c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G230" s="41" t="n">
        <v>7</v>
      </c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G234" s="41" t="n">
        <v>1</v>
      </c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G235" s="43" t="n">
        <v>2</v>
      </c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G236" s="41" t="n">
        <v>3</v>
      </c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G237" s="43" t="n">
        <v>4</v>
      </c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G238" s="41" t="n">
        <v>5</v>
      </c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G239" s="43" t="n">
        <v>6</v>
      </c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G240" s="41" t="n">
        <v>7</v>
      </c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G244" s="41" t="n">
        <v>1</v>
      </c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G245" s="43" t="n">
        <v>2</v>
      </c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G246" s="41" t="n">
        <v>3</v>
      </c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G247" s="43" t="n">
        <v>4</v>
      </c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G248" s="41" t="n">
        <v>5</v>
      </c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G249" s="43" t="n">
        <v>6</v>
      </c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G250" s="41" t="n">
        <v>7</v>
      </c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G254" s="41" t="n">
        <v>1</v>
      </c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G255" s="43" t="n">
        <v>2</v>
      </c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G256" s="41" t="n">
        <v>3</v>
      </c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G257" s="43" t="n">
        <v>4</v>
      </c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G258" s="41" t="n">
        <v>5</v>
      </c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G259" s="43" t="n">
        <v>6</v>
      </c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G260" s="41" t="n">
        <v>7</v>
      </c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G264" s="41" t="n">
        <v>1</v>
      </c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G265" s="43" t="n">
        <v>2</v>
      </c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G266" s="41" t="n">
        <v>3</v>
      </c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G267" s="43" t="n">
        <v>4</v>
      </c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G268" s="41" t="n">
        <v>5</v>
      </c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G269" s="43" t="n">
        <v>6</v>
      </c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G270" s="41" t="n">
        <v>7</v>
      </c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G274" s="41" t="n">
        <v>1</v>
      </c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G275" s="43" t="n">
        <v>2</v>
      </c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G276" s="41" t="n">
        <v>3</v>
      </c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G277" s="43" t="n">
        <v>4</v>
      </c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G278" s="41" t="n">
        <v>5</v>
      </c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G279" s="43" t="n">
        <v>6</v>
      </c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G280" s="41" t="n">
        <v>7</v>
      </c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G284" s="41" t="n">
        <v>1</v>
      </c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G285" s="43" t="n">
        <v>2</v>
      </c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G286" s="41" t="n">
        <v>3</v>
      </c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G287" s="43" t="n">
        <v>4</v>
      </c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G288" s="41" t="n">
        <v>5</v>
      </c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G289" s="43" t="n">
        <v>6</v>
      </c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G290" s="41" t="n">
        <v>7</v>
      </c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G294" s="41" t="n">
        <v>1</v>
      </c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G295" s="43" t="n">
        <v>2</v>
      </c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G296" s="41" t="n">
        <v>3</v>
      </c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G297" s="43" t="n">
        <v>4</v>
      </c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G298" s="41" t="n">
        <v>5</v>
      </c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G299" s="43" t="n">
        <v>6</v>
      </c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G300" s="41" t="n">
        <v>7</v>
      </c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G4" s="41" t="n">
        <v>1</v>
      </c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G5" s="43" t="n">
        <v>2</v>
      </c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G6" s="41" t="n">
        <v>3</v>
      </c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G7" s="43" t="n">
        <v>4</v>
      </c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G8" s="41" t="n">
        <v>5</v>
      </c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G9" s="43" t="n">
        <v>6</v>
      </c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G10" s="41" t="n">
        <v>7</v>
      </c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G11" s="43" t="n">
        <v>8</v>
      </c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G12" s="41" t="n">
        <v>9</v>
      </c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G13" s="43" t="n">
        <v>10</v>
      </c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G14" s="41" t="n">
        <v>11</v>
      </c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G15" s="43" t="n">
        <v>12</v>
      </c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G16" s="41" t="n">
        <v>13</v>
      </c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G17" s="43" t="n">
        <v>14</v>
      </c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G18" s="41" t="n">
        <v>15</v>
      </c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G19" s="43" t="n">
        <v>16</v>
      </c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G20" s="41" t="n">
        <v>17</v>
      </c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G21" s="43" t="n">
        <v>18</v>
      </c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G22" s="41" t="n">
        <v>19</v>
      </c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G23" s="43" t="n">
        <v>20</v>
      </c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G24" s="41" t="n">
        <v>21</v>
      </c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G25" s="43" t="n">
        <v>22</v>
      </c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G26" s="41" t="n">
        <v>23</v>
      </c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G27" s="43" t="n">
        <v>24</v>
      </c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G28" s="41" t="n">
        <v>25</v>
      </c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G29" s="43" t="n">
        <v>26</v>
      </c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G30" s="41" t="n">
        <v>27</v>
      </c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G31" s="43" t="n">
        <v>28</v>
      </c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G32" s="41" t="n">
        <v>29</v>
      </c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G33" s="43" t="n">
        <v>30</v>
      </c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G34" s="41" t="n">
        <v>31</v>
      </c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G35" s="43" t="n">
        <v>32</v>
      </c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G36" s="41" t="n">
        <v>33</v>
      </c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G37" s="43" t="n">
        <v>34</v>
      </c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G38" s="41" t="n">
        <v>35</v>
      </c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G39" s="43" t="n">
        <v>36</v>
      </c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G40" s="41" t="n">
        <v>37</v>
      </c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G41" s="43" t="n">
        <v>38</v>
      </c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G42" s="41" t="n">
        <v>39</v>
      </c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G43" s="43" t="n">
        <v>40</v>
      </c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G48" s="41" t="n">
        <v>1</v>
      </c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G49" s="43" t="n">
        <v>2</v>
      </c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G50" s="41" t="n">
        <v>3</v>
      </c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G51" s="43" t="n">
        <v>4</v>
      </c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G52" s="41" t="n">
        <v>5</v>
      </c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G53" s="43" t="n">
        <v>6</v>
      </c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G54" s="41" t="n">
        <v>7</v>
      </c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G55" s="43" t="n">
        <v>8</v>
      </c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G56" s="41" t="n">
        <v>9</v>
      </c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G57" s="43" t="n">
        <v>10</v>
      </c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G58" s="41" t="n">
        <v>11</v>
      </c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G59" s="43" t="n">
        <v>12</v>
      </c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G60" s="41" t="n">
        <v>13</v>
      </c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G61" s="43" t="n">
        <v>14</v>
      </c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G62" s="41" t="n">
        <v>15</v>
      </c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G63" s="43" t="n">
        <v>16</v>
      </c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G64" s="41" t="n">
        <v>17</v>
      </c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G65" s="43" t="n">
        <v>18</v>
      </c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G66" s="41" t="n">
        <v>19</v>
      </c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G67" s="43" t="n">
        <v>20</v>
      </c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G68" s="41" t="n">
        <v>21</v>
      </c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G69" s="43" t="n">
        <v>22</v>
      </c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G70" s="41" t="n">
        <v>23</v>
      </c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G71" s="43" t="n">
        <v>24</v>
      </c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G72" s="41" t="n">
        <v>25</v>
      </c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G73" s="43" t="n">
        <v>26</v>
      </c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G74" s="41" t="n">
        <v>27</v>
      </c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G75" s="43" t="n">
        <v>28</v>
      </c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G76" s="41" t="n">
        <v>29</v>
      </c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G77" s="43" t="n">
        <v>30</v>
      </c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G78" s="41" t="n">
        <v>31</v>
      </c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G79" s="43" t="n">
        <v>32</v>
      </c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G80" s="41" t="n">
        <v>33</v>
      </c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G81" s="43" t="n">
        <v>34</v>
      </c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G82" s="41" t="n">
        <v>35</v>
      </c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G83" s="43" t="n">
        <v>36</v>
      </c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G84" s="41" t="n">
        <v>37</v>
      </c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G85" s="43" t="n">
        <v>38</v>
      </c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G86" s="41" t="n">
        <v>39</v>
      </c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G87" s="43" t="n">
        <v>40</v>
      </c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2026-06-01T10:25:03Z</dcterms:modified>
  <cp:revision>0</cp:revision>
</cp:coreProperties>
</file>