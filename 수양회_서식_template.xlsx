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합류</t>
        </is>
      </c>
      <c r="K3" s="40" t="inlineStr">
        <is>
          <t>귀가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구역1</t>
        </is>
      </c>
      <c r="B4" s="42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2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2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2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)</f>
        <v/>
      </c>
      <c r="F4" s="42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2">
        <f>IF(COUNTIFS(구역1!G4:G43,"타교회",구역1!E4:E43,"*"&amp;$B31&amp;"*")+COUNTIFS(구역1!I4:I43,"*타교회*",구역1!E4:E43,"*"&amp;$B31&amp;"*")=0,"",COUNTIFS(구역1!G4:G43,"타교회",구역1!E4:E43,"*"&amp;$B31&amp;"*")+COUNTIFS(구역1!I4:I43,"*타교회*",구역1!E4:E43,"*"&amp;$B31&amp;"*"))</f>
        <v/>
      </c>
      <c r="H4" s="42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2">
        <f>IF(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=0,"",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)</f>
        <v/>
      </c>
      <c r="J4" s="42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2">
        <f>IF(COUNTIFS(구역1!G4:G43,"대중교통",구역1!E4:E43,"*"&amp;$B31&amp;"*")+COUNTIFS(구역1!I4:I43,"*대중교통*",구역1!E4:E43,"*"&amp;$B31&amp;"*")=0,"",COUNTIFS(구역1!G4:G43,"대중교통",구역1!E4:E43,"*"&amp;$B31&amp;"*")+COUNTIFS(구역1!I4:I43,"*대중교통*",구역1!E4:E43,"*"&amp;$B31&amp;"*"))</f>
        <v/>
      </c>
      <c r="L4" s="42" t="n"/>
      <c r="M4" s="42" t="n"/>
    </row>
    <row r="5" ht="21.75" customHeight="1" s="33">
      <c r="A5" s="44" t="inlineStr">
        <is>
          <t>구역2</t>
        </is>
      </c>
      <c r="B5" s="44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44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44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44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)</f>
        <v/>
      </c>
      <c r="F5" s="44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44">
        <f>IF(COUNTIFS(구역2!G4:G43,"타교회",구역2!E4:E43,"*"&amp;$B31&amp;"*")+COUNTIFS(구역2!I4:I43,"*타교회*",구역2!E4:E43,"*"&amp;$B31&amp;"*")=0,"",COUNTIFS(구역2!G4:G43,"타교회",구역2!E4:E43,"*"&amp;$B31&amp;"*")+COUNTIFS(구역2!I4:I43,"*타교회*",구역2!E4:E43,"*"&amp;$B31&amp;"*"))</f>
        <v/>
      </c>
      <c r="H5" s="44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44">
        <f>IF(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=0,"",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)</f>
        <v/>
      </c>
      <c r="J5" s="44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44">
        <f>IF(COUNTIFS(구역2!G4:G43,"대중교통",구역2!E4:E43,"*"&amp;$B31&amp;"*")+COUNTIFS(구역2!I4:I43,"*대중교통*",구역2!E4:E43,"*"&amp;$B31&amp;"*")=0,"",COUNTIFS(구역2!G4:G43,"대중교통",구역2!E4:E43,"*"&amp;$B31&amp;"*")+COUNTIFS(구역2!I4:I43,"*대중교통*",구역2!E4:E43,"*"&amp;$B31&amp;"*"))</f>
        <v/>
      </c>
      <c r="L5" s="44" t="n"/>
      <c r="M5" s="44" t="n"/>
    </row>
    <row r="6" ht="21.75" customHeight="1" s="33">
      <c r="A6" s="42" t="inlineStr">
        <is>
          <t>구역3</t>
        </is>
      </c>
      <c r="B6" s="42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2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2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2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)</f>
        <v/>
      </c>
      <c r="F6" s="42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2">
        <f>IF(COUNTIFS(구역3!G4:G43,"타교회",구역3!E4:E43,"*"&amp;$B31&amp;"*")+COUNTIFS(구역3!I4:I43,"*타교회*",구역3!E4:E43,"*"&amp;$B31&amp;"*")=0,"",COUNTIFS(구역3!G4:G43,"타교회",구역3!E4:E43,"*"&amp;$B31&amp;"*")+COUNTIFS(구역3!I4:I43,"*타교회*",구역3!E4:E43,"*"&amp;$B31&amp;"*"))</f>
        <v/>
      </c>
      <c r="H6" s="42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2">
        <f>IF(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=0,"",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)</f>
        <v/>
      </c>
      <c r="J6" s="42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2">
        <f>IF(COUNTIFS(구역3!G4:G43,"대중교통",구역3!E4:E43,"*"&amp;$B31&amp;"*")+COUNTIFS(구역3!I4:I43,"*대중교통*",구역3!E4:E43,"*"&amp;$B31&amp;"*")=0,"",COUNTIFS(구역3!G4:G43,"대중교통",구역3!E4:E43,"*"&amp;$B31&amp;"*")+COUNTIFS(구역3!I4:I43,"*대중교통*",구역3!E4:E43,"*"&amp;$B31&amp;"*"))</f>
        <v/>
      </c>
      <c r="L6" s="42" t="n"/>
      <c r="M6" s="42" t="n"/>
    </row>
    <row r="7" ht="21.75" customHeight="1" s="33">
      <c r="A7" s="44" t="inlineStr">
        <is>
          <t>구역4</t>
        </is>
      </c>
      <c r="B7" s="44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44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44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44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)</f>
        <v/>
      </c>
      <c r="F7" s="44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44">
        <f>IF(COUNTIFS(구역4!G4:G43,"타교회",구역4!E4:E43,"*"&amp;$B31&amp;"*")+COUNTIFS(구역4!I4:I43,"*타교회*",구역4!E4:E43,"*"&amp;$B31&amp;"*")=0,"",COUNTIFS(구역4!G4:G43,"타교회",구역4!E4:E43,"*"&amp;$B31&amp;"*")+COUNTIFS(구역4!I4:I43,"*타교회*",구역4!E4:E43,"*"&amp;$B31&amp;"*"))</f>
        <v/>
      </c>
      <c r="H7" s="44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44">
        <f>IF(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=0,"",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)</f>
        <v/>
      </c>
      <c r="J7" s="44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44">
        <f>IF(COUNTIFS(구역4!G4:G43,"대중교통",구역4!E4:E43,"*"&amp;$B31&amp;"*")+COUNTIFS(구역4!I4:I43,"*대중교통*",구역4!E4:E43,"*"&amp;$B31&amp;"*")=0,"",COUNTIFS(구역4!G4:G43,"대중교통",구역4!E4:E43,"*"&amp;$B31&amp;"*")+COUNTIFS(구역4!I4:I43,"*대중교통*",구역4!E4:E43,"*"&amp;$B31&amp;"*"))</f>
        <v/>
      </c>
      <c r="L7" s="44" t="n"/>
      <c r="M7" s="44" t="n"/>
    </row>
    <row r="8" ht="21.75" customHeight="1" s="33">
      <c r="A8" s="42" t="inlineStr">
        <is>
          <t>구역5</t>
        </is>
      </c>
      <c r="B8" s="42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2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2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2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)</f>
        <v/>
      </c>
      <c r="F8" s="42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2">
        <f>IF(COUNTIFS(구역5!G4:G43,"타교회",구역5!E4:E43,"*"&amp;$B31&amp;"*")+COUNTIFS(구역5!I4:I43,"*타교회*",구역5!E4:E43,"*"&amp;$B31&amp;"*")=0,"",COUNTIFS(구역5!G4:G43,"타교회",구역5!E4:E43,"*"&amp;$B31&amp;"*")+COUNTIFS(구역5!I4:I43,"*타교회*",구역5!E4:E43,"*"&amp;$B31&amp;"*"))</f>
        <v/>
      </c>
      <c r="H8" s="42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2">
        <f>IF(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=0,"",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)</f>
        <v/>
      </c>
      <c r="J8" s="42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2">
        <f>IF(COUNTIFS(구역5!G4:G43,"대중교통",구역5!E4:E43,"*"&amp;$B31&amp;"*")+COUNTIFS(구역5!I4:I43,"*대중교통*",구역5!E4:E43,"*"&amp;$B31&amp;"*")=0,"",COUNTIFS(구역5!G4:G43,"대중교통",구역5!E4:E43,"*"&amp;$B31&amp;"*")+COUNTIFS(구역5!I4:I43,"*대중교통*",구역5!E4:E43,"*"&amp;$B31&amp;"*"))</f>
        <v/>
      </c>
      <c r="L8" s="42" t="n"/>
      <c r="M8" s="42" t="n"/>
    </row>
    <row r="9" ht="21.75" customHeight="1" s="33">
      <c r="A9" s="44" t="inlineStr">
        <is>
          <t>구역6</t>
        </is>
      </c>
      <c r="B9" s="44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44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44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44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)</f>
        <v/>
      </c>
      <c r="F9" s="44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44">
        <f>IF(COUNTIFS(구역6!G4:G43,"타교회",구역6!E4:E43,"*"&amp;$B31&amp;"*")+COUNTIFS(구역6!I4:I43,"*타교회*",구역6!E4:E43,"*"&amp;$B31&amp;"*")=0,"",COUNTIFS(구역6!G4:G43,"타교회",구역6!E4:E43,"*"&amp;$B31&amp;"*")+COUNTIFS(구역6!I4:I43,"*타교회*",구역6!E4:E43,"*"&amp;$B31&amp;"*"))</f>
        <v/>
      </c>
      <c r="H9" s="44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44">
        <f>IF(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=0,"",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)</f>
        <v/>
      </c>
      <c r="J9" s="44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44">
        <f>IF(COUNTIFS(구역6!G4:G43,"대중교통",구역6!E4:E43,"*"&amp;$B31&amp;"*")+COUNTIFS(구역6!I4:I43,"*대중교통*",구역6!E4:E43,"*"&amp;$B31&amp;"*")=0,"",COUNTIFS(구역6!G4:G43,"대중교통",구역6!E4:E43,"*"&amp;$B31&amp;"*")+COUNTIFS(구역6!I4:I43,"*대중교통*",구역6!E4:E43,"*"&amp;$B31&amp;"*"))</f>
        <v/>
      </c>
      <c r="L9" s="44" t="n"/>
      <c r="M9" s="44" t="n"/>
    </row>
    <row r="10" ht="21.75" customHeight="1" s="33">
      <c r="A10" s="42" t="inlineStr">
        <is>
          <t>구역7</t>
        </is>
      </c>
      <c r="B10" s="42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2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2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2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)</f>
        <v/>
      </c>
      <c r="F10" s="42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2">
        <f>IF(COUNTIFS(구역7!G4:G43,"타교회",구역7!E4:E43,"*"&amp;$B31&amp;"*")+COUNTIFS(구역7!I4:I43,"*타교회*",구역7!E4:E43,"*"&amp;$B31&amp;"*")=0,"",COUNTIFS(구역7!G4:G43,"타교회",구역7!E4:E43,"*"&amp;$B31&amp;"*")+COUNTIFS(구역7!I4:I43,"*타교회*",구역7!E4:E43,"*"&amp;$B31&amp;"*"))</f>
        <v/>
      </c>
      <c r="H10" s="42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2">
        <f>IF(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=0,"",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)</f>
        <v/>
      </c>
      <c r="J10" s="42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2">
        <f>IF(COUNTIFS(구역7!G4:G43,"대중교통",구역7!E4:E43,"*"&amp;$B31&amp;"*")+COUNTIFS(구역7!I4:I43,"*대중교통*",구역7!E4:E43,"*"&amp;$B31&amp;"*")=0,"",COUNTIFS(구역7!G4:G43,"대중교통",구역7!E4:E43,"*"&amp;$B31&amp;"*")+COUNTIFS(구역7!I4:I43,"*대중교통*",구역7!E4:E43,"*"&amp;$B31&amp;"*"))</f>
        <v/>
      </c>
      <c r="L10" s="42" t="n"/>
      <c r="M10" s="42" t="n"/>
    </row>
    <row r="11" ht="21.75" customHeight="1" s="33">
      <c r="A11" s="44" t="inlineStr">
        <is>
          <t>구역8</t>
        </is>
      </c>
      <c r="B11" s="44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44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44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44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)</f>
        <v/>
      </c>
      <c r="F11" s="44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44">
        <f>IF(COUNTIFS(구역8!G4:G43,"타교회",구역8!E4:E43,"*"&amp;$B31&amp;"*")+COUNTIFS(구역8!I4:I43,"*타교회*",구역8!E4:E43,"*"&amp;$B31&amp;"*")=0,"",COUNTIFS(구역8!G4:G43,"타교회",구역8!E4:E43,"*"&amp;$B31&amp;"*")+COUNTIFS(구역8!I4:I43,"*타교회*",구역8!E4:E43,"*"&amp;$B31&amp;"*"))</f>
        <v/>
      </c>
      <c r="H11" s="44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44">
        <f>IF(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=0,"",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)</f>
        <v/>
      </c>
      <c r="J11" s="44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44">
        <f>IF(COUNTIFS(구역8!G4:G43,"대중교통",구역8!E4:E43,"*"&amp;$B31&amp;"*")+COUNTIFS(구역8!I4:I43,"*대중교통*",구역8!E4:E43,"*"&amp;$B31&amp;"*")=0,"",COUNTIFS(구역8!G4:G43,"대중교통",구역8!E4:E43,"*"&amp;$B31&amp;"*")+COUNTIFS(구역8!I4:I43,"*대중교통*",구역8!E4:E43,"*"&amp;$B31&amp;"*"))</f>
        <v/>
      </c>
      <c r="L11" s="44" t="n"/>
      <c r="M11" s="44" t="n"/>
    </row>
    <row r="12" ht="21.75" customHeight="1" s="33">
      <c r="A12" s="42" t="inlineStr">
        <is>
          <t>구역9</t>
        </is>
      </c>
      <c r="B12" s="42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2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2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2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)</f>
        <v/>
      </c>
      <c r="F12" s="42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2">
        <f>IF(COUNTIFS(구역9!G4:G43,"타교회",구역9!E4:E43,"*"&amp;$B31&amp;"*")+COUNTIFS(구역9!I4:I43,"*타교회*",구역9!E4:E43,"*"&amp;$B31&amp;"*")=0,"",COUNTIFS(구역9!G4:G43,"타교회",구역9!E4:E43,"*"&amp;$B31&amp;"*")+COUNTIFS(구역9!I4:I43,"*타교회*",구역9!E4:E43,"*"&amp;$B31&amp;"*"))</f>
        <v/>
      </c>
      <c r="H12" s="42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2">
        <f>IF(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=0,"",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)</f>
        <v/>
      </c>
      <c r="J12" s="42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2">
        <f>IF(COUNTIFS(구역9!G4:G43,"대중교통",구역9!E4:E43,"*"&amp;$B31&amp;"*")+COUNTIFS(구역9!I4:I43,"*대중교통*",구역9!E4:E43,"*"&amp;$B31&amp;"*")=0,"",COUNTIFS(구역9!G4:G43,"대중교통",구역9!E4:E43,"*"&amp;$B31&amp;"*")+COUNTIFS(구역9!I4:I43,"*대중교통*",구역9!E4:E43,"*"&amp;$B31&amp;"*"))</f>
        <v/>
      </c>
      <c r="L12" s="42" t="n"/>
      <c r="M12" s="42" t="n"/>
    </row>
    <row r="13" ht="21.75" customHeight="1" s="33">
      <c r="A13" s="44" t="inlineStr">
        <is>
          <t>구역10</t>
        </is>
      </c>
      <c r="B13" s="44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44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44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44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)</f>
        <v/>
      </c>
      <c r="F13" s="44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44">
        <f>IF(COUNTIFS(구역10!G4:G43,"타교회",구역10!E4:E43,"*"&amp;$B31&amp;"*")+COUNTIFS(구역10!I4:I43,"*타교회*",구역10!E4:E43,"*"&amp;$B31&amp;"*")=0,"",COUNTIFS(구역10!G4:G43,"타교회",구역10!E4:E43,"*"&amp;$B31&amp;"*")+COUNTIFS(구역10!I4:I43,"*타교회*",구역10!E4:E43,"*"&amp;$B31&amp;"*"))</f>
        <v/>
      </c>
      <c r="H13" s="44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44">
        <f>IF(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=0,"",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)</f>
        <v/>
      </c>
      <c r="J13" s="44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44">
        <f>IF(COUNTIFS(구역10!G4:G43,"대중교통",구역10!E4:E43,"*"&amp;$B31&amp;"*")+COUNTIFS(구역10!I4:I43,"*대중교통*",구역10!E4:E43,"*"&amp;$B31&amp;"*")=0,"",COUNTIFS(구역10!G4:G43,"대중교통",구역10!E4:E43,"*"&amp;$B31&amp;"*")+COUNTIFS(구역10!I4:I43,"*대중교통*",구역10!E4:E43,"*"&amp;$B31&amp;"*"))</f>
        <v/>
      </c>
      <c r="L13" s="44" t="n"/>
      <c r="M13" s="44" t="n"/>
    </row>
    <row r="14" ht="15" customHeight="1" s="33">
      <c r="A14" s="61" t="inlineStr">
        <is>
          <t>구역11</t>
        </is>
      </c>
      <c r="B14" s="61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61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61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61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)</f>
        <v/>
      </c>
      <c r="F14" s="61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61">
        <f>IF(COUNTIFS(구역11!G4:G43,"타교회",구역11!E4:E43,"*"&amp;$B31&amp;"*")+COUNTIFS(구역11!I4:I43,"*타교회*",구역11!E4:E43,"*"&amp;$B31&amp;"*")=0,"",COUNTIFS(구역11!G4:G43,"타교회",구역11!E4:E43,"*"&amp;$B31&amp;"*")+COUNTIFS(구역11!I4:I43,"*타교회*",구역11!E4:E43,"*"&amp;$B31&amp;"*"))</f>
        <v/>
      </c>
      <c r="H14" s="61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61">
        <f>IF(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=0,"",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)</f>
        <v/>
      </c>
      <c r="J14" s="61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61">
        <f>IF(COUNTIFS(구역11!G4:G43,"대중교통",구역11!E4:E43,"*"&amp;$B31&amp;"*")+COUNTIFS(구역11!I4:I43,"*대중교통*",구역11!E4:E43,"*"&amp;$B31&amp;"*")=0,"",COUNTIFS(구역11!G4:G43,"대중교통",구역11!E4:E43,"*"&amp;$B31&amp;"*")+COUNTIFS(구역11!I4:I43,"*대중교통*",구역11!E4:E43,"*"&amp;$B31&amp;"*"))</f>
        <v/>
      </c>
      <c r="L14" s="61" t="n"/>
      <c r="M14" s="61" t="n"/>
    </row>
    <row r="15">
      <c r="A15" s="32" t="inlineStr">
        <is>
          <t>구역12</t>
        </is>
      </c>
      <c r="B15" s="32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s="32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s="32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s="32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)</f>
        <v/>
      </c>
      <c r="F15" s="32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s="32">
        <f>IF(COUNTIFS(구역12!G4:G43,"타교회",구역12!E4:E43,"*"&amp;$B31&amp;"*")+COUNTIFS(구역12!I4:I43,"*타교회*",구역12!E4:E43,"*"&amp;$B31&amp;"*")=0,"",COUNTIFS(구역12!G4:G43,"타교회",구역12!E4:E43,"*"&amp;$B31&amp;"*")+COUNTIFS(구역12!I4:I43,"*타교회*",구역12!E4:E43,"*"&amp;$B31&amp;"*"))</f>
        <v/>
      </c>
      <c r="H15" s="32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s="32">
        <f>IF(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=0,"",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)</f>
        <v/>
      </c>
      <c r="J15" s="32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s="32">
        <f>IF(COUNTIFS(구역12!G4:G43,"대중교통",구역12!E4:E43,"*"&amp;$B31&amp;"*")+COUNTIFS(구역12!I4:I43,"*대중교통*",구역12!E4:E43,"*"&amp;$B31&amp;"*")=0,"",COUNTIFS(구역12!G4:G43,"대중교통",구역12!E4:E43,"*"&amp;$B31&amp;"*")+COUNTIFS(구역12!I4:I43,"*대중교통*",구역12!E4:E43,"*"&amp;$B31&amp;"*"))</f>
        <v/>
      </c>
      <c r="L15" s="32" t="n"/>
      <c r="M15" s="32" t="n"/>
    </row>
    <row r="16" ht="19.4" customHeight="1" s="33">
      <c r="A16" s="62" t="inlineStr">
        <is>
          <t>구역13</t>
        </is>
      </c>
      <c r="B16" s="32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s="32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s="32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s="32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)</f>
        <v/>
      </c>
      <c r="F16" s="32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s="32">
        <f>IF(COUNTIFS(구역13!G4:G43,"타교회",구역13!E4:E43,"*"&amp;$B31&amp;"*")+COUNTIFS(구역13!I4:I43,"*타교회*",구역13!E4:E43,"*"&amp;$B31&amp;"*")=0,"",COUNTIFS(구역13!G4:G43,"타교회",구역13!E4:E43,"*"&amp;$B31&amp;"*")+COUNTIFS(구역13!I4:I43,"*타교회*",구역13!E4:E43,"*"&amp;$B31&amp;"*"))</f>
        <v/>
      </c>
      <c r="H16" s="32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s="32">
        <f>IF(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=0,"",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)</f>
        <v/>
      </c>
      <c r="J16" s="32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s="32">
        <f>IF(COUNTIFS(구역13!G4:G43,"대중교통",구역13!E4:E43,"*"&amp;$B31&amp;"*")+COUNTIFS(구역13!I4:I43,"*대중교통*",구역13!E4:E43,"*"&amp;$B31&amp;"*")=0,"",COUNTIFS(구역13!G4:G43,"대중교통",구역13!E4:E43,"*"&amp;$B31&amp;"*")+COUNTIFS(구역13!I4:I43,"*대중교통*",구역13!E4:E43,"*"&amp;$B31&amp;"*"))</f>
        <v/>
      </c>
      <c r="L16" s="32" t="n"/>
      <c r="M16" s="32" t="n"/>
    </row>
    <row r="17" ht="15" customHeight="1" s="33">
      <c r="A17" s="49" t="inlineStr">
        <is>
          <t>구역14</t>
        </is>
      </c>
      <c r="B17" s="48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48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48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48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)</f>
        <v/>
      </c>
      <c r="F17" s="48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48">
        <f>IF(COUNTIFS(구역14!G4:G43,"타교회",구역14!E4:E43,"*"&amp;$B31&amp;"*")+COUNTIFS(구역14!I4:I43,"*타교회*",구역14!E4:E43,"*"&amp;$B31&amp;"*")=0,"",COUNTIFS(구역14!G4:G43,"타교회",구역14!E4:E43,"*"&amp;$B31&amp;"*")+COUNTIFS(구역14!I4:I43,"*타교회*",구역14!E4:E43,"*"&amp;$B31&amp;"*"))</f>
        <v/>
      </c>
      <c r="H17" s="48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48">
        <f>IF(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=0,"",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)</f>
        <v/>
      </c>
      <c r="J17" s="49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s="32">
        <f>IF(COUNTIFS(구역14!G4:G43,"대중교통",구역14!E4:E43,"*"&amp;$B31&amp;"*")+COUNTIFS(구역14!I4:I43,"*대중교통*",구역14!E4:E43,"*"&amp;$B31&amp;"*")=0,"",COUNTIFS(구역14!G4:G43,"대중교통",구역14!E4:E43,"*"&amp;$B31&amp;"*")+COUNTIFS(구역14!I4:I43,"*대중교통*",구역14!E4:E43,"*"&amp;$B31&amp;"*"))</f>
        <v/>
      </c>
    </row>
    <row r="18" ht="15" customHeight="1" s="33">
      <c r="A18" s="49" t="inlineStr">
        <is>
          <t>구역15</t>
        </is>
      </c>
      <c r="B18" s="32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s="32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s="32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s="32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)</f>
        <v/>
      </c>
      <c r="F18" s="32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s="32">
        <f>IF(COUNTIFS(구역15!G4:G43,"타교회",구역15!E4:E43,"*"&amp;$B31&amp;"*")+COUNTIFS(구역15!I4:I43,"*타교회*",구역15!E4:E43,"*"&amp;$B31&amp;"*")=0,"",COUNTIFS(구역15!G4:G43,"타교회",구역15!E4:E43,"*"&amp;$B31&amp;"*")+COUNTIFS(구역15!I4:I43,"*타교회*",구역15!E4:E43,"*"&amp;$B31&amp;"*"))</f>
        <v/>
      </c>
      <c r="H18" s="32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s="32">
        <f>IF(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=0,"",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)</f>
        <v/>
      </c>
      <c r="J18" s="32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s="32">
        <f>IF(COUNTIFS(구역15!G4:G43,"대중교통",구역15!E4:E43,"*"&amp;$B31&amp;"*")+COUNTIFS(구역15!I4:I43,"*대중교통*",구역15!E4:E43,"*"&amp;$B31&amp;"*")=0,"",COUNTIFS(구역15!G4:G43,"대중교통",구역15!E4:E43,"*"&amp;$B31&amp;"*")+COUNTIFS(구역15!I4:I43,"*대중교통*",구역15!E4:E43,"*"&amp;$B31&amp;"*"))</f>
        <v/>
      </c>
    </row>
    <row r="19">
      <c r="A19" s="32" t="inlineStr">
        <is>
          <t>구역16</t>
        </is>
      </c>
      <c r="B19" s="32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s="32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s="32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s="32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)</f>
        <v/>
      </c>
      <c r="F19" s="32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s="32">
        <f>IF(COUNTIFS(구역16!G4:G43,"타교회",구역16!E4:E43,"*"&amp;$B31&amp;"*")+COUNTIFS(구역16!I4:I43,"*타교회*",구역16!E4:E43,"*"&amp;$B31&amp;"*")=0,"",COUNTIFS(구역16!G4:G43,"타교회",구역16!E4:E43,"*"&amp;$B31&amp;"*")+COUNTIFS(구역16!I4:I43,"*타교회*",구역16!E4:E43,"*"&amp;$B31&amp;"*"))</f>
        <v/>
      </c>
      <c r="H19" s="32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s="32">
        <f>IF(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=0,"",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)</f>
        <v/>
      </c>
      <c r="J19" s="32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s="32">
        <f>IF(COUNTIFS(구역16!G4:G43,"대중교통",구역16!E4:E43,"*"&amp;$B31&amp;"*")+COUNTIFS(구역16!I4:I43,"*대중교통*",구역16!E4:E43,"*"&amp;$B31&amp;"*")=0,"",COUNTIFS(구역16!G4:G43,"대중교통",구역16!E4:E43,"*"&amp;$B31&amp;"*")+COUNTIFS(구역16!I4:I43,"*대중교통*",구역16!E4:E43,"*"&amp;$B31&amp;"*"))</f>
        <v/>
      </c>
    </row>
    <row r="20">
      <c r="A20" s="32" t="inlineStr">
        <is>
          <t>구역17</t>
        </is>
      </c>
      <c r="B20" s="32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s="32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s="32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s="32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)</f>
        <v/>
      </c>
      <c r="F20" s="32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s="32">
        <f>IF(COUNTIFS(구역17!G4:G43,"타교회",구역17!E4:E43,"*"&amp;$B31&amp;"*")+COUNTIFS(구역17!I4:I43,"*타교회*",구역17!E4:E43,"*"&amp;$B31&amp;"*")=0,"",COUNTIFS(구역17!G4:G43,"타교회",구역17!E4:E43,"*"&amp;$B31&amp;"*")+COUNTIFS(구역17!I4:I43,"*타교회*",구역17!E4:E43,"*"&amp;$B31&amp;"*"))</f>
        <v/>
      </c>
      <c r="H20" s="32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s="32">
        <f>IF(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=0,"",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)</f>
        <v/>
      </c>
      <c r="J20" s="32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s="32">
        <f>IF(COUNTIFS(구역17!G4:G43,"대중교통",구역17!E4:E43,"*"&amp;$B31&amp;"*")+COUNTIFS(구역17!I4:I43,"*대중교통*",구역17!E4:E43,"*"&amp;$B31&amp;"*")=0,"",COUNTIFS(구역17!G4:G43,"대중교통",구역17!E4:E43,"*"&amp;$B31&amp;"*")+COUNTIFS(구역17!I4:I43,"*대중교통*",구역17!E4:E43,"*"&amp;$B31&amp;"*"))</f>
        <v/>
      </c>
    </row>
    <row r="21">
      <c r="A21" s="32" t="inlineStr">
        <is>
          <t>구역18</t>
        </is>
      </c>
      <c r="B21" s="32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s="32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s="32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s="32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)</f>
        <v/>
      </c>
      <c r="F21" s="32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s="32">
        <f>IF(COUNTIFS(구역18!G4:G43,"타교회",구역18!E4:E43,"*"&amp;$B31&amp;"*")+COUNTIFS(구역18!I4:I43,"*타교회*",구역18!E4:E43,"*"&amp;$B31&amp;"*")=0,"",COUNTIFS(구역18!G4:G43,"타교회",구역18!E4:E43,"*"&amp;$B31&amp;"*")+COUNTIFS(구역18!I4:I43,"*타교회*",구역18!E4:E43,"*"&amp;$B31&amp;"*"))</f>
        <v/>
      </c>
      <c r="H21" s="32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s="32">
        <f>IF(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=0,"",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)</f>
        <v/>
      </c>
      <c r="J21" s="32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s="32">
        <f>IF(COUNTIFS(구역18!G4:G43,"대중교통",구역18!E4:E43,"*"&amp;$B31&amp;"*")+COUNTIFS(구역18!I4:I43,"*대중교통*",구역18!E4:E43,"*"&amp;$B31&amp;"*")=0,"",COUNTIFS(구역18!G4:G43,"대중교통",구역18!E4:E43,"*"&amp;$B31&amp;"*")+COUNTIFS(구역18!I4:I43,"*대중교통*",구역18!E4:E43,"*"&amp;$B31&amp;"*"))</f>
        <v/>
      </c>
    </row>
    <row r="22">
      <c r="A22" s="32" t="inlineStr">
        <is>
          <t>구역19</t>
        </is>
      </c>
      <c r="B22" s="32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s="32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s="32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s="32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)</f>
        <v/>
      </c>
      <c r="F22" s="32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s="32">
        <f>IF(COUNTIFS(구역19!G4:G43,"타교회",구역19!E4:E43,"*"&amp;$B31&amp;"*")+COUNTIFS(구역19!I4:I43,"*타교회*",구역19!E4:E43,"*"&amp;$B31&amp;"*")=0,"",COUNTIFS(구역19!G4:G43,"타교회",구역19!E4:E43,"*"&amp;$B31&amp;"*")+COUNTIFS(구역19!I4:I43,"*타교회*",구역19!E4:E43,"*"&amp;$B31&amp;"*"))</f>
        <v/>
      </c>
      <c r="H22" s="32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s="32">
        <f>IF(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=0,"",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)</f>
        <v/>
      </c>
      <c r="J22" s="32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s="32">
        <f>IF(COUNTIFS(구역19!G4:G43,"대중교통",구역19!E4:E43,"*"&amp;$B31&amp;"*")+COUNTIFS(구역19!I4:I43,"*대중교통*",구역19!E4:E43,"*"&amp;$B31&amp;"*")=0,"",COUNTIFS(구역19!G4:G43,"대중교통",구역19!E4:E43,"*"&amp;$B31&amp;"*")+COUNTIFS(구역19!I4:I43,"*대중교통*",구역19!E4:E43,"*"&amp;$B31&amp;"*"))</f>
        <v/>
      </c>
    </row>
    <row r="23">
      <c r="A23" s="32" t="inlineStr">
        <is>
          <t>구역20</t>
        </is>
      </c>
      <c r="B23" s="32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s="32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s="32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s="32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)</f>
        <v/>
      </c>
      <c r="F23" s="32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s="32">
        <f>IF(COUNTIFS(구역20!G4:G43,"타교회",구역20!E4:E43,"*"&amp;$B31&amp;"*")+COUNTIFS(구역20!I4:I43,"*타교회*",구역20!E4:E43,"*"&amp;$B31&amp;"*")=0,"",COUNTIFS(구역20!G4:G43,"타교회",구역20!E4:E43,"*"&amp;$B31&amp;"*")+COUNTIFS(구역20!I4:I43,"*타교회*",구역20!E4:E43,"*"&amp;$B31&amp;"*"))</f>
        <v/>
      </c>
      <c r="H23" s="32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s="32">
        <f>IF(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=0,"",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)</f>
        <v/>
      </c>
      <c r="J23" s="32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s="32">
        <f>IF(COUNTIFS(구역20!G4:G43,"대중교통",구역20!E4:E43,"*"&amp;$B31&amp;"*")+COUNTIFS(구역20!I4:I43,"*대중교통*",구역20!E4:E43,"*"&amp;$B31&amp;"*")=0,"",COUNTIFS(구역20!G4:G43,"대중교통",구역20!E4:E43,"*"&amp;$B31&amp;"*")+COUNTIFS(구역20!I4:I43,"*대중교통*",구역20!E4:E43,"*"&amp;$B31&amp;"*"))</f>
        <v/>
      </c>
    </row>
    <row r="24">
      <c r="A24" s="32" t="inlineStr">
        <is>
          <t>합  계</t>
        </is>
      </c>
      <c r="B24" s="32">
        <f>IF(SUM(B4:B23)=0,"",SUM(B4:B23))</f>
        <v/>
      </c>
      <c r="C24" s="32">
        <f>IF(SUM(C4:C23)=0,"",SUM(C4:C23))</f>
        <v/>
      </c>
      <c r="D24" s="32">
        <f>IF(SUM(D4:D23)=0,"",SUM(D4:D23))</f>
        <v/>
      </c>
      <c r="E24" s="32">
        <f>IF(SUM(E4:E23)=0,"",SUM(E4:E23))</f>
        <v/>
      </c>
      <c r="F24" s="32">
        <f>IF(SUM(F4:F23)=0,"",SUM(F4:F23))</f>
        <v/>
      </c>
      <c r="G24" s="32">
        <f>IF(SUM(G4:G23)=0,"",SUM(G4:G23))</f>
        <v/>
      </c>
      <c r="H24" s="32">
        <f>IF(SUM(H4:H23)=0,"",SUM(H4:H23))</f>
        <v/>
      </c>
      <c r="I24" s="32">
        <f>IF(SUM(I4:I23)=0,"",SUM(I4:I23))</f>
        <v/>
      </c>
      <c r="J24" s="32">
        <f>IF(SUM(J4:J23)=0,"",SUM(J4:J23))</f>
        <v/>
      </c>
      <c r="K24" s="32">
        <f>IF(SUM(K4:K23)=0,"",SUM(K4:K23))</f>
        <v/>
      </c>
    </row>
    <row r="26">
      <c r="A26" s="32" t="inlineStr">
        <is>
          <t>차수별 접수인원</t>
        </is>
      </c>
    </row>
    <row r="27">
      <c r="A27" s="32" t="inlineStr">
        <is>
          <t>차수</t>
        </is>
      </c>
      <c r="B27" s="32" t="inlineStr">
        <is>
          <t>1차</t>
        </is>
      </c>
      <c r="C27" s="32" t="inlineStr">
        <is>
          <t>2차</t>
        </is>
      </c>
      <c r="D27" s="32" t="inlineStr">
        <is>
          <t>3차</t>
        </is>
      </c>
      <c r="E27" s="32" t="inlineStr">
        <is>
          <t>4차</t>
        </is>
      </c>
      <c r="F27" s="32" t="inlineStr">
        <is>
          <t>5차</t>
        </is>
      </c>
      <c r="G27" s="32" t="inlineStr">
        <is>
          <t>6차</t>
        </is>
      </c>
      <c r="H27" s="32" t="inlineStr">
        <is>
          <t>7차</t>
        </is>
      </c>
      <c r="I27" s="32" t="inlineStr">
        <is>
          <t>8차</t>
        </is>
      </c>
      <c r="J27" s="32" t="inlineStr">
        <is>
          <t>계</t>
        </is>
      </c>
    </row>
    <row r="28">
      <c r="A28" s="32" t="inlineStr">
        <is>
          <t>접수인원</t>
        </is>
      </c>
      <c r="B28" s="32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s="32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s="32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s="32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s="32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s="32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s="32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s="32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s="32">
        <f>IF(SUM(B28:I28)=0,"",SUM(B28:I28))</f>
        <v/>
      </c>
    </row>
    <row r="31">
      <c r="A31" s="32" t="inlineStr">
        <is>
          <t>적용 차수</t>
        </is>
      </c>
      <c r="B31" s="32" t="inlineStr"/>
    </row>
  </sheetData>
  <mergeCells count="8">
    <mergeCell ref="F2:G2"/>
    <mergeCell ref="B2:C2"/>
    <mergeCell ref="H2:I2"/>
    <mergeCell ref="D2:E2"/>
    <mergeCell ref="A26:K26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1:K1"/>
    <mergeCell ref="A45:K45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2026-06-01T04:25:47Z</dcterms:modified>
  <cp:revision>0</cp:revision>
</cp:coreProperties>
</file>